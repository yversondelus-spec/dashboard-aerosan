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jpe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YDelus\Desktop\"/>
    </mc:Choice>
  </mc:AlternateContent>
  <xr:revisionPtr revIDLastSave="0" documentId="8_{B69FF421-56D4-4B72-84F8-359CC6A7A0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HL 2026" sheetId="10" r:id="rId1"/>
    <sheet name="Courier DHL Time 2026" sheetId="11" r:id="rId2"/>
    <sheet name="MAS AIR " sheetId="7" r:id="rId3"/>
    <sheet name="Courier DHL Time 2025" sheetId="3" r:id="rId4"/>
    <sheet name="DHL 2024" sheetId="2" r:id="rId5"/>
    <sheet name="DHL 2025 " sheetId="9" r:id="rId6"/>
    <sheet name="DLY DETAILS" sheetId="5" r:id="rId7"/>
    <sheet name="PPT NO MODIFICAR" sheetId="6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3" i="10" l="1"/>
  <c r="BO14" i="11"/>
  <c r="I66" i="10"/>
  <c r="I57" i="10"/>
  <c r="I49" i="10"/>
  <c r="I37" i="10"/>
  <c r="I41" i="10"/>
  <c r="I44" i="10"/>
  <c r="I35" i="10"/>
  <c r="P14" i="11"/>
  <c r="M14" i="11"/>
  <c r="LZ14" i="3"/>
  <c r="MA14" i="3"/>
  <c r="MB14" i="3"/>
  <c r="MC14" i="3"/>
  <c r="MD14" i="3"/>
  <c r="ME14" i="3"/>
  <c r="MF14" i="3"/>
  <c r="MG14" i="3"/>
  <c r="MH14" i="3"/>
  <c r="MI14" i="3"/>
  <c r="MJ14" i="3"/>
  <c r="MK14" i="3"/>
  <c r="ML14" i="3"/>
  <c r="MM14" i="3"/>
  <c r="MN14" i="3"/>
  <c r="MO14" i="3"/>
  <c r="MP14" i="3"/>
  <c r="MQ14" i="3"/>
  <c r="MR14" i="3"/>
  <c r="MS14" i="3"/>
  <c r="MT14" i="3"/>
  <c r="MU14" i="3"/>
  <c r="MV14" i="3"/>
  <c r="MW14" i="3"/>
  <c r="MX14" i="3"/>
  <c r="MY14" i="3"/>
  <c r="MZ14" i="3"/>
  <c r="NA14" i="3"/>
  <c r="NB14" i="3"/>
  <c r="NC14" i="3"/>
  <c r="ND14" i="3"/>
  <c r="NE14" i="3"/>
  <c r="NF14" i="3"/>
  <c r="I38" i="7"/>
  <c r="I18" i="10"/>
  <c r="I9" i="10"/>
  <c r="I11" i="10"/>
  <c r="I12" i="10"/>
  <c r="I13" i="10"/>
  <c r="I14" i="10"/>
  <c r="I15" i="10"/>
  <c r="I16" i="10"/>
  <c r="I17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6" i="10"/>
  <c r="I38" i="10"/>
  <c r="I39" i="10"/>
  <c r="I40" i="10"/>
  <c r="I42" i="10"/>
  <c r="I43" i="10"/>
  <c r="I45" i="10"/>
  <c r="I46" i="10"/>
  <c r="I47" i="10"/>
  <c r="I48" i="10"/>
  <c r="I50" i="10"/>
  <c r="I52" i="10"/>
  <c r="I53" i="10"/>
  <c r="I54" i="10"/>
  <c r="I55" i="10"/>
  <c r="I56" i="10"/>
  <c r="I58" i="10"/>
  <c r="I59" i="10"/>
  <c r="I60" i="10"/>
  <c r="I61" i="10"/>
  <c r="I63" i="10"/>
  <c r="I65" i="10"/>
  <c r="I67" i="10"/>
  <c r="I68" i="10"/>
  <c r="I69" i="10"/>
  <c r="I70" i="10"/>
  <c r="I72" i="10"/>
  <c r="I73" i="10"/>
  <c r="I75" i="10"/>
  <c r="I76" i="10"/>
  <c r="I77" i="10"/>
  <c r="I78" i="10"/>
  <c r="I79" i="10"/>
  <c r="I80" i="10"/>
  <c r="I81" i="10"/>
  <c r="I82" i="10"/>
  <c r="I84" i="10"/>
  <c r="I85" i="10"/>
  <c r="I86" i="10"/>
  <c r="I87" i="10"/>
  <c r="I88" i="10"/>
  <c r="I89" i="10"/>
  <c r="I90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8" i="10"/>
  <c r="I234" i="9"/>
  <c r="NC14" i="11"/>
  <c r="NB14" i="11"/>
  <c r="NA14" i="11"/>
  <c r="MZ14" i="11"/>
  <c r="MY14" i="11"/>
  <c r="MX14" i="11"/>
  <c r="MW14" i="11"/>
  <c r="MV14" i="11"/>
  <c r="MU14" i="11"/>
  <c r="MT14" i="11"/>
  <c r="MS14" i="11"/>
  <c r="MR14" i="11"/>
  <c r="MQ14" i="11"/>
  <c r="MP14" i="11"/>
  <c r="MO14" i="11"/>
  <c r="MN14" i="11"/>
  <c r="MM14" i="11"/>
  <c r="ML14" i="11"/>
  <c r="MK14" i="11"/>
  <c r="MJ14" i="11"/>
  <c r="MI14" i="11"/>
  <c r="MH14" i="11"/>
  <c r="MG14" i="11"/>
  <c r="MF14" i="11"/>
  <c r="ME14" i="11"/>
  <c r="MD14" i="11"/>
  <c r="MC14" i="11"/>
  <c r="MB14" i="11"/>
  <c r="MA14" i="11"/>
  <c r="LZ14" i="11"/>
  <c r="LY14" i="11"/>
  <c r="LX14" i="11"/>
  <c r="LW14" i="11"/>
  <c r="LV14" i="11"/>
  <c r="LU14" i="11"/>
  <c r="LT14" i="11"/>
  <c r="LS14" i="11"/>
  <c r="LR14" i="11"/>
  <c r="LQ14" i="11"/>
  <c r="LP14" i="11"/>
  <c r="LO14" i="11"/>
  <c r="LN14" i="11"/>
  <c r="LM14" i="11"/>
  <c r="LL14" i="11"/>
  <c r="LK14" i="11"/>
  <c r="LJ14" i="11"/>
  <c r="LI14" i="11"/>
  <c r="LH14" i="11"/>
  <c r="LG14" i="11"/>
  <c r="LF14" i="11"/>
  <c r="LE14" i="11"/>
  <c r="LD14" i="11"/>
  <c r="LC14" i="11"/>
  <c r="LB14" i="11"/>
  <c r="LA14" i="11"/>
  <c r="KZ14" i="11"/>
  <c r="KY14" i="11"/>
  <c r="KX14" i="11"/>
  <c r="KW14" i="11"/>
  <c r="KV14" i="11"/>
  <c r="KU14" i="11"/>
  <c r="KT14" i="11"/>
  <c r="KS14" i="11"/>
  <c r="KR14" i="11"/>
  <c r="KQ14" i="11"/>
  <c r="KP14" i="11"/>
  <c r="KO14" i="11"/>
  <c r="KN14" i="11"/>
  <c r="KM14" i="11"/>
  <c r="KL14" i="11"/>
  <c r="KK14" i="11"/>
  <c r="KJ14" i="11"/>
  <c r="KI14" i="11"/>
  <c r="KH14" i="11"/>
  <c r="KG14" i="11"/>
  <c r="KF14" i="11"/>
  <c r="KE14" i="11"/>
  <c r="KD14" i="11"/>
  <c r="KC14" i="11"/>
  <c r="KB14" i="11"/>
  <c r="KA14" i="11"/>
  <c r="JZ14" i="11"/>
  <c r="JY14" i="11"/>
  <c r="JX14" i="11"/>
  <c r="JW14" i="11"/>
  <c r="JV14" i="11"/>
  <c r="JU14" i="11"/>
  <c r="JT14" i="11"/>
  <c r="JS14" i="11"/>
  <c r="JR14" i="11"/>
  <c r="JQ14" i="11"/>
  <c r="JP14" i="11"/>
  <c r="JO14" i="11"/>
  <c r="JN14" i="11"/>
  <c r="JM14" i="11"/>
  <c r="JL14" i="11"/>
  <c r="JK14" i="11"/>
  <c r="JJ14" i="11"/>
  <c r="JI14" i="11"/>
  <c r="JH14" i="11"/>
  <c r="JG14" i="11"/>
  <c r="JF14" i="11"/>
  <c r="JE14" i="11"/>
  <c r="JD14" i="11"/>
  <c r="JC14" i="11"/>
  <c r="JB14" i="11"/>
  <c r="JA14" i="11"/>
  <c r="IZ14" i="11"/>
  <c r="IY14" i="11"/>
  <c r="IX14" i="11"/>
  <c r="IW14" i="11"/>
  <c r="IV14" i="11"/>
  <c r="IU14" i="11"/>
  <c r="IT14" i="11"/>
  <c r="IS14" i="11"/>
  <c r="IR14" i="11"/>
  <c r="IQ14" i="11"/>
  <c r="IP14" i="11"/>
  <c r="IO14" i="11"/>
  <c r="IN14" i="11"/>
  <c r="IM14" i="11"/>
  <c r="IL14" i="11"/>
  <c r="IK14" i="11"/>
  <c r="IJ14" i="11"/>
  <c r="II14" i="11"/>
  <c r="IH14" i="11"/>
  <c r="IG14" i="11"/>
  <c r="IF14" i="11"/>
  <c r="IE14" i="11"/>
  <c r="ID14" i="11"/>
  <c r="IC14" i="11"/>
  <c r="IB14" i="11"/>
  <c r="IA14" i="11"/>
  <c r="HZ14" i="11"/>
  <c r="HY14" i="11"/>
  <c r="HX14" i="11"/>
  <c r="HW14" i="11"/>
  <c r="HV14" i="11"/>
  <c r="HU14" i="11"/>
  <c r="HT14" i="11"/>
  <c r="HS14" i="11"/>
  <c r="HR14" i="11"/>
  <c r="HQ14" i="11"/>
  <c r="HP14" i="11"/>
  <c r="HO14" i="11"/>
  <c r="HN14" i="11"/>
  <c r="HM14" i="11"/>
  <c r="HL14" i="11"/>
  <c r="HK14" i="11"/>
  <c r="HJ14" i="11"/>
  <c r="HI14" i="11"/>
  <c r="HH14" i="11"/>
  <c r="HG14" i="11"/>
  <c r="HF14" i="11"/>
  <c r="HE14" i="11"/>
  <c r="HD14" i="11"/>
  <c r="HC14" i="11"/>
  <c r="HB14" i="11"/>
  <c r="HA14" i="11"/>
  <c r="GZ14" i="11"/>
  <c r="GY14" i="11"/>
  <c r="GX14" i="11"/>
  <c r="GW14" i="11"/>
  <c r="GV14" i="11"/>
  <c r="GU14" i="11"/>
  <c r="GT14" i="11"/>
  <c r="GS14" i="11"/>
  <c r="GR14" i="11"/>
  <c r="GQ14" i="11"/>
  <c r="GP14" i="11"/>
  <c r="GO14" i="11"/>
  <c r="GN14" i="11"/>
  <c r="GM14" i="11"/>
  <c r="GL14" i="11"/>
  <c r="GK14" i="11"/>
  <c r="GJ14" i="11"/>
  <c r="GI14" i="11"/>
  <c r="GH14" i="11"/>
  <c r="GG14" i="11"/>
  <c r="GF14" i="11"/>
  <c r="GE14" i="11"/>
  <c r="GD14" i="11"/>
  <c r="GC14" i="11"/>
  <c r="GB14" i="11"/>
  <c r="GA14" i="11"/>
  <c r="FZ14" i="11"/>
  <c r="FY14" i="11"/>
  <c r="FX14" i="11"/>
  <c r="FW14" i="11"/>
  <c r="FV14" i="11"/>
  <c r="FU14" i="11"/>
  <c r="FS14" i="11"/>
  <c r="FR14" i="11"/>
  <c r="FQ14" i="11"/>
  <c r="FP14" i="11"/>
  <c r="FO14" i="11"/>
  <c r="FN14" i="11"/>
  <c r="FM14" i="11"/>
  <c r="FL14" i="11"/>
  <c r="FK14" i="11"/>
  <c r="FJ14" i="11"/>
  <c r="FI14" i="11"/>
  <c r="FH14" i="11"/>
  <c r="FG14" i="11"/>
  <c r="FF14" i="11"/>
  <c r="FE14" i="11"/>
  <c r="FD14" i="11"/>
  <c r="FC14" i="11"/>
  <c r="FB14" i="11"/>
  <c r="FA14" i="11"/>
  <c r="EZ14" i="11"/>
  <c r="EY14" i="11"/>
  <c r="EX14" i="11"/>
  <c r="EW14" i="11"/>
  <c r="EV14" i="11"/>
  <c r="EU14" i="11"/>
  <c r="ET14" i="11"/>
  <c r="ES14" i="11"/>
  <c r="ER14" i="11"/>
  <c r="EQ14" i="11"/>
  <c r="EP14" i="11"/>
  <c r="EO14" i="11"/>
  <c r="EN14" i="11"/>
  <c r="EM14" i="11"/>
  <c r="EL14" i="11"/>
  <c r="EK14" i="11"/>
  <c r="EI14" i="11"/>
  <c r="EH14" i="11"/>
  <c r="EG14" i="11"/>
  <c r="EF14" i="11"/>
  <c r="EE14" i="11"/>
  <c r="ED14" i="11"/>
  <c r="EC14" i="11"/>
  <c r="EB14" i="11"/>
  <c r="EA14" i="11"/>
  <c r="DZ14" i="11"/>
  <c r="DY14" i="11"/>
  <c r="DX14" i="11"/>
  <c r="DW14" i="11"/>
  <c r="DV14" i="11"/>
  <c r="DU14" i="11"/>
  <c r="DT14" i="11"/>
  <c r="DS14" i="11"/>
  <c r="DR14" i="11"/>
  <c r="DQ14" i="11"/>
  <c r="DP14" i="11"/>
  <c r="DO14" i="11"/>
  <c r="DN14" i="11"/>
  <c r="DM14" i="11"/>
  <c r="DL14" i="11"/>
  <c r="DK14" i="11"/>
  <c r="DJ14" i="11"/>
  <c r="DI14" i="11"/>
  <c r="DH14" i="11"/>
  <c r="DG14" i="11"/>
  <c r="DF14" i="11"/>
  <c r="DE14" i="11"/>
  <c r="DD14" i="11"/>
  <c r="DC14" i="11"/>
  <c r="DB14" i="11"/>
  <c r="DA14" i="11"/>
  <c r="CZ14" i="11"/>
  <c r="CY14" i="11"/>
  <c r="CX14" i="11"/>
  <c r="CW14" i="11"/>
  <c r="CV14" i="11"/>
  <c r="CU14" i="11"/>
  <c r="CT14" i="11"/>
  <c r="CS14" i="11"/>
  <c r="CR14" i="11"/>
  <c r="CQ14" i="11"/>
  <c r="CP14" i="11"/>
  <c r="CO14" i="11"/>
  <c r="CN14" i="11"/>
  <c r="CM14" i="11"/>
  <c r="CL14" i="11"/>
  <c r="CK14" i="11"/>
  <c r="CJ14" i="11"/>
  <c r="CI14" i="11"/>
  <c r="CH14" i="11"/>
  <c r="CG14" i="11"/>
  <c r="CF14" i="11"/>
  <c r="CE14" i="11"/>
  <c r="CD14" i="11"/>
  <c r="CC14" i="11"/>
  <c r="CB14" i="11"/>
  <c r="CA14" i="11"/>
  <c r="BZ14" i="11"/>
  <c r="BY14" i="11"/>
  <c r="BX14" i="11"/>
  <c r="BW14" i="11"/>
  <c r="BV14" i="11"/>
  <c r="BU14" i="11"/>
  <c r="BT14" i="11"/>
  <c r="BS14" i="11"/>
  <c r="BR14" i="11"/>
  <c r="BQ14" i="11"/>
  <c r="BP14" i="11"/>
  <c r="BN14" i="11"/>
  <c r="BM14" i="11"/>
  <c r="BL14" i="11"/>
  <c r="BK14" i="11"/>
  <c r="BJ14" i="11"/>
  <c r="BI14" i="11"/>
  <c r="BH14" i="11"/>
  <c r="BF14" i="11"/>
  <c r="BE14" i="11"/>
  <c r="BD14" i="11"/>
  <c r="BC14" i="11"/>
  <c r="BB14" i="11"/>
  <c r="BA14" i="11"/>
  <c r="AZ14" i="11"/>
  <c r="AY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O14" i="11"/>
  <c r="N14" i="11"/>
  <c r="L14" i="11"/>
  <c r="K14" i="11"/>
  <c r="J14" i="11"/>
  <c r="I14" i="11"/>
  <c r="H14" i="11"/>
  <c r="G14" i="11"/>
  <c r="F14" i="11"/>
  <c r="E14" i="11"/>
  <c r="D14" i="11"/>
  <c r="C14" i="11"/>
  <c r="B14" i="11"/>
  <c r="I375" i="9"/>
  <c r="I367" i="9"/>
  <c r="I360" i="9"/>
  <c r="I359" i="9"/>
  <c r="I343" i="9"/>
  <c r="I351" i="9"/>
  <c r="I335" i="9"/>
  <c r="I327" i="9"/>
  <c r="JZ14" i="3"/>
  <c r="KA14" i="3"/>
  <c r="KB14" i="3"/>
  <c r="KC14" i="3"/>
  <c r="KD14" i="3"/>
  <c r="KE14" i="3"/>
  <c r="KF14" i="3"/>
  <c r="KG14" i="3"/>
  <c r="KH14" i="3"/>
  <c r="KI14" i="3"/>
  <c r="KJ14" i="3"/>
  <c r="KK14" i="3"/>
  <c r="KL14" i="3"/>
  <c r="KM14" i="3"/>
  <c r="KN14" i="3"/>
  <c r="KO14" i="3"/>
  <c r="KP14" i="3"/>
  <c r="KQ14" i="3"/>
  <c r="KR14" i="3"/>
  <c r="KS14" i="3"/>
  <c r="KT14" i="3"/>
  <c r="KU14" i="3"/>
  <c r="KV14" i="3"/>
  <c r="KW14" i="3"/>
  <c r="KX14" i="3"/>
  <c r="KY14" i="3"/>
  <c r="KZ14" i="3"/>
  <c r="LA14" i="3"/>
  <c r="LB14" i="3"/>
  <c r="LC14" i="3"/>
  <c r="LD14" i="3"/>
  <c r="LE14" i="3"/>
  <c r="LF14" i="3"/>
  <c r="LG14" i="3"/>
  <c r="LH14" i="3"/>
  <c r="LI14" i="3"/>
  <c r="LJ14" i="3"/>
  <c r="LK14" i="3"/>
  <c r="LL14" i="3"/>
  <c r="LM14" i="3"/>
  <c r="LN14" i="3"/>
  <c r="LO14" i="3"/>
  <c r="LP14" i="3"/>
  <c r="LQ14" i="3"/>
  <c r="LR14" i="3"/>
  <c r="LS14" i="3"/>
  <c r="LT14" i="3"/>
  <c r="LU14" i="3"/>
  <c r="LV14" i="3"/>
  <c r="LW14" i="3"/>
  <c r="LX14" i="3"/>
  <c r="LY14" i="3"/>
  <c r="I319" i="9"/>
  <c r="I311" i="9"/>
  <c r="I303" i="9"/>
  <c r="I295" i="9"/>
  <c r="I296" i="9"/>
  <c r="I287" i="9"/>
  <c r="I26" i="7"/>
  <c r="I25" i="7"/>
  <c r="I23" i="7"/>
  <c r="I27" i="7"/>
  <c r="I24" i="7"/>
  <c r="IO14" i="3"/>
  <c r="IP14" i="3"/>
  <c r="IQ14" i="3"/>
  <c r="IR14" i="3"/>
  <c r="IS14" i="3"/>
  <c r="IT14" i="3"/>
  <c r="IU14" i="3"/>
  <c r="IV14" i="3"/>
  <c r="IW14" i="3"/>
  <c r="IX14" i="3"/>
  <c r="IY14" i="3"/>
  <c r="IZ14" i="3"/>
  <c r="JA14" i="3"/>
  <c r="JB14" i="3"/>
  <c r="JC14" i="3"/>
  <c r="JD14" i="3"/>
  <c r="JE14" i="3"/>
  <c r="JF14" i="3"/>
  <c r="JG14" i="3"/>
  <c r="JH14" i="3"/>
  <c r="JI14" i="3"/>
  <c r="JJ14" i="3"/>
  <c r="JK14" i="3"/>
  <c r="JL14" i="3"/>
  <c r="JM14" i="3"/>
  <c r="JN14" i="3"/>
  <c r="JO14" i="3"/>
  <c r="JP14" i="3"/>
  <c r="JQ14" i="3"/>
  <c r="JR14" i="3"/>
  <c r="JS14" i="3"/>
  <c r="JT14" i="3"/>
  <c r="JU14" i="3"/>
  <c r="JV14" i="3"/>
  <c r="JW14" i="3"/>
  <c r="JX14" i="3"/>
  <c r="JY14" i="3"/>
  <c r="I279" i="9"/>
  <c r="IC14" i="3"/>
  <c r="I22" i="7"/>
  <c r="I21" i="7"/>
  <c r="I19" i="7"/>
  <c r="I20" i="7"/>
  <c r="I249" i="9"/>
  <c r="I244" i="9"/>
  <c r="GX14" i="3"/>
  <c r="I241" i="9"/>
  <c r="GD14" i="3"/>
  <c r="GE14" i="3"/>
  <c r="GF14" i="3"/>
  <c r="GG14" i="3"/>
  <c r="GH14" i="3"/>
  <c r="GI14" i="3"/>
  <c r="GJ14" i="3"/>
  <c r="GK14" i="3"/>
  <c r="GL14" i="3"/>
  <c r="GM14" i="3"/>
  <c r="GN14" i="3"/>
  <c r="GO14" i="3"/>
  <c r="GP14" i="3"/>
  <c r="GQ14" i="3"/>
  <c r="GR14" i="3"/>
  <c r="GS14" i="3"/>
  <c r="GT14" i="3"/>
  <c r="GU14" i="3"/>
  <c r="GV14" i="3"/>
  <c r="GW14" i="3"/>
  <c r="GY14" i="3"/>
  <c r="GZ14" i="3"/>
  <c r="HA14" i="3"/>
  <c r="HB14" i="3"/>
  <c r="HC14" i="3"/>
  <c r="HD14" i="3"/>
  <c r="HE14" i="3"/>
  <c r="HF14" i="3"/>
  <c r="HG14" i="3"/>
  <c r="HH14" i="3"/>
  <c r="HI14" i="3"/>
  <c r="HJ14" i="3"/>
  <c r="HK14" i="3"/>
  <c r="HL14" i="3"/>
  <c r="HM14" i="3"/>
  <c r="HN14" i="3"/>
  <c r="HO14" i="3"/>
  <c r="HP14" i="3"/>
  <c r="HQ14" i="3"/>
  <c r="HR14" i="3"/>
  <c r="HS14" i="3"/>
  <c r="HT14" i="3"/>
  <c r="HU14" i="3"/>
  <c r="HV14" i="3"/>
  <c r="HW14" i="3"/>
  <c r="HX14" i="3"/>
  <c r="HY14" i="3"/>
  <c r="HZ14" i="3"/>
  <c r="IA14" i="3"/>
  <c r="IB14" i="3"/>
  <c r="ID14" i="3"/>
  <c r="IE14" i="3"/>
  <c r="IF14" i="3"/>
  <c r="IG14" i="3"/>
  <c r="IH14" i="3"/>
  <c r="II14" i="3"/>
  <c r="IJ14" i="3"/>
  <c r="IK14" i="3"/>
  <c r="IL14" i="3"/>
  <c r="IM14" i="3"/>
  <c r="IN14" i="3"/>
  <c r="I13" i="7"/>
  <c r="I12" i="7"/>
  <c r="FW14" i="3"/>
  <c r="FX14" i="3"/>
  <c r="FY14" i="3"/>
  <c r="FZ14" i="3"/>
  <c r="GA14" i="3"/>
  <c r="GB14" i="3"/>
  <c r="GC14" i="3"/>
  <c r="EO14" i="3"/>
  <c r="EE14" i="3"/>
  <c r="FG14" i="3"/>
  <c r="FH14" i="3"/>
  <c r="FI14" i="3"/>
  <c r="FJ14" i="3"/>
  <c r="FK14" i="3"/>
  <c r="FL14" i="3"/>
  <c r="FM14" i="3"/>
  <c r="FN14" i="3"/>
  <c r="FO14" i="3"/>
  <c r="FP14" i="3"/>
  <c r="FQ14" i="3"/>
  <c r="FR14" i="3"/>
  <c r="FS14" i="3"/>
  <c r="FU14" i="3"/>
  <c r="FV14" i="3"/>
  <c r="EW14" i="3"/>
  <c r="EX14" i="3"/>
  <c r="EY14" i="3"/>
  <c r="EZ14" i="3"/>
  <c r="FA14" i="3"/>
  <c r="FB14" i="3"/>
  <c r="FC14" i="3"/>
  <c r="FD14" i="3"/>
  <c r="FE14" i="3"/>
  <c r="FF14" i="3"/>
  <c r="I186" i="9"/>
  <c r="I185" i="9"/>
  <c r="I11" i="7"/>
  <c r="ES14" i="3"/>
  <c r="ET14" i="3"/>
  <c r="EU14" i="3"/>
  <c r="EV14" i="3"/>
  <c r="I10" i="7"/>
  <c r="J9" i="7"/>
  <c r="I9" i="7"/>
  <c r="DV14" i="3"/>
  <c r="I161" i="9"/>
  <c r="DS14" i="3"/>
  <c r="DT14" i="3"/>
  <c r="DU14" i="3"/>
  <c r="DW14" i="3"/>
  <c r="DX14" i="3"/>
  <c r="DY14" i="3"/>
  <c r="DZ14" i="3"/>
  <c r="EA14" i="3"/>
  <c r="EB14" i="3"/>
  <c r="EC14" i="3"/>
  <c r="ED14" i="3"/>
  <c r="EF14" i="3"/>
  <c r="EG14" i="3"/>
  <c r="EH14" i="3"/>
  <c r="EI14" i="3"/>
  <c r="EK14" i="3"/>
  <c r="EL14" i="3"/>
  <c r="EM14" i="3"/>
  <c r="EN14" i="3"/>
  <c r="EP14" i="3"/>
  <c r="EQ14" i="3"/>
  <c r="ER14" i="3"/>
  <c r="DR14" i="3"/>
  <c r="DM14" i="3"/>
  <c r="B141" i="9" a="1"/>
  <c r="B141" i="9" s="1"/>
  <c r="DF14" i="3"/>
  <c r="DG14" i="3"/>
  <c r="DH14" i="3"/>
  <c r="DI14" i="3"/>
  <c r="DJ14" i="3"/>
  <c r="DK14" i="3"/>
  <c r="DL14" i="3"/>
  <c r="DN14" i="3"/>
  <c r="DO14" i="3"/>
  <c r="DP14" i="3"/>
  <c r="DQ14" i="3"/>
  <c r="DA14" i="3"/>
  <c r="J7" i="7"/>
  <c r="I7" i="7"/>
  <c r="I390" i="9"/>
  <c r="I389" i="9"/>
  <c r="I388" i="9"/>
  <c r="I387" i="9"/>
  <c r="I386" i="9"/>
  <c r="I385" i="9"/>
  <c r="I384" i="9"/>
  <c r="I382" i="9"/>
  <c r="I381" i="9"/>
  <c r="I380" i="9"/>
  <c r="I379" i="9"/>
  <c r="I378" i="9"/>
  <c r="I377" i="9"/>
  <c r="I376" i="9"/>
  <c r="I374" i="9"/>
  <c r="I373" i="9"/>
  <c r="I372" i="9"/>
  <c r="I371" i="9"/>
  <c r="I370" i="9"/>
  <c r="I369" i="9"/>
  <c r="I368" i="9"/>
  <c r="I366" i="9"/>
  <c r="I365" i="9"/>
  <c r="I364" i="9"/>
  <c r="I363" i="9"/>
  <c r="I362" i="9"/>
  <c r="I361" i="9"/>
  <c r="I358" i="9"/>
  <c r="I357" i="9"/>
  <c r="I356" i="9"/>
  <c r="I355" i="9"/>
  <c r="I354" i="9"/>
  <c r="I353" i="9"/>
  <c r="I352" i="9"/>
  <c r="I350" i="9"/>
  <c r="I349" i="9"/>
  <c r="I348" i="9"/>
  <c r="I347" i="9"/>
  <c r="I345" i="9"/>
  <c r="I344" i="9"/>
  <c r="I342" i="9"/>
  <c r="I341" i="9"/>
  <c r="I340" i="9"/>
  <c r="I339" i="9"/>
  <c r="I338" i="9"/>
  <c r="I337" i="9"/>
  <c r="I336" i="9"/>
  <c r="I334" i="9"/>
  <c r="I333" i="9"/>
  <c r="I332" i="9"/>
  <c r="I331" i="9"/>
  <c r="I330" i="9"/>
  <c r="I329" i="9"/>
  <c r="I328" i="9"/>
  <c r="I326" i="9"/>
  <c r="I325" i="9"/>
  <c r="I324" i="9"/>
  <c r="I323" i="9"/>
  <c r="I322" i="9"/>
  <c r="I321" i="9"/>
  <c r="I320" i="9"/>
  <c r="I318" i="9"/>
  <c r="I317" i="9"/>
  <c r="I316" i="9"/>
  <c r="I315" i="9"/>
  <c r="I314" i="9"/>
  <c r="I313" i="9"/>
  <c r="I310" i="9"/>
  <c r="I309" i="9"/>
  <c r="I308" i="9"/>
  <c r="I307" i="9"/>
  <c r="I306" i="9"/>
  <c r="I305" i="9"/>
  <c r="I304" i="9"/>
  <c r="I302" i="9"/>
  <c r="I301" i="9"/>
  <c r="I300" i="9"/>
  <c r="I299" i="9"/>
  <c r="I298" i="9"/>
  <c r="I297" i="9"/>
  <c r="I294" i="9"/>
  <c r="I293" i="9"/>
  <c r="I292" i="9"/>
  <c r="I291" i="9"/>
  <c r="I290" i="9"/>
  <c r="I289" i="9"/>
  <c r="I288" i="9"/>
  <c r="I286" i="9"/>
  <c r="I285" i="9"/>
  <c r="I284" i="9"/>
  <c r="I283" i="9"/>
  <c r="I282" i="9"/>
  <c r="I281" i="9"/>
  <c r="I280" i="9"/>
  <c r="I278" i="9"/>
  <c r="I277" i="9"/>
  <c r="I276" i="9"/>
  <c r="I275" i="9"/>
  <c r="I274" i="9"/>
  <c r="I273" i="9"/>
  <c r="I272" i="9"/>
  <c r="I271" i="9"/>
  <c r="I270" i="9"/>
  <c r="I269" i="9"/>
  <c r="I268" i="9"/>
  <c r="I267" i="9"/>
  <c r="I266" i="9"/>
  <c r="I265" i="9"/>
  <c r="I264" i="9"/>
  <c r="I263" i="9"/>
  <c r="I262" i="9"/>
  <c r="I260" i="9"/>
  <c r="I259" i="9"/>
  <c r="I258" i="9"/>
  <c r="I257" i="9"/>
  <c r="I256" i="9"/>
  <c r="I255" i="9"/>
  <c r="I254" i="9"/>
  <c r="I253" i="9"/>
  <c r="I252" i="9"/>
  <c r="I251" i="9"/>
  <c r="I250" i="9"/>
  <c r="I248" i="9"/>
  <c r="I247" i="9"/>
  <c r="I246" i="9"/>
  <c r="I245" i="9"/>
  <c r="I243" i="9"/>
  <c r="I242" i="9"/>
  <c r="I240" i="9"/>
  <c r="I239" i="9"/>
  <c r="I238" i="9"/>
  <c r="I237" i="9"/>
  <c r="I236" i="9"/>
  <c r="I235" i="9"/>
  <c r="I233" i="9"/>
  <c r="I232" i="9"/>
  <c r="I231" i="9"/>
  <c r="I230" i="9"/>
  <c r="I229" i="9"/>
  <c r="I228" i="9"/>
  <c r="I227" i="9"/>
  <c r="I226" i="9"/>
  <c r="I225" i="9"/>
  <c r="I224" i="9"/>
  <c r="I223" i="9"/>
  <c r="I222" i="9"/>
  <c r="I221" i="9"/>
  <c r="I220" i="9"/>
  <c r="I219" i="9"/>
  <c r="I218" i="9"/>
  <c r="I217" i="9"/>
  <c r="I216" i="9"/>
  <c r="I215" i="9"/>
  <c r="I214" i="9"/>
  <c r="I213" i="9"/>
  <c r="I212" i="9"/>
  <c r="I211" i="9"/>
  <c r="I210" i="9"/>
  <c r="I209" i="9"/>
  <c r="I208" i="9"/>
  <c r="I207" i="9"/>
  <c r="I206" i="9"/>
  <c r="I205" i="9"/>
  <c r="I204" i="9"/>
  <c r="I203" i="9"/>
  <c r="I202" i="9"/>
  <c r="I201" i="9"/>
  <c r="I200" i="9"/>
  <c r="I199" i="9"/>
  <c r="I198" i="9"/>
  <c r="I197" i="9"/>
  <c r="I196" i="9"/>
  <c r="I195" i="9"/>
  <c r="I194" i="9"/>
  <c r="I193" i="9"/>
  <c r="I192" i="9"/>
  <c r="I191" i="9"/>
  <c r="I190" i="9"/>
  <c r="I189" i="9"/>
  <c r="I188" i="9"/>
  <c r="I187" i="9"/>
  <c r="I184" i="9"/>
  <c r="I183" i="9"/>
  <c r="I182" i="9"/>
  <c r="I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0" i="9"/>
  <c r="I159" i="9"/>
  <c r="I158" i="9"/>
  <c r="I157" i="9"/>
  <c r="I156" i="9"/>
  <c r="I155" i="9"/>
  <c r="I154" i="9"/>
  <c r="I153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4" i="9"/>
  <c r="I133" i="9"/>
  <c r="I132" i="9"/>
  <c r="I131" i="9"/>
  <c r="I130" i="9"/>
  <c r="I128" i="9"/>
  <c r="I127" i="9"/>
  <c r="I126" i="9"/>
  <c r="I125" i="9"/>
  <c r="I124" i="9"/>
  <c r="I123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8" i="9"/>
  <c r="I107" i="9"/>
  <c r="I106" i="9"/>
  <c r="I105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69" i="9"/>
  <c r="I68" i="9"/>
  <c r="I67" i="9"/>
  <c r="I66" i="9"/>
  <c r="I65" i="9"/>
  <c r="I64" i="9"/>
  <c r="I63" i="9"/>
  <c r="I62" i="9"/>
  <c r="I61" i="9"/>
  <c r="I59" i="9"/>
  <c r="I57" i="9"/>
  <c r="I56" i="9"/>
  <c r="I54" i="9"/>
  <c r="I53" i="9"/>
  <c r="I52" i="9"/>
  <c r="I51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0" i="9"/>
  <c r="I9" i="9"/>
  <c r="I8" i="9"/>
  <c r="BU14" i="3"/>
  <c r="CS14" i="3"/>
  <c r="CT14" i="3"/>
  <c r="CU14" i="3"/>
  <c r="CV14" i="3"/>
  <c r="CW14" i="3"/>
  <c r="CX14" i="3"/>
  <c r="CY14" i="3"/>
  <c r="CZ14" i="3"/>
  <c r="DB14" i="3"/>
  <c r="DC14" i="3"/>
  <c r="DD14" i="3"/>
  <c r="DE14" i="3"/>
  <c r="CQ14" i="3"/>
  <c r="CR14" i="3"/>
  <c r="CO14" i="3"/>
  <c r="CP14" i="3"/>
  <c r="CN14" i="3"/>
  <c r="CM14" i="3"/>
  <c r="CL14" i="3"/>
  <c r="CK14" i="3"/>
  <c r="CI14" i="3"/>
  <c r="CH14" i="3"/>
  <c r="CG14" i="3"/>
  <c r="CF14" i="3"/>
  <c r="CE14" i="3"/>
  <c r="CD14" i="3"/>
  <c r="CB14" i="3"/>
  <c r="CA14" i="3"/>
  <c r="BZ14" i="3"/>
  <c r="BY14" i="3"/>
  <c r="BX14" i="3"/>
  <c r="BS14" i="3"/>
  <c r="BT14" i="3"/>
  <c r="BR14" i="3"/>
  <c r="BQ14" i="3"/>
  <c r="BP14" i="3"/>
  <c r="BN14" i="3"/>
  <c r="BL14" i="3"/>
  <c r="BK14" i="3"/>
  <c r="BJ14" i="3"/>
  <c r="BM14" i="3"/>
  <c r="BO14" i="3"/>
  <c r="BV14" i="3"/>
  <c r="BW14" i="3"/>
  <c r="CC14" i="3"/>
  <c r="CJ14" i="3"/>
  <c r="AE52" i="6"/>
  <c r="AF52" i="6"/>
  <c r="AC52" i="6"/>
  <c r="AB52" i="6"/>
  <c r="Z52" i="6"/>
  <c r="Y52" i="6"/>
  <c r="X52" i="6"/>
  <c r="W52" i="6"/>
  <c r="V52" i="6"/>
  <c r="T52" i="6"/>
  <c r="R52" i="6"/>
  <c r="Q52" i="6"/>
  <c r="S52" i="6"/>
  <c r="U52" i="6"/>
  <c r="AA52" i="6"/>
  <c r="AD52" i="6"/>
  <c r="AG52" i="6"/>
  <c r="M52" i="6"/>
  <c r="N52" i="6"/>
  <c r="O52" i="6"/>
  <c r="P52" i="6"/>
  <c r="L52" i="6"/>
  <c r="K52" i="6"/>
  <c r="J52" i="6"/>
  <c r="I52" i="6"/>
  <c r="H52" i="6"/>
  <c r="BG14" i="3"/>
  <c r="BD14" i="3"/>
  <c r="BC14" i="3"/>
  <c r="BB14" i="3"/>
  <c r="AZ14" i="3"/>
  <c r="AY14" i="3"/>
  <c r="AX14" i="3"/>
  <c r="AW14" i="3"/>
  <c r="AV14" i="3"/>
  <c r="AS14" i="3"/>
  <c r="AQ14" i="3"/>
  <c r="AP14" i="3"/>
  <c r="AR14" i="3"/>
  <c r="AT14" i="3"/>
  <c r="AU14" i="3"/>
  <c r="BA14" i="3"/>
  <c r="BE14" i="3"/>
  <c r="BF14" i="3"/>
  <c r="BH14" i="3"/>
  <c r="BI14" i="3"/>
  <c r="AO14" i="3"/>
  <c r="AL14" i="3"/>
  <c r="AI14" i="3"/>
  <c r="AH14" i="3"/>
  <c r="AG14" i="3"/>
  <c r="AE14" i="3"/>
  <c r="AF14" i="3"/>
  <c r="AJ14" i="3"/>
  <c r="AK14" i="3"/>
  <c r="AM14" i="3"/>
  <c r="AN14" i="3"/>
  <c r="G27" i="5"/>
  <c r="G26" i="5"/>
  <c r="AE36" i="6"/>
  <c r="AD36" i="6"/>
  <c r="AC36" i="6"/>
  <c r="AB36" i="6"/>
  <c r="AA36" i="6"/>
  <c r="Z36" i="6"/>
  <c r="Y36" i="6"/>
  <c r="X36" i="6"/>
  <c r="W36" i="6"/>
  <c r="V36" i="6"/>
  <c r="U36" i="6"/>
  <c r="H36" i="6"/>
  <c r="I36" i="6"/>
  <c r="J36" i="6"/>
  <c r="K36" i="6"/>
  <c r="L36" i="6"/>
  <c r="M36" i="6"/>
  <c r="N36" i="6"/>
  <c r="G21" i="5"/>
  <c r="G23" i="5"/>
  <c r="G22" i="5"/>
  <c r="T36" i="6"/>
  <c r="S36" i="6"/>
  <c r="R36" i="6"/>
  <c r="Q36" i="6"/>
  <c r="P36" i="6"/>
  <c r="O36" i="6"/>
  <c r="AD14" i="3"/>
  <c r="AC14" i="3"/>
  <c r="AB14" i="3"/>
  <c r="AA14" i="3"/>
  <c r="Z14" i="3"/>
  <c r="Y14" i="3"/>
  <c r="X14" i="3"/>
  <c r="W14" i="3"/>
  <c r="V14" i="3"/>
  <c r="U14" i="3"/>
  <c r="T14" i="3"/>
  <c r="P14" i="3"/>
  <c r="S14" i="3"/>
  <c r="R14" i="3"/>
  <c r="I372" i="7"/>
  <c r="I371" i="7"/>
  <c r="I370" i="7"/>
  <c r="I369" i="7"/>
  <c r="I368" i="7"/>
  <c r="I367" i="7"/>
  <c r="I366" i="7"/>
  <c r="I365" i="7"/>
  <c r="I364" i="7"/>
  <c r="I363" i="7"/>
  <c r="I362" i="7"/>
  <c r="I361" i="7"/>
  <c r="I360" i="7"/>
  <c r="I359" i="7"/>
  <c r="I358" i="7"/>
  <c r="I357" i="7"/>
  <c r="I356" i="7"/>
  <c r="I355" i="7"/>
  <c r="I354" i="7"/>
  <c r="I353" i="7"/>
  <c r="I352" i="7"/>
  <c r="I351" i="7"/>
  <c r="I350" i="7"/>
  <c r="I349" i="7"/>
  <c r="I348" i="7"/>
  <c r="I347" i="7"/>
  <c r="I346" i="7"/>
  <c r="I345" i="7"/>
  <c r="I344" i="7"/>
  <c r="I343" i="7"/>
  <c r="I342" i="7"/>
  <c r="I341" i="7"/>
  <c r="I340" i="7"/>
  <c r="I339" i="7"/>
  <c r="I338" i="7"/>
  <c r="I337" i="7"/>
  <c r="I336" i="7"/>
  <c r="I335" i="7"/>
  <c r="I334" i="7"/>
  <c r="I333" i="7"/>
  <c r="I332" i="7"/>
  <c r="I331" i="7"/>
  <c r="I330" i="7"/>
  <c r="I329" i="7"/>
  <c r="I328" i="7"/>
  <c r="I327" i="7"/>
  <c r="I326" i="7"/>
  <c r="I325" i="7"/>
  <c r="I324" i="7"/>
  <c r="I323" i="7"/>
  <c r="I322" i="7"/>
  <c r="I321" i="7"/>
  <c r="I320" i="7"/>
  <c r="I319" i="7"/>
  <c r="I318" i="7"/>
  <c r="I317" i="7"/>
  <c r="I316" i="7"/>
  <c r="I315" i="7"/>
  <c r="I314" i="7"/>
  <c r="I313" i="7"/>
  <c r="I312" i="7"/>
  <c r="I311" i="7"/>
  <c r="I310" i="7"/>
  <c r="I309" i="7"/>
  <c r="I308" i="7"/>
  <c r="I307" i="7"/>
  <c r="I306" i="7"/>
  <c r="I305" i="7"/>
  <c r="I304" i="7"/>
  <c r="I303" i="7"/>
  <c r="I302" i="7"/>
  <c r="I301" i="7"/>
  <c r="I300" i="7"/>
  <c r="I299" i="7"/>
  <c r="I298" i="7"/>
  <c r="I297" i="7"/>
  <c r="I296" i="7"/>
  <c r="I295" i="7"/>
  <c r="I294" i="7"/>
  <c r="I293" i="7"/>
  <c r="I292" i="7"/>
  <c r="I291" i="7"/>
  <c r="I290" i="7"/>
  <c r="I289" i="7"/>
  <c r="I288" i="7"/>
  <c r="I287" i="7"/>
  <c r="I286" i="7"/>
  <c r="I285" i="7"/>
  <c r="I284" i="7"/>
  <c r="I283" i="7"/>
  <c r="I282" i="7"/>
  <c r="I281" i="7"/>
  <c r="I280" i="7"/>
  <c r="I279" i="7"/>
  <c r="I278" i="7"/>
  <c r="I277" i="7"/>
  <c r="I276" i="7"/>
  <c r="I275" i="7"/>
  <c r="I274" i="7"/>
  <c r="I273" i="7"/>
  <c r="I272" i="7"/>
  <c r="I271" i="7"/>
  <c r="I270" i="7"/>
  <c r="I269" i="7"/>
  <c r="I268" i="7"/>
  <c r="I267" i="7"/>
  <c r="I266" i="7"/>
  <c r="I265" i="7"/>
  <c r="I264" i="7"/>
  <c r="I263" i="7"/>
  <c r="I262" i="7"/>
  <c r="I261" i="7"/>
  <c r="I260" i="7"/>
  <c r="I259" i="7"/>
  <c r="I258" i="7"/>
  <c r="I257" i="7"/>
  <c r="I256" i="7"/>
  <c r="I255" i="7"/>
  <c r="I254" i="7"/>
  <c r="I253" i="7"/>
  <c r="I252" i="7"/>
  <c r="I251" i="7"/>
  <c r="I250" i="7"/>
  <c r="I249" i="7"/>
  <c r="I248" i="7"/>
  <c r="I247" i="7"/>
  <c r="I246" i="7"/>
  <c r="I245" i="7"/>
  <c r="I244" i="7"/>
  <c r="I243" i="7"/>
  <c r="I242" i="7"/>
  <c r="I241" i="7"/>
  <c r="I240" i="7"/>
  <c r="I239" i="7"/>
  <c r="I238" i="7"/>
  <c r="I237" i="7"/>
  <c r="I236" i="7"/>
  <c r="I235" i="7"/>
  <c r="I234" i="7"/>
  <c r="I233" i="7"/>
  <c r="I232" i="7"/>
  <c r="I231" i="7"/>
  <c r="I230" i="7"/>
  <c r="I229" i="7"/>
  <c r="I228" i="7"/>
  <c r="I227" i="7"/>
  <c r="I226" i="7"/>
  <c r="I225" i="7"/>
  <c r="I224" i="7"/>
  <c r="I223" i="7"/>
  <c r="I222" i="7"/>
  <c r="I221" i="7"/>
  <c r="I220" i="7"/>
  <c r="I219" i="7"/>
  <c r="I218" i="7"/>
  <c r="I217" i="7"/>
  <c r="I216" i="7"/>
  <c r="I215" i="7"/>
  <c r="I214" i="7"/>
  <c r="I213" i="7"/>
  <c r="I212" i="7"/>
  <c r="I211" i="7"/>
  <c r="I210" i="7"/>
  <c r="I209" i="7"/>
  <c r="I208" i="7"/>
  <c r="I207" i="7"/>
  <c r="I206" i="7"/>
  <c r="I205" i="7"/>
  <c r="I204" i="7"/>
  <c r="I203" i="7"/>
  <c r="I202" i="7"/>
  <c r="I201" i="7"/>
  <c r="I200" i="7"/>
  <c r="I199" i="7"/>
  <c r="I198" i="7"/>
  <c r="I197" i="7"/>
  <c r="I196" i="7"/>
  <c r="I195" i="7"/>
  <c r="I194" i="7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9" i="7"/>
  <c r="I178" i="7"/>
  <c r="I177" i="7"/>
  <c r="I176" i="7"/>
  <c r="I175" i="7"/>
  <c r="I174" i="7"/>
  <c r="I173" i="7"/>
  <c r="I172" i="7"/>
  <c r="I171" i="7"/>
  <c r="I170" i="7"/>
  <c r="I169" i="7"/>
  <c r="I168" i="7"/>
  <c r="I167" i="7"/>
  <c r="I166" i="7"/>
  <c r="I165" i="7"/>
  <c r="I164" i="7"/>
  <c r="I163" i="7"/>
  <c r="I162" i="7"/>
  <c r="I161" i="7"/>
  <c r="I160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S14" i="6"/>
  <c r="Q14" i="6"/>
  <c r="P14" i="6"/>
  <c r="Q14" i="3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G12" i="5"/>
  <c r="G13" i="5"/>
  <c r="G14" i="5"/>
  <c r="O14" i="3"/>
  <c r="N14" i="3"/>
  <c r="M14" i="3"/>
  <c r="L14" i="3"/>
  <c r="I14" i="3"/>
  <c r="J14" i="3"/>
  <c r="H14" i="3"/>
  <c r="F14" i="3"/>
  <c r="G14" i="3"/>
  <c r="E14" i="3"/>
  <c r="B14" i="3"/>
  <c r="D14" i="3"/>
  <c r="K14" i="3"/>
  <c r="C14" i="3"/>
  <c r="I369" i="2"/>
  <c r="I368" i="2"/>
  <c r="I312" i="2"/>
  <c r="I273" i="2"/>
  <c r="I260" i="2"/>
  <c r="I243" i="2"/>
  <c r="I191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1" i="2"/>
  <c r="I262" i="2"/>
  <c r="I263" i="2"/>
  <c r="I264" i="2"/>
  <c r="I265" i="2"/>
  <c r="I266" i="2"/>
  <c r="I267" i="2"/>
  <c r="I268" i="2"/>
  <c r="I269" i="2"/>
  <c r="I270" i="2"/>
  <c r="I271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70" i="2"/>
  <c r="I371" i="2"/>
  <c r="I372" i="2"/>
  <c r="I373" i="2"/>
  <c r="I374" i="2"/>
  <c r="I190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8" i="2"/>
  <c r="I139" i="2"/>
  <c r="I140" i="2"/>
  <c r="I141" i="2"/>
  <c r="I142" i="2"/>
  <c r="I143" i="2"/>
  <c r="I144" i="2"/>
  <c r="I145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<sst xmlns="http://schemas.openxmlformats.org/spreadsheetml/2006/main" count="3813" uniqueCount="847">
  <si>
    <t>CONTROL HITOS  AVIACIÓN</t>
  </si>
  <si>
    <t xml:space="preserve">FECHA </t>
  </si>
  <si>
    <t>VUELO</t>
  </si>
  <si>
    <t>MATRICULA</t>
  </si>
  <si>
    <t>PARKING</t>
  </si>
  <si>
    <t>ETA</t>
  </si>
  <si>
    <t>ATA</t>
  </si>
  <si>
    <t>ETD</t>
  </si>
  <si>
    <t>ATD</t>
  </si>
  <si>
    <t>GROUND  TIME</t>
  </si>
  <si>
    <t>DLY (TIEMPO)</t>
  </si>
  <si>
    <t>CODIGO</t>
  </si>
  <si>
    <t>MOTIVO</t>
  </si>
  <si>
    <t>PERSONAL ACCIONA</t>
  </si>
  <si>
    <t>GPU</t>
  </si>
  <si>
    <t>ASU</t>
  </si>
  <si>
    <t>BODEGAS</t>
  </si>
  <si>
    <t>I.DESCARGA</t>
  </si>
  <si>
    <t>T.DESCARGA</t>
  </si>
  <si>
    <t xml:space="preserve">I.CARGA </t>
  </si>
  <si>
    <t xml:space="preserve">T.CARGA </t>
  </si>
  <si>
    <t>ENVIO COURIER</t>
  </si>
  <si>
    <t>CIERRE DE PUERTA L1</t>
  </si>
  <si>
    <t>SUPERVISORES</t>
  </si>
  <si>
    <t>EOV 1</t>
  </si>
  <si>
    <t>IN</t>
  </si>
  <si>
    <t>OUT</t>
  </si>
  <si>
    <t>OPEN</t>
  </si>
  <si>
    <t>CLOSE</t>
  </si>
  <si>
    <t>DAE 1558/2558</t>
  </si>
  <si>
    <t>CANX</t>
  </si>
  <si>
    <t xml:space="preserve">CANCELADO </t>
  </si>
  <si>
    <t>HP3610</t>
  </si>
  <si>
    <t>ON TIME</t>
  </si>
  <si>
    <t>A.FERNANDEZ/R.CUEVAS</t>
  </si>
  <si>
    <t>HP3810</t>
  </si>
  <si>
    <t>K4272</t>
  </si>
  <si>
    <t>CANCELADO</t>
  </si>
  <si>
    <t>HP3710</t>
  </si>
  <si>
    <t>HP3310</t>
  </si>
  <si>
    <t>A. FERNANDEZ</t>
  </si>
  <si>
    <t>R:CUEVAS/C.CASTRO</t>
  </si>
  <si>
    <t>N772CK</t>
  </si>
  <si>
    <t>PROCESO DE DESCARGA Y CARGA LENTO AGUNSA</t>
  </si>
  <si>
    <t>DAE 1558/1560</t>
  </si>
  <si>
    <t>A.FERNANDEZ/C.CASTRO</t>
  </si>
  <si>
    <t>HP3910</t>
  </si>
  <si>
    <t>0.</t>
  </si>
  <si>
    <t>HP3510</t>
  </si>
  <si>
    <t>a.fernandez/r.cuevas/c.castro</t>
  </si>
  <si>
    <t>93A</t>
  </si>
  <si>
    <t xml:space="preserve">RETRASO VUELO ARRIBO SCL ARRASTRE EZE </t>
  </si>
  <si>
    <t>L.TORRES/C.CASTRO/R.CUEVAS</t>
  </si>
  <si>
    <t>L.TORRES/ A.FERNANDEZ</t>
  </si>
  <si>
    <t>torres/fernandez/cuevas</t>
  </si>
  <si>
    <t>C.CASTRO/L.TORRES</t>
  </si>
  <si>
    <t>k4272</t>
  </si>
  <si>
    <t>N776CK</t>
  </si>
  <si>
    <t>7.54</t>
  </si>
  <si>
    <t>A. FERNANDEZ/L.TORRES</t>
  </si>
  <si>
    <t>R.CUEVAS / C.CASTRO</t>
  </si>
  <si>
    <t>L.TORRES/A.FERNANDEZ/C.CASTRO</t>
  </si>
  <si>
    <t>A.FERNANDEZ-L.TORRES-R.CUEVAS</t>
  </si>
  <si>
    <t>N795CK</t>
  </si>
  <si>
    <t>64A</t>
  </si>
  <si>
    <t xml:space="preserve">29MIN 41A RETRASO X CREW REST -MANTTO A/C </t>
  </si>
  <si>
    <t>L.TORRE-C.CASTRO-R.CUEVAS</t>
  </si>
  <si>
    <t>bodega cerrada</t>
  </si>
  <si>
    <t>A.FERNANDEZ/C.CASTRO/L.TORRES</t>
  </si>
  <si>
    <t xml:space="preserve">0:28/ 0:06   </t>
  </si>
  <si>
    <t>93A/32A</t>
  </si>
  <si>
    <t>28MIN ARRASTRE/32A CARGA Y DESCARGA</t>
  </si>
  <si>
    <t>A.FERNANDEZ/L.TORRES</t>
  </si>
  <si>
    <t>93A ARRASTRE SEGMENTO EZE/SCL</t>
  </si>
  <si>
    <t>7_22</t>
  </si>
  <si>
    <t>02:37/00:50</t>
  </si>
  <si>
    <t>93-32</t>
  </si>
  <si>
    <t>ARRASTRE Y FALTA DE PERSONAL RAMPA AGUNSA</t>
  </si>
  <si>
    <t>93A/02</t>
  </si>
  <si>
    <t>arrastre segmento anterior eze/scl, carga sobredimensionada</t>
  </si>
  <si>
    <t xml:space="preserve">arrastre  segmento anterior EZE-SCL </t>
  </si>
  <si>
    <t xml:space="preserve">L.TORRES/C.CASTRO </t>
  </si>
  <si>
    <t>93B</t>
  </si>
  <si>
    <t>arrastre eze-scl</t>
  </si>
  <si>
    <t>0:01mnts</t>
  </si>
  <si>
    <t>ATC</t>
  </si>
  <si>
    <t>L.TORRES</t>
  </si>
  <si>
    <t>00:11-00:08</t>
  </si>
  <si>
    <t>63-89</t>
  </si>
  <si>
    <t>PREOCESOS DE TRIPULACION Y ATC</t>
  </si>
  <si>
    <t>L.TORRES/R.CUEVAS</t>
  </si>
  <si>
    <t>C.CASTRO/R.CUEVAS</t>
  </si>
  <si>
    <t>DAE 1505</t>
  </si>
  <si>
    <t>VUELO  DE LLEGADA PERNOCTA EN SCL</t>
  </si>
  <si>
    <t>x</t>
  </si>
  <si>
    <t>C.CASTRO/L.TORRES/r.cuevas</t>
  </si>
  <si>
    <t>DAE1558/3558</t>
  </si>
  <si>
    <t>LEONEL TORRES</t>
  </si>
  <si>
    <t>DAE 2558</t>
  </si>
  <si>
    <t>ROTACION DE TRIPULACION</t>
  </si>
  <si>
    <t xml:space="preserve"> 8:20</t>
  </si>
  <si>
    <t>RAÚL CUEVAS</t>
  </si>
  <si>
    <t>N775CK</t>
  </si>
  <si>
    <t>95B</t>
  </si>
  <si>
    <t>ESPERA DE TRIPULACION LLEGANDO EN VUELO COMERCIAL</t>
  </si>
  <si>
    <t>R.CUEVAS/L.TORRES</t>
  </si>
  <si>
    <t xml:space="preserve">DAE 1558 </t>
  </si>
  <si>
    <t>DAE2558</t>
  </si>
  <si>
    <t>N793</t>
  </si>
  <si>
    <t>N794CK</t>
  </si>
  <si>
    <t>L.TORRES/R.CUEVAS/C.CASTRO</t>
  </si>
  <si>
    <t>a.fernandez/c.castro/r.cuevas</t>
  </si>
  <si>
    <t>a.fernandez/c.castro/L.TORRES</t>
  </si>
  <si>
    <t>FERNANDEZ/TORRES/CASTRO/CUEVA</t>
  </si>
  <si>
    <t>R.CUEVAS/L.TORRES/C.CASTRO</t>
  </si>
  <si>
    <t>N722CK</t>
  </si>
  <si>
    <t>64C</t>
  </si>
  <si>
    <t>DESCANSO DE TRIPULACION</t>
  </si>
  <si>
    <t>336 minutos</t>
  </si>
  <si>
    <t>|</t>
  </si>
  <si>
    <t>N° TRACTADO</t>
  </si>
  <si>
    <t xml:space="preserve">currier </t>
  </si>
  <si>
    <t>carga</t>
  </si>
  <si>
    <t xml:space="preserve">queda </t>
  </si>
  <si>
    <t xml:space="preserve">no se </t>
  </si>
  <si>
    <t>se deja</t>
  </si>
  <si>
    <t xml:space="preserve">courrier </t>
  </si>
  <si>
    <t>courrier</t>
  </si>
  <si>
    <t>queda</t>
  </si>
  <si>
    <t xml:space="preserve">bodega </t>
  </si>
  <si>
    <t>DHL</t>
  </si>
  <si>
    <t xml:space="preserve">RESTO </t>
  </si>
  <si>
    <t xml:space="preserve">todo </t>
  </si>
  <si>
    <t>entrega</t>
  </si>
  <si>
    <t>envío</t>
  </si>
  <si>
    <t>todo</t>
  </si>
  <si>
    <t>queda en</t>
  </si>
  <si>
    <t xml:space="preserve">en </t>
  </si>
  <si>
    <t>cerrada</t>
  </si>
  <si>
    <t xml:space="preserve">entrega </t>
  </si>
  <si>
    <t>CURRIER</t>
  </si>
  <si>
    <t>DE</t>
  </si>
  <si>
    <t>en rmto</t>
  </si>
  <si>
    <t>resto de</t>
  </si>
  <si>
    <t xml:space="preserve">en R43 </t>
  </si>
  <si>
    <t>rmto 43</t>
  </si>
  <si>
    <t>R43</t>
  </si>
  <si>
    <t>R42</t>
  </si>
  <si>
    <t>remoto 43</t>
  </si>
  <si>
    <t>detenida</t>
  </si>
  <si>
    <t xml:space="preserve">VA </t>
  </si>
  <si>
    <t xml:space="preserve">de </t>
  </si>
  <si>
    <t>en R43</t>
  </si>
  <si>
    <t>por falta</t>
  </si>
  <si>
    <t xml:space="preserve">por no </t>
  </si>
  <si>
    <t xml:space="preserve"> en R44</t>
  </si>
  <si>
    <t>por</t>
  </si>
  <si>
    <t>NO SE</t>
  </si>
  <si>
    <t>custodiado</t>
  </si>
  <si>
    <t>resto  de</t>
  </si>
  <si>
    <t xml:space="preserve">por </t>
  </si>
  <si>
    <t xml:space="preserve">A BUSCAR </t>
  </si>
  <si>
    <t>de</t>
  </si>
  <si>
    <t xml:space="preserve">haber </t>
  </si>
  <si>
    <t xml:space="preserve">quedó en </t>
  </si>
  <si>
    <t xml:space="preserve">por  </t>
  </si>
  <si>
    <t>ENVÍA</t>
  </si>
  <si>
    <t xml:space="preserve">por no  </t>
  </si>
  <si>
    <t>en</t>
  </si>
  <si>
    <t>CARGA</t>
  </si>
  <si>
    <t xml:space="preserve">falta de </t>
  </si>
  <si>
    <t>espacio</t>
  </si>
  <si>
    <t>personal</t>
  </si>
  <si>
    <t>5.51</t>
  </si>
  <si>
    <t>rmto a</t>
  </si>
  <si>
    <t>bodega</t>
  </si>
  <si>
    <t xml:space="preserve">MAS </t>
  </si>
  <si>
    <t>haber</t>
  </si>
  <si>
    <t>remoto</t>
  </si>
  <si>
    <t>R44</t>
  </si>
  <si>
    <t>DESPUES</t>
  </si>
  <si>
    <t>el resto</t>
  </si>
  <si>
    <t xml:space="preserve">espacio </t>
  </si>
  <si>
    <t>en bodega</t>
  </si>
  <si>
    <t>en zona</t>
  </si>
  <si>
    <t>espera de</t>
  </si>
  <si>
    <t>CERRADA</t>
  </si>
  <si>
    <t xml:space="preserve">POR </t>
  </si>
  <si>
    <t xml:space="preserve">personal </t>
  </si>
  <si>
    <t>R 44</t>
  </si>
  <si>
    <t xml:space="preserve">DE </t>
  </si>
  <si>
    <t>FALTA</t>
  </si>
  <si>
    <t xml:space="preserve">queda en </t>
  </si>
  <si>
    <t xml:space="preserve">orden </t>
  </si>
  <si>
    <t>LA</t>
  </si>
  <si>
    <t>OPERAC.</t>
  </si>
  <si>
    <t>QUEDO</t>
  </si>
  <si>
    <t>custodiada</t>
  </si>
  <si>
    <t>ESPACIO</t>
  </si>
  <si>
    <t>6.46</t>
  </si>
  <si>
    <t xml:space="preserve">quedó </t>
  </si>
  <si>
    <t>EN</t>
  </si>
  <si>
    <t>BODEGA</t>
  </si>
  <si>
    <t>MINUTOS</t>
  </si>
  <si>
    <t xml:space="preserve"> </t>
  </si>
  <si>
    <t>+</t>
  </si>
  <si>
    <t>PERSONAL</t>
  </si>
  <si>
    <t>SUPERVISOR 1</t>
  </si>
  <si>
    <t>M76471</t>
  </si>
  <si>
    <t>EI-MAF</t>
  </si>
  <si>
    <t>76X</t>
  </si>
  <si>
    <t>ARRASTRE POR LLEGADA TARDE CONDICIONES METEOROLOGICAS EN SCL</t>
  </si>
  <si>
    <t>10 SWISSPORT</t>
  </si>
  <si>
    <t>N/A</t>
  </si>
  <si>
    <t>DAVID SAN MARTIN</t>
  </si>
  <si>
    <t>89X36B89</t>
  </si>
  <si>
    <t>DESVÍO EN RUTA-NO LLEGA CAMION DE COMBUSTIBLE-ATC</t>
  </si>
  <si>
    <t>llegada tarde</t>
  </si>
  <si>
    <t>FALTA DE PERSONAL GROUND HANDLING</t>
  </si>
  <si>
    <t>03 SWISSPORT</t>
  </si>
  <si>
    <t>R.FLORES (OPERADOR)</t>
  </si>
  <si>
    <t>SALIDA TARDE POR ATC</t>
  </si>
  <si>
    <t>C.PEREZ</t>
  </si>
  <si>
    <t>89-86</t>
  </si>
  <si>
    <t>ARRASTRE POR REFUMIGACION EN SCL</t>
  </si>
  <si>
    <t>ARRASTRE</t>
  </si>
  <si>
    <t>EI-MAA</t>
  </si>
  <si>
    <t>0:45-0:15</t>
  </si>
  <si>
    <t>86-76X</t>
  </si>
  <si>
    <t>86LIBERACION POR PARTE DE AUTIRIDAD/ 76 METEOROLOGIA EN RUTA</t>
  </si>
  <si>
    <t>10 SWISSPOT</t>
  </si>
  <si>
    <t>R.LEON</t>
  </si>
  <si>
    <t>EIMAF</t>
  </si>
  <si>
    <t>R45</t>
  </si>
  <si>
    <t>05/10/25MIN</t>
  </si>
  <si>
    <t>89X76X/89</t>
  </si>
  <si>
    <t>ARRASTREDEL SEGMENTO ANTERIOR 15MIN+25MIN POR DEMORA EN ATC</t>
  </si>
  <si>
    <t>10SWISSPORT</t>
  </si>
  <si>
    <t>OPERACION ON TIME</t>
  </si>
  <si>
    <t>01-sep-</t>
  </si>
  <si>
    <t>F.PONCE</t>
  </si>
  <si>
    <t xml:space="preserve">ARRASTRE </t>
  </si>
  <si>
    <t>ONTIME</t>
  </si>
  <si>
    <t>G. GALVEZ</t>
  </si>
  <si>
    <t xml:space="preserve">COLAPSO EN MIGRACIONES </t>
  </si>
  <si>
    <t>M6471</t>
  </si>
  <si>
    <t>REPERCUCIÓN ESTACIÓN ANTERIOR</t>
  </si>
  <si>
    <t>08-SWISSPORT</t>
  </si>
  <si>
    <t>GIOVANNI GALVEZ</t>
  </si>
  <si>
    <t>M76412</t>
  </si>
  <si>
    <t>36B</t>
  </si>
  <si>
    <t>LLEGADA TARDE CAMIÓN DE COMBUSTIBLE</t>
  </si>
  <si>
    <t>08 SWISSPORT</t>
  </si>
  <si>
    <t>R46</t>
  </si>
  <si>
    <t>CARGA LENTA - NO AFECTA ESTACIÓN-</t>
  </si>
  <si>
    <t>06 SWISSPORT</t>
  </si>
  <si>
    <t>RAÚL LEON</t>
  </si>
  <si>
    <t>R41</t>
  </si>
  <si>
    <t>07 SWISSPORT</t>
  </si>
  <si>
    <t>F.QUEZADA</t>
  </si>
  <si>
    <t>9H-VDC</t>
  </si>
  <si>
    <t>R-44</t>
  </si>
  <si>
    <t>R-46</t>
  </si>
  <si>
    <t>09 SWISSPORT</t>
  </si>
  <si>
    <t>NN</t>
  </si>
  <si>
    <t>R-43</t>
  </si>
  <si>
    <t>08 SWISPORT</t>
  </si>
  <si>
    <t>05 SWISSPORT</t>
  </si>
  <si>
    <t>93-86</t>
  </si>
  <si>
    <t>ARRASTRE+CONGESTION EN INMIGRACION</t>
  </si>
  <si>
    <t>KEVIN ROMERO</t>
  </si>
  <si>
    <t>R-42</t>
  </si>
  <si>
    <t>12 SWISSPORT</t>
  </si>
  <si>
    <t>LEON .E</t>
  </si>
  <si>
    <t>ULD</t>
  </si>
  <si>
    <t>COURRIER</t>
  </si>
  <si>
    <t>se dejan</t>
  </si>
  <si>
    <t>QUEDA</t>
  </si>
  <si>
    <t>todo en</t>
  </si>
  <si>
    <t xml:space="preserve">se deja </t>
  </si>
  <si>
    <t>en rmto43</t>
  </si>
  <si>
    <t>EN RMTO</t>
  </si>
  <si>
    <t>uld por</t>
  </si>
  <si>
    <t xml:space="preserve">remoto </t>
  </si>
  <si>
    <t>en remoto</t>
  </si>
  <si>
    <t>falta de</t>
  </si>
  <si>
    <t>con</t>
  </si>
  <si>
    <t>DE LUGAR</t>
  </si>
  <si>
    <t>en courrier</t>
  </si>
  <si>
    <t>seguridad</t>
  </si>
  <si>
    <t>EN DHL</t>
  </si>
  <si>
    <t>en  zona</t>
  </si>
  <si>
    <t>6:06+</t>
  </si>
  <si>
    <t>no haber</t>
  </si>
  <si>
    <t>carga en remoto</t>
  </si>
  <si>
    <t>zona</t>
  </si>
  <si>
    <t xml:space="preserve">CON </t>
  </si>
  <si>
    <t>SEGURID</t>
  </si>
  <si>
    <t>en dhl</t>
  </si>
  <si>
    <t>dhl</t>
  </si>
  <si>
    <t xml:space="preserve">CONTROL HITOS </t>
  </si>
  <si>
    <t>11MIN 10MIN</t>
  </si>
  <si>
    <t>93A 37</t>
  </si>
  <si>
    <t>ARRASTRE SEGMENTO ANTERIOR EZE SCL 7 LATE CATERING</t>
  </si>
  <si>
    <t>NIL</t>
  </si>
  <si>
    <t>HP4010</t>
  </si>
  <si>
    <t>HP4110</t>
  </si>
  <si>
    <t>08MIN</t>
  </si>
  <si>
    <t>ARRASTRE SEGMENTO ANTERIOR EZE SCL</t>
  </si>
  <si>
    <t>31MIN</t>
  </si>
  <si>
    <t>REUBICACION DE CARGA CON OVERLAP</t>
  </si>
  <si>
    <t>55MIN 20MIN</t>
  </si>
  <si>
    <t>62B 36A</t>
  </si>
  <si>
    <t>CAMBIO DE ESTIBA POR RAZONES OPERACIONALES // ERROR EN CARGUIO DE FUEL</t>
  </si>
  <si>
    <t>20MIN</t>
  </si>
  <si>
    <t>98MIN</t>
  </si>
  <si>
    <t>18MIN</t>
  </si>
  <si>
    <t>W81560</t>
  </si>
  <si>
    <t>CFMIJ</t>
  </si>
  <si>
    <t>106 MIN</t>
  </si>
  <si>
    <t>33MIN 08MIN</t>
  </si>
  <si>
    <t>93A 41A</t>
  </si>
  <si>
    <t>ARRASTRE SEGMENTO ANTERIOR EZE SCL/MANTENIMIENTO FALLA TAILSKID</t>
  </si>
  <si>
    <t>149MIN 75MIN</t>
  </si>
  <si>
    <t>ARRASTRE SEGMENTO ANTERIOR EZE SCL/MANTENIMIENTO INDICACION DE WINDOW HEAT</t>
  </si>
  <si>
    <t>41MIN</t>
  </si>
  <si>
    <t>AIRCRAFT ROTATION</t>
  </si>
  <si>
    <t>03MIN</t>
  </si>
  <si>
    <t>50MIN</t>
  </si>
  <si>
    <t>04MIN</t>
  </si>
  <si>
    <t>11MIN</t>
  </si>
  <si>
    <t>SEGURO QUEBRADO</t>
  </si>
  <si>
    <t>35 min</t>
  </si>
  <si>
    <t>196MIN 23MIN</t>
  </si>
  <si>
    <t>93A 89</t>
  </si>
  <si>
    <t xml:space="preserve">ARRASTRE SEGMENTO ANTERIOR EZE SCL // ATC </t>
  </si>
  <si>
    <t>398MIN</t>
  </si>
  <si>
    <t>DOMINGO</t>
  </si>
  <si>
    <t>DISCREPANCIA EN RELEASE</t>
  </si>
  <si>
    <t>66MIN</t>
  </si>
  <si>
    <t>269MIN</t>
  </si>
  <si>
    <t>16MIN</t>
  </si>
  <si>
    <t>12MIN</t>
  </si>
  <si>
    <t>CNCL</t>
  </si>
  <si>
    <t>CNCL MANTTO</t>
  </si>
  <si>
    <t>200MIN 32MIN</t>
  </si>
  <si>
    <t>93A 28A</t>
  </si>
  <si>
    <t>ARRASTRE SEGMENTO ANTERIOR EZE SCL / INCORRECTO ARMADO DE PALLETS</t>
  </si>
  <si>
    <t>143 MIN</t>
  </si>
  <si>
    <t>99 MIN</t>
  </si>
  <si>
    <t>RESTRICCION AEROPUERTO DE SALIDA (AVES)</t>
  </si>
  <si>
    <t>14MIN 14 MIN</t>
  </si>
  <si>
    <t>93A/21A</t>
  </si>
  <si>
    <t>ARRASTRE SEGMENTO ANTERIOR EZE SCL / CAMBIO DE DOCUMENTACION</t>
  </si>
  <si>
    <t>NA</t>
  </si>
  <si>
    <t>VUELO ADELANTADO POR HUELGA EN EZE</t>
  </si>
  <si>
    <t>146 MIN</t>
  </si>
  <si>
    <t>21MIN</t>
  </si>
  <si>
    <t>15MIN</t>
  </si>
  <si>
    <t>172MIN</t>
  </si>
  <si>
    <t>09MIN 09MIN</t>
  </si>
  <si>
    <t>61//93A</t>
  </si>
  <si>
    <t>ARRASTRE SEGMENTO ANTERIOR EZE SCL// CAMBIO DE PLAN DE VUELO</t>
  </si>
  <si>
    <t>13MIN 61 MIN</t>
  </si>
  <si>
    <t>93A 61</t>
  </si>
  <si>
    <t>ARRASTRE SEGMENTO ANTERIOR EZE SCL//CAMBIO DE DOCUMENTACION</t>
  </si>
  <si>
    <t>47 MIN</t>
  </si>
  <si>
    <t>23 MIN</t>
  </si>
  <si>
    <t>33A</t>
  </si>
  <si>
    <t>FFALLA EQUIPO HIGHLOADER</t>
  </si>
  <si>
    <t>35 MIN</t>
  </si>
  <si>
    <t>AOG</t>
  </si>
  <si>
    <t>AOG EZE</t>
  </si>
  <si>
    <t>36MIN</t>
  </si>
  <si>
    <t>48MIN</t>
  </si>
  <si>
    <t>57MIN 43MIN</t>
  </si>
  <si>
    <t>93A 43</t>
  </si>
  <si>
    <t>ARRASTRE SEGMENTO ANTERIOR EZE SCL//MANTENIMIENTO NO PROGRAMADO</t>
  </si>
  <si>
    <t>45 MIN</t>
  </si>
  <si>
    <t>86 MIN</t>
  </si>
  <si>
    <t>515MIN</t>
  </si>
  <si>
    <t>30 MIN 14 MIN</t>
  </si>
  <si>
    <t>93A 81</t>
  </si>
  <si>
    <t>ARRASTRE SEGMENTO ANTERIOR EZE SCL//ATC</t>
  </si>
  <si>
    <t>MANTTO MIA DEMORADO TO SUN 16</t>
  </si>
  <si>
    <t>109MIN 10MIN</t>
  </si>
  <si>
    <t>93B 41A</t>
  </si>
  <si>
    <t>170MIN 26MIN 37MIN</t>
  </si>
  <si>
    <t>93B 41A 38A</t>
  </si>
  <si>
    <t>ARRASTRE SEGMENTO ANTERIOR EZE SCL//MANTENIMIENTO NO PROGRAMADO//uld defectuoso</t>
  </si>
  <si>
    <t xml:space="preserve">11 MIN </t>
  </si>
  <si>
    <t>12MIN 07MIN</t>
  </si>
  <si>
    <t>93A 71</t>
  </si>
  <si>
    <t>ARRASTRE SEGMENTO ANTERIOR EZE SCL//METEOROOGIA AEROPUERTO DE SALIDA</t>
  </si>
  <si>
    <t>118MIN 10MIN</t>
  </si>
  <si>
    <t>93A 35B</t>
  </si>
  <si>
    <t xml:space="preserve">ARRASTRE SEGMENTO ANTERIOR EZE SCL//LIMPIEZA AERONAVE </t>
  </si>
  <si>
    <t>83MIN 21MIN</t>
  </si>
  <si>
    <t>93A 63D</t>
  </si>
  <si>
    <t>17MIN 22MIN</t>
  </si>
  <si>
    <t>93A 21C</t>
  </si>
  <si>
    <t>ARRASTRE SEGMENTO ANTERIOR EZE SCL// NOTOC INCORRECTO</t>
  </si>
  <si>
    <t>82 MIN</t>
  </si>
  <si>
    <t>95MIN 45MIN</t>
  </si>
  <si>
    <t>93A 86</t>
  </si>
  <si>
    <t>ARRASTRE SEGMENTO ANTERIOR EZE SCL//INMIGRACION LENTA</t>
  </si>
  <si>
    <t>109MIN 07MIN</t>
  </si>
  <si>
    <t>93A 21B</t>
  </si>
  <si>
    <t>ARRASTRE SEGMENTO ANTERIOR EZE SCL//FALTA DE DOCUMENTACION , ESTABAN PERO CREW NO ENCOYTRABA</t>
  </si>
  <si>
    <t>42MIN</t>
  </si>
  <si>
    <t>17MIN</t>
  </si>
  <si>
    <t>341MIN</t>
  </si>
  <si>
    <t>908MIN</t>
  </si>
  <si>
    <t>06MIN</t>
  </si>
  <si>
    <t>63D</t>
  </si>
  <si>
    <t>CREW PROCEDURES</t>
  </si>
  <si>
    <t>45MIN</t>
  </si>
  <si>
    <t>924MIN</t>
  </si>
  <si>
    <t>95A</t>
  </si>
  <si>
    <t>CREW ROTATION</t>
  </si>
  <si>
    <t>59MIN 173MIN</t>
  </si>
  <si>
    <t>23MIN</t>
  </si>
  <si>
    <t>MANTENIMIENTO NO PROGRAMADO LH TR INOP</t>
  </si>
  <si>
    <t>115MIN 17MIN</t>
  </si>
  <si>
    <t>93A 33D</t>
  </si>
  <si>
    <t>ARRASTRE SEGMENTO ANTERIOR EZE SCL//FALLA HIGHLOADER</t>
  </si>
  <si>
    <t>7MIN</t>
  </si>
  <si>
    <t>41MIN 18MIN</t>
  </si>
  <si>
    <t>93B 28B</t>
  </si>
  <si>
    <t>ARRASTRE SEGMENTO ANTERIOR EZE SCL//AAX7746 FROM EZE REBUILD AT SCL RAMP</t>
  </si>
  <si>
    <t>63MIN 14MIN</t>
  </si>
  <si>
    <t>93A 28C</t>
  </si>
  <si>
    <t>ARRASTRE SEGMENTO ANTERIOR EZE SCL//MANIPULACION CARGA EN TRANSITO</t>
  </si>
  <si>
    <t>21B</t>
  </si>
  <si>
    <t>CAMBIO DE PESO Y BALAMCE</t>
  </si>
  <si>
    <t>163MIN 17MIN</t>
  </si>
  <si>
    <t>93A 62G</t>
  </si>
  <si>
    <t>ARRASTRE SEGMENTO ANTERIOR EZE SCL//ACTUALIZACION DE DOCUMENTACION POR PARTE DE PTY</t>
  </si>
  <si>
    <t>65MIN</t>
  </si>
  <si>
    <t>290MIN 104MIN</t>
  </si>
  <si>
    <t>ARRASTRE SEGMENTO ANTERIOR EZE SCL//LIMPIEZA DE AVION DEBIDO A DERRAME EN BODEGA</t>
  </si>
  <si>
    <t>31MIN 26MIN</t>
  </si>
  <si>
    <t>93A 32B</t>
  </si>
  <si>
    <t>ARRASTRE SEGMENTO ANTERIOR EZE SCL//TERMINO TARDIO DE CARGUE DE AERONAVE</t>
  </si>
  <si>
    <t>39MIN 39MIN</t>
  </si>
  <si>
    <t>48A 0'2</t>
  </si>
  <si>
    <t>MD LOCK DAMAGED // MANIPULACION DE CARGA SOBREDIMENSIONADA</t>
  </si>
  <si>
    <t>25MIN 10MIN 20MIN</t>
  </si>
  <si>
    <t>28A 93B 22B</t>
  </si>
  <si>
    <t>CONTOUR DE CARGA ERRONEO / LLEGADA TARDE DEL AVION / SALIDA TARDE DE CARGA DESDE WAREHOUSE</t>
  </si>
  <si>
    <t>62G</t>
  </si>
  <si>
    <t>CREW SOLICITA SERVICIO DE BANO POR TERCERA VEZ</t>
  </si>
  <si>
    <t>59MIN</t>
  </si>
  <si>
    <t>17MIN 07MIN</t>
  </si>
  <si>
    <t>ARRASTRE SEGMENTO ANTERIOR EZE SCL//SEGURO DE BODEGA ATORADO</t>
  </si>
  <si>
    <t>76MIN 194MIN</t>
  </si>
  <si>
    <t>209MIN</t>
  </si>
  <si>
    <t>158MIN 26 MIN</t>
  </si>
  <si>
    <t>ARRASTRE SEGMENTO ANTERIOR EZE SCL//CAMIO DE BALANCE DEBIDO A CAMBIO EN POS DE CARGA</t>
  </si>
  <si>
    <t>84MIN 140MIN</t>
  </si>
  <si>
    <t>93B 52D</t>
  </si>
  <si>
    <t>ARRASTRE SEGMENTO ANTERIOR EZE SCL // CAMBIO DE RUEDA TREN PRINCIPAL</t>
  </si>
  <si>
    <t>13MIN</t>
  </si>
  <si>
    <t>14MIN 14MIN</t>
  </si>
  <si>
    <t>ARRASTRE SEGMENTO ANTERIOR EZE SCL// CAMBIO DE LOAD PLAN</t>
  </si>
  <si>
    <t>120MIN 18MIN</t>
  </si>
  <si>
    <t>93A 02</t>
  </si>
  <si>
    <t>ARRASTRE SEGMENTO ANTERIOR EZE SCL // NON STANDARD CARGO (MOTOR)</t>
  </si>
  <si>
    <t>36MIN 48MIN</t>
  </si>
  <si>
    <t>ARRASTRE SEGMENTO ANTERIOR EZE SCL // MANTENIMIENTO NO PROGRAMADO</t>
  </si>
  <si>
    <t>19MIN</t>
  </si>
  <si>
    <t>35A</t>
  </si>
  <si>
    <t>SERVICIO DE BAÑO SOLICITADO POR CRWQ</t>
  </si>
  <si>
    <t>70MIN</t>
  </si>
  <si>
    <t>41A</t>
  </si>
  <si>
    <t>REESTIBA POR PRBLEMAS CON SEGUROS EN MD</t>
  </si>
  <si>
    <t>29MIN 05MIN</t>
  </si>
  <si>
    <t>ARRASTRE SEGMENTO ANTERIOR EZE SCL / ATC</t>
  </si>
  <si>
    <t xml:space="preserve">31MIN </t>
  </si>
  <si>
    <t>29MIN</t>
  </si>
  <si>
    <t>43MIN</t>
  </si>
  <si>
    <t>64B</t>
  </si>
  <si>
    <t>ESPERA DE TRIPULACION</t>
  </si>
  <si>
    <t>2MIN 02MIN</t>
  </si>
  <si>
    <t xml:space="preserve">11MIN </t>
  </si>
  <si>
    <t>20MIN 12MIN</t>
  </si>
  <si>
    <t>28B 43</t>
  </si>
  <si>
    <t>ULD MAL ARMADO DESDE EZE//MANTENIMIENTO NO PROGRAMAO</t>
  </si>
  <si>
    <t>73MIN</t>
  </si>
  <si>
    <t>FUEL LEAK LEFT WING</t>
  </si>
  <si>
    <t>14MIN</t>
  </si>
  <si>
    <t>CONGESTION EN INMIGRACION</t>
  </si>
  <si>
    <t>904 MIN</t>
  </si>
  <si>
    <t>120 MIN 29MIN</t>
  </si>
  <si>
    <t>93A 28B</t>
  </si>
  <si>
    <t>ARRASTRE SEGMENTO ANTERIOR EZE SCL//INCORRECT BUILD UP AAX9820 FROM EZE</t>
  </si>
  <si>
    <t>96MIN</t>
  </si>
  <si>
    <t>1278 MIN</t>
  </si>
  <si>
    <t>CNCL POR FALTA DE LOGBOOK</t>
  </si>
  <si>
    <t>20MIN 13MIN</t>
  </si>
  <si>
    <t>ARRASTRE SEGMENTO ANTERIOR EZE SCL//INCORRECT BUILD UP AAX8808 FROM EZE</t>
  </si>
  <si>
    <t>VUELO OPERA DIRECTO MIA SCL MIA</t>
  </si>
  <si>
    <t>28A</t>
  </si>
  <si>
    <t>CAMBIO DE ULD DEBIDO A QUE ESTABA DEFECTUOSO SE CAMBIA CARGA A OTRO ULD</t>
  </si>
  <si>
    <t>37MIN 72MIN</t>
  </si>
  <si>
    <t>ARRASTRE SEGMENTO ANTERIOR EZE SCL // MANTENIMIENTO NO PROGRAMADO(INFLADO DE AMORTIGUADOR)</t>
  </si>
  <si>
    <t>12MIN 16MIN</t>
  </si>
  <si>
    <t>93A 28D</t>
  </si>
  <si>
    <t>ARRASTRE SEGMENTO ANTERIOR EZE SCL// AAX1849 TRANSITO SE REACOMODA SU CARGA</t>
  </si>
  <si>
    <t>15MIN 95MIN</t>
  </si>
  <si>
    <t>93A 32C</t>
  </si>
  <si>
    <t>ARRASTRE SEGMENTO ANTERIOR EZE SCL//CARGA Y DESCARGA LENTA POR FALTA DE RECURSOS</t>
  </si>
  <si>
    <t>46MIN</t>
  </si>
  <si>
    <t>22MIN 86MIN</t>
  </si>
  <si>
    <t>63D 71</t>
  </si>
  <si>
    <t>METEOROLOGIA EN AEROPUERTO DE SALIDA// ACFT RETORNA A ESTACIONAMIENTO</t>
  </si>
  <si>
    <t>163MIN 26MIN</t>
  </si>
  <si>
    <t>93B 32B</t>
  </si>
  <si>
    <t xml:space="preserve">ARRASTRE SEGMENTO ANTERIOR EZE SCL//AAX2148 BASE IN BAD CONDITION </t>
  </si>
  <si>
    <t>97MIN 01MIN</t>
  </si>
  <si>
    <t>93B 89</t>
  </si>
  <si>
    <t xml:space="preserve">763MIN 11MIN </t>
  </si>
  <si>
    <t>93B 87B</t>
  </si>
  <si>
    <t>ARRASTRE SEGMENTO ANTERIOR EZE SCL//RAMP CONGESTION</t>
  </si>
  <si>
    <t>58MIN 18MIN</t>
  </si>
  <si>
    <t>03A 93B</t>
  </si>
  <si>
    <t>168MIN 13MIN</t>
  </si>
  <si>
    <t>ARRASTRE SEGMENTO ANTERIOR EZE SCL//INCORRECT BUILD UP AAX8558 FROM EZE</t>
  </si>
  <si>
    <t>AICRAFT TRUCK DEFFECT</t>
  </si>
  <si>
    <t>10MIN</t>
  </si>
  <si>
    <t>15MIN 15MIN</t>
  </si>
  <si>
    <t>93B 73</t>
  </si>
  <si>
    <t>ARRASTRE SEGMENTO ANTERIOR EZE SCL//METEOROLOGIA EN RUTA</t>
  </si>
  <si>
    <t>132 MIN</t>
  </si>
  <si>
    <t>27MIN  23MIN</t>
  </si>
  <si>
    <t>93A 39</t>
  </si>
  <si>
    <t>ARRASTRE SEGMENTO ANTERIOR EZE SCL//FALLA DE TRACTOR</t>
  </si>
  <si>
    <t>80MIN 04MIN</t>
  </si>
  <si>
    <t>95MIN 50MIN 19MIN</t>
  </si>
  <si>
    <t>93A 93B 33D</t>
  </si>
  <si>
    <t>ARRASTRE SEGMENTO ANTERIOR EZE SCL// FALLA CARGOLOADER</t>
  </si>
  <si>
    <t>83MIN 10MIN</t>
  </si>
  <si>
    <t>ARRASTRE SEGMENTO ANTERIOR EZE SCL//CONGESTION EN PLATAFORMA</t>
  </si>
  <si>
    <t>23MIN 06MIN</t>
  </si>
  <si>
    <t>93B 86</t>
  </si>
  <si>
    <t>ARRASTRE SEGMENTO ANTERIOR EZE SCL//INSPECCION SAG</t>
  </si>
  <si>
    <t>24MIN</t>
  </si>
  <si>
    <t>96MIN 07MIN</t>
  </si>
  <si>
    <t>93A 32A</t>
  </si>
  <si>
    <t>ARRASTRE SEGMENTO ANTERIOR EZE SCL//PLACEMAKER</t>
  </si>
  <si>
    <t>09MIN 04MIN</t>
  </si>
  <si>
    <t>93B 81</t>
  </si>
  <si>
    <t>30MIN 18MIN</t>
  </si>
  <si>
    <t>ARRASTRE SEGMENTO ANTERIOR EZE SCL//AERONAVE LLEGA CON DAÑOS EN LOWER DELANTERO</t>
  </si>
  <si>
    <t xml:space="preserve">29MIN </t>
  </si>
  <si>
    <t>62D</t>
  </si>
  <si>
    <t>NOTAMS SCFA RRF CAT5</t>
  </si>
  <si>
    <t>76MIN</t>
  </si>
  <si>
    <t>22A</t>
  </si>
  <si>
    <t>SALIDA TARDE DE CARGA DESDE BODEGA</t>
  </si>
  <si>
    <t>60MIN</t>
  </si>
  <si>
    <t xml:space="preserve">NLG ISSUES </t>
  </si>
  <si>
    <t>ARRASTRE SEGMENTO ANTERIOR EZE SCL AAX 6106 TRANSITO TUVO QUE REARMARSE</t>
  </si>
  <si>
    <t xml:space="preserve">03MIN  </t>
  </si>
  <si>
    <t>26MIN</t>
  </si>
  <si>
    <t xml:space="preserve">16MIN </t>
  </si>
  <si>
    <t>22MIN</t>
  </si>
  <si>
    <t>32A</t>
  </si>
  <si>
    <t>DEMORA EN PROCESO DE DESCARGA(CARGOLOADER LENTO)</t>
  </si>
  <si>
    <t>41A/22A/21C/64C</t>
  </si>
  <si>
    <t xml:space="preserve">SALIDA TARDE DE CARGA // DESCANSO DE CREW// NOTOC INCORRECTO </t>
  </si>
  <si>
    <t>30MIN</t>
  </si>
  <si>
    <t>40MIN 31MIN</t>
  </si>
  <si>
    <t>93A 33F</t>
  </si>
  <si>
    <t>ARRASTRE SEGMENTO ANTERIOR EZE SCL//SERVICIO HIGIENICO (2VECES)</t>
  </si>
  <si>
    <t xml:space="preserve">108MIN 42MIN </t>
  </si>
  <si>
    <t>52MIN</t>
  </si>
  <si>
    <t>09MIN 15MIN</t>
  </si>
  <si>
    <t>93A 33A</t>
  </si>
  <si>
    <t>339MIN</t>
  </si>
  <si>
    <t>CREEW ROTATION</t>
  </si>
  <si>
    <t>24MIN 14MIN</t>
  </si>
  <si>
    <t>ARRASTRE SEGMENTO ANTERIOR EZE SCL//CONGESTION ENPOLICIA INTERNACIONAL</t>
  </si>
  <si>
    <t>AOG EZE DUE HYD LEAK</t>
  </si>
  <si>
    <t>NO HUBO VUELO</t>
  </si>
  <si>
    <t>CGVIJ</t>
  </si>
  <si>
    <t>779MIN 39MIN</t>
  </si>
  <si>
    <t xml:space="preserve">93A  61A </t>
  </si>
  <si>
    <t>ARRASTRE SEGMENTO ANTERIOR EZE SCL//LLEGADA TARDE DE GEN DEC</t>
  </si>
  <si>
    <t>CGOCJ</t>
  </si>
  <si>
    <t>137MIN 15MIN</t>
  </si>
  <si>
    <t>64C 89</t>
  </si>
  <si>
    <t>CREW REST // ATC</t>
  </si>
  <si>
    <t>CGAAJ</t>
  </si>
  <si>
    <t>CARGA LLEGADA</t>
  </si>
  <si>
    <t>CARGA SALIDA</t>
  </si>
  <si>
    <t>DOLLIES ACCIONA</t>
  </si>
  <si>
    <t>DOLLIES AEROSAN</t>
  </si>
  <si>
    <t>DAE1558/2560</t>
  </si>
  <si>
    <t>cncl</t>
  </si>
  <si>
    <t>36A</t>
  </si>
  <si>
    <t>EXCESO DE CARGA DE FUEL</t>
  </si>
  <si>
    <t>R.CUEVAS</t>
  </si>
  <si>
    <t>A.BARRA</t>
  </si>
  <si>
    <t>ARRASTRE SEGMENTO EZE SCL</t>
  </si>
  <si>
    <t>R. CUEVAS</t>
  </si>
  <si>
    <t>04 06</t>
  </si>
  <si>
    <t>89 / 93A</t>
  </si>
  <si>
    <t>ATC 4 MIN ARRASTRE SEGMENTO ANTERIOR 06 MIN</t>
  </si>
  <si>
    <t>92A</t>
  </si>
  <si>
    <t>18 39</t>
  </si>
  <si>
    <t>93B/93A</t>
  </si>
  <si>
    <t>31 06</t>
  </si>
  <si>
    <t>ARRASTRE SEGMENTO EZE SCL / DEMORA EN CARGUIO MAIN DECK</t>
  </si>
  <si>
    <t>JOSE PACHECO</t>
  </si>
  <si>
    <t>R. ACEVEDO</t>
  </si>
  <si>
    <t>36 3</t>
  </si>
  <si>
    <t>ARRASTRE SEGMENTO EZE SCL / ATC CLEARENCE</t>
  </si>
  <si>
    <t xml:space="preserve">10 09 </t>
  </si>
  <si>
    <t>93B 43B</t>
  </si>
  <si>
    <t>ARRASTRE SEGMENTO EZE SCL / MAIN DECK LOCK DAMAGED</t>
  </si>
  <si>
    <t>DAE1558/2558</t>
  </si>
  <si>
    <t xml:space="preserve">    4:20</t>
  </si>
  <si>
    <t xml:space="preserve">     4:20</t>
  </si>
  <si>
    <t xml:space="preserve">      5:23</t>
  </si>
  <si>
    <t xml:space="preserve">         4:20</t>
  </si>
  <si>
    <t xml:space="preserve">         4:51</t>
  </si>
  <si>
    <t xml:space="preserve">          5:05</t>
  </si>
  <si>
    <t xml:space="preserve">          5:23</t>
  </si>
  <si>
    <t xml:space="preserve">              4:30</t>
  </si>
  <si>
    <t xml:space="preserve">                 5:29</t>
  </si>
  <si>
    <t xml:space="preserve">     LEONEL TORRES</t>
  </si>
  <si>
    <t xml:space="preserve">  A.BARRA</t>
  </si>
  <si>
    <t>BV</t>
  </si>
  <si>
    <t>93A/93B/33D</t>
  </si>
  <si>
    <t>(ARRASTRE EZE-SCL 93A-01:35MIN, 93B 00:50 MIN) ,( 33D FALLA DE EQUIPOS EN TIERRA.19 min cargo laoder)</t>
  </si>
  <si>
    <t xml:space="preserve">                                                                                           ON TIME</t>
  </si>
  <si>
    <t xml:space="preserve">          6:38</t>
  </si>
  <si>
    <t xml:space="preserve">          7:17</t>
  </si>
  <si>
    <t xml:space="preserve">               6:18</t>
  </si>
  <si>
    <t xml:space="preserve">                  7:26</t>
  </si>
  <si>
    <t>R.PAVEZ</t>
  </si>
  <si>
    <t xml:space="preserve"> ARRASTRE SEGMENTO  EZE-SCL (ON TIME)</t>
  </si>
  <si>
    <t>ARRASTRE SEGMENTO EZE SCL (ON TIME)</t>
  </si>
  <si>
    <t>A.BRRA</t>
  </si>
  <si>
    <t>DLY POR CAMBIO DE CONFIGURACIÓN EN MAIN DECK</t>
  </si>
  <si>
    <t>4.31</t>
  </si>
  <si>
    <t>5.40</t>
  </si>
  <si>
    <t>R.ACEVEDO</t>
  </si>
  <si>
    <t>04:40/00:15</t>
  </si>
  <si>
    <t>93B -86</t>
  </si>
  <si>
    <t>DLY ARRASTRE SEGMENTO EZE-SCL. 86CHEQUEO DOCUMENTACION POR PARTE DE ADUANA</t>
  </si>
  <si>
    <t xml:space="preserve">                                                                                          ON TIME</t>
  </si>
  <si>
    <t xml:space="preserve">         5:49</t>
  </si>
  <si>
    <t xml:space="preserve">         5:31</t>
  </si>
  <si>
    <t xml:space="preserve">         6:36</t>
  </si>
  <si>
    <t xml:space="preserve">             5:;25</t>
  </si>
  <si>
    <t xml:space="preserve">                 6:37</t>
  </si>
  <si>
    <t>RAUL CUEVAS</t>
  </si>
  <si>
    <t>1:21/0:10</t>
  </si>
  <si>
    <t>93A / 87B</t>
  </si>
  <si>
    <t>DLY ARRASTRE SEGMENTO EZE-SCL. /// CONGESTIÓN EN PLATAFORMA</t>
  </si>
  <si>
    <t xml:space="preserve"> 00:18</t>
  </si>
  <si>
    <t>DLY ARRASTRE SEGMENTO EZE -SCL (ON TIME)</t>
  </si>
  <si>
    <t xml:space="preserve">          6:13</t>
  </si>
  <si>
    <t xml:space="preserve">          6:10</t>
  </si>
  <si>
    <t xml:space="preserve">          6:45</t>
  </si>
  <si>
    <t xml:space="preserve">              5:51</t>
  </si>
  <si>
    <t xml:space="preserve">                  6:54</t>
  </si>
  <si>
    <t xml:space="preserve">    LEONEL TORRES</t>
  </si>
  <si>
    <t>93A/64/22B</t>
  </si>
  <si>
    <t>DLY POR ARRASTRE SEGMENTO EZE-SCL COD.93A-salida RETRASADA EN 31 MIN. COD.64</t>
  </si>
  <si>
    <t>9.14</t>
  </si>
  <si>
    <t>R.ACEVEDO-A.BARRA</t>
  </si>
  <si>
    <t>2:53/.:07</t>
  </si>
  <si>
    <t>DLY POR ARRASTRE SEGMENTO EZE-SCL COD.93A-32A DLY POR CARGA Y DESCARGA LENTA</t>
  </si>
  <si>
    <t>NO</t>
  </si>
  <si>
    <t>DEFECTO EN AERONAVE( MANTENIMIENTO)</t>
  </si>
  <si>
    <t xml:space="preserve">      5:10</t>
  </si>
  <si>
    <t xml:space="preserve">     5:30</t>
  </si>
  <si>
    <t xml:space="preserve">    6:40</t>
  </si>
  <si>
    <t xml:space="preserve">   7:00</t>
  </si>
  <si>
    <t>0:10//0:10</t>
  </si>
  <si>
    <t>93A/41</t>
  </si>
  <si>
    <t>DLY ARRASTRE SEGMENTO EZE -SCL/// MANTENIMIENTO</t>
  </si>
  <si>
    <t xml:space="preserve">                                                                     ONE TIME</t>
  </si>
  <si>
    <t xml:space="preserve">      R.ACEVEDO</t>
  </si>
  <si>
    <t xml:space="preserve">                                                                       ON TIME</t>
  </si>
  <si>
    <t xml:space="preserve">           L.TORRES</t>
  </si>
  <si>
    <t>A.BARRA-R.PAVEZ</t>
  </si>
  <si>
    <t>DLY ARRASTRE SEGMENTO EZE -SCL  (ON TIME SCL )</t>
  </si>
  <si>
    <t xml:space="preserve"> 1:03/0:19</t>
  </si>
  <si>
    <t>93A/36B</t>
  </si>
  <si>
    <t>DLY ARRASTRE SEGMENTO EZE -SCL ///DLY POR COMBUSTIBLE MANTTO SE EXCEDIÓ EN 5.600 KILOS</t>
  </si>
  <si>
    <t>0:40 / 0:16</t>
  </si>
  <si>
    <t>93A/38A</t>
  </si>
  <si>
    <t>DLY POR ARRASTRE SEGMENTO EZE-SCL COD.93A- DLY POR ULD N MAL ESTADO COD.38A 16MINUTOS</t>
  </si>
  <si>
    <t>DAE1558</t>
  </si>
  <si>
    <t>vuelo se queda en scl por descanzo de tripulación vuelo llega directo a santiago por tormenta en eze (solo recepción)</t>
  </si>
  <si>
    <t>95C</t>
  </si>
  <si>
    <t>SOLO DESPACHO /// NO SE UTILIZÓ GPU</t>
  </si>
  <si>
    <t>00:18/00:04</t>
  </si>
  <si>
    <t>93A/81</t>
  </si>
  <si>
    <t>DLY ARRASTRE SEGMENTO ANTERIOR EZE-SCL/// DLY POR ATC</t>
  </si>
  <si>
    <t>A. FER/R. CUEVAS</t>
  </si>
  <si>
    <t>DLY ARRASTRE SEGMENTO ANTERIOR EZE-SCL</t>
  </si>
  <si>
    <t>a. FERNANDEZ</t>
  </si>
  <si>
    <t>a. FER/R. CUEVAS</t>
  </si>
  <si>
    <t>A. FER/L. TORRES</t>
  </si>
  <si>
    <t>93A-63D</t>
  </si>
  <si>
    <t>ARRASTRE SEGMENTO EZE SCL / DEMORA EN PREPARACION DE VUELO (TRIPULACION)</t>
  </si>
  <si>
    <t>93A-93B</t>
  </si>
  <si>
    <t>33D</t>
  </si>
  <si>
    <t>FALLA DE EQUIPO LOADER MAINDECK</t>
  </si>
  <si>
    <t xml:space="preserve">             2:10</t>
  </si>
  <si>
    <t xml:space="preserve">        93 A</t>
  </si>
  <si>
    <t>ANDRES FERNANDEZ</t>
  </si>
  <si>
    <t>vuelo queda en scl por crew rest due wx en scl (niebla) vuelo alterno COR Y volvio a SCL</t>
  </si>
  <si>
    <t>CREW ROTATION-LLEGADA TARDE POR WEATHER</t>
  </si>
  <si>
    <t>DAE2557</t>
  </si>
  <si>
    <t>VUEO OPERA DIRECTO MIA SCL</t>
  </si>
  <si>
    <t>VUELO OPERA DCTO MIA SCL DUE HUELGA EN EZE</t>
  </si>
  <si>
    <t>DAE1557/2558</t>
  </si>
  <si>
    <t>93B-41A</t>
  </si>
  <si>
    <t>a. FER/L. TORRES</t>
  </si>
  <si>
    <t>0N TIME</t>
  </si>
  <si>
    <t>ARRASTRE SEGMENTO EZE SCL por metereologia</t>
  </si>
  <si>
    <t>DAE3560</t>
  </si>
  <si>
    <t>93A-75-95C</t>
  </si>
  <si>
    <t>ARRASTRE EZE-SCL -METEOROLOGIA-ROTACION TRIPULACION</t>
  </si>
  <si>
    <t xml:space="preserve">93A </t>
  </si>
  <si>
    <t>ARRASTRE SEGMENTO ANTERIOR</t>
  </si>
  <si>
    <t>93A-89</t>
  </si>
  <si>
    <t>ARRASTRE SEGMENTO EZE SCL-ATC</t>
  </si>
  <si>
    <t>21C</t>
  </si>
  <si>
    <t>RETRASO POR EMISION NOTOC AGENTE DE CARGA /D0CUMENTACION</t>
  </si>
  <si>
    <t>A.FERN/L.TORRES</t>
  </si>
  <si>
    <t>93A-71</t>
  </si>
  <si>
    <t>ARRASTRE SEGMENTO EZE SCL-METEOROLOGIA SCL</t>
  </si>
  <si>
    <t>93A 93B</t>
  </si>
  <si>
    <t xml:space="preserve">93A-89 </t>
  </si>
  <si>
    <t>ARRASTRE SEGMENTO EZE SCL 46 MIN - DLY POR ATC 12 MIN</t>
  </si>
  <si>
    <t>CJT 1558/1560</t>
  </si>
  <si>
    <t xml:space="preserve">CF-MAJ </t>
  </si>
  <si>
    <t>cambio de Gendec</t>
  </si>
  <si>
    <t>93a-41A-58</t>
  </si>
  <si>
    <t>ARRASTRE -DEFECTOS QUE IMPIDE LA OPERACION- FALLA SISTEMA SABLE</t>
  </si>
  <si>
    <t>DLY POR ATC.</t>
  </si>
  <si>
    <t>:41</t>
  </si>
  <si>
    <t>CG-AAJ</t>
  </si>
  <si>
    <t>ARRASTRE SEGMENTO ANTERIOR EZE - SCL</t>
  </si>
  <si>
    <t>01-ag</t>
  </si>
  <si>
    <t>93a-71</t>
  </si>
  <si>
    <t>ARRASTRE SEGMENTO EZE SCL-METEOROLOGIA</t>
  </si>
  <si>
    <t>DAE W8 1558</t>
  </si>
  <si>
    <t>CFCCJ</t>
  </si>
  <si>
    <t>62 H</t>
  </si>
  <si>
    <t>FALTA DE DOCUMENTACION (CERTIFICADO DE FUMIGACION)</t>
  </si>
  <si>
    <t>4::19</t>
  </si>
  <si>
    <t>93A-</t>
  </si>
  <si>
    <t>CFMAJ</t>
  </si>
  <si>
    <t>r.CUEVAS/L.TORRES</t>
  </si>
  <si>
    <t>VUELO REPROGRAMADO POR MANTENIMIENTO EN EZE.</t>
  </si>
  <si>
    <t>DAE3558/3558</t>
  </si>
  <si>
    <t>DAE3558/2558</t>
  </si>
  <si>
    <t>03:39/57:28</t>
  </si>
  <si>
    <t>93A/93B</t>
  </si>
  <si>
    <t>CANCELADO POR METEROLOGIA EN SCL</t>
  </si>
  <si>
    <t>WEATHER DEPARTURE ESTACION 20:18 MIN</t>
  </si>
  <si>
    <t>C-FMAJ</t>
  </si>
  <si>
    <t>16:00/00:15</t>
  </si>
  <si>
    <t>93/86</t>
  </si>
  <si>
    <t>reactionary  by  non operator,crew  was delayed at migration point</t>
  </si>
  <si>
    <t>HP 3310</t>
  </si>
  <si>
    <t>L.TORRES-R.CUEVAS</t>
  </si>
  <si>
    <t>63C</t>
  </si>
  <si>
    <t>LLEGADA TARDE DEL TRANSPORTE HOTEL AEROPUERTO</t>
  </si>
  <si>
    <t>ARRASTRE NO POR OPERADOR / ARRASTRE POR OPERADOR</t>
  </si>
  <si>
    <t>on time</t>
  </si>
  <si>
    <t>DAE3558/3560</t>
  </si>
  <si>
    <t>DAE2558/3558</t>
  </si>
  <si>
    <t>100-0:06</t>
  </si>
  <si>
    <t>93B-93A</t>
  </si>
  <si>
    <t>ARRASTRE OPERADOR -ARRASTRE SEGMENTO ANTERIOR</t>
  </si>
  <si>
    <t>W818558</t>
  </si>
  <si>
    <t>CG-YAJ</t>
  </si>
  <si>
    <t xml:space="preserve">ARRASTRE OPERADOR </t>
  </si>
  <si>
    <t>MANTTO NO PROGRAMADO</t>
  </si>
  <si>
    <t>DAE3558/3559</t>
  </si>
  <si>
    <t>CARGUIO LENTO (AGUNSA)</t>
  </si>
  <si>
    <t>DAE1505/1560</t>
  </si>
  <si>
    <t>DELAY POR ARRASTRE SEGMENTO ANTERIOR EZE-SCL</t>
  </si>
  <si>
    <t xml:space="preserve">93A  </t>
  </si>
  <si>
    <t>N774CK</t>
  </si>
  <si>
    <t>PALLET EN TRASITO HEAVY , SE NECESITO PERSONAL EXTRA PARA MOVERLO</t>
  </si>
  <si>
    <t>N773CK</t>
  </si>
  <si>
    <t>FERNANDE/TORRES/CUEVAS</t>
  </si>
  <si>
    <t>ARRASTRE POR OPERADOR</t>
  </si>
  <si>
    <t xml:space="preserve">DLY 93B POR OPERADOR 02:21 MIN - DLY 93A  00:57 MIN </t>
  </si>
  <si>
    <t>11:30-01:17</t>
  </si>
  <si>
    <t>64-26</t>
  </si>
  <si>
    <t xml:space="preserve">COD 64 CREW REST //COD 26 SALIDA TARDIA DE CARGA DESDE BODEGA </t>
  </si>
  <si>
    <t>00:02/00:02/00:05</t>
  </si>
  <si>
    <t>93/89/32</t>
  </si>
  <si>
    <t>COD 93 ARRASTRE 02MINUTOS / COG 32 05MIN CARGA Y DESCARGA LENTA/ COD 89 02MIN ATC</t>
  </si>
  <si>
    <t xml:space="preserve">93B </t>
  </si>
  <si>
    <t>DLY 93B ARRASTRE X OPERADOR</t>
  </si>
  <si>
    <t>56 MIN. Y 3:41HRS.</t>
  </si>
  <si>
    <t>93B - 93A</t>
  </si>
  <si>
    <t>DELAY POR OPERADOR Y DELAY NO POR OPERADOR</t>
  </si>
  <si>
    <t>restriccion punto de salida</t>
  </si>
  <si>
    <t>DLY  POR ARRASTRE SEGMENTO ANTERIOR EZE-SCL</t>
  </si>
  <si>
    <t>93a-89</t>
  </si>
  <si>
    <t>DLY 93A ARRASTRE SEGMENTO ANTERIOR - DLY 89 ATC</t>
  </si>
  <si>
    <t>93A - 86</t>
  </si>
  <si>
    <t>93A 1:47 ARRASTRE  DLY86 00:38 MIN AUTORIDA DE AEROPUERTO NO DEJA ABRIR BODEGAS</t>
  </si>
  <si>
    <t xml:space="preserve">CARGUIO LENTO  POR SALIDA TARDE DE CARGA DE BODEGA </t>
  </si>
  <si>
    <t>dly 93 arrastre segmento anyterior</t>
  </si>
  <si>
    <t>01:15/00:08</t>
  </si>
  <si>
    <t>93/62</t>
  </si>
  <si>
    <t>DLY POR LLEGADA TARDE Y REFUMIGACION EN SCL</t>
  </si>
  <si>
    <t>l.torre/a.fernandez/r.cuevas</t>
  </si>
  <si>
    <t>ATC , ESPERA DE AUTORIZACION PARA EL PUSH BACK</t>
  </si>
  <si>
    <t>on TIME</t>
  </si>
  <si>
    <t>DAE1558/1560</t>
  </si>
  <si>
    <t>DATE</t>
  </si>
  <si>
    <t>FLIGHT</t>
  </si>
  <si>
    <t>GRT</t>
  </si>
  <si>
    <t>DLY</t>
  </si>
  <si>
    <t>CODE</t>
  </si>
  <si>
    <t>NOTES</t>
  </si>
  <si>
    <t xml:space="preserve">ARRASTRE EZE-SCL 93A-01:35MIN / 93B 00:50 MIN, 33D FALLA DE EQUIPOS EN TIERRA19MIN </t>
  </si>
  <si>
    <t xml:space="preserve"> ARRASTRE SEGMENTO  EZE-SCL</t>
  </si>
  <si>
    <t xml:space="preserve">FEBRERO </t>
  </si>
  <si>
    <t>AVISO</t>
  </si>
  <si>
    <t>ACR</t>
  </si>
  <si>
    <t>FALLA DE EQUIPOS EN TIERRA  GSE</t>
  </si>
  <si>
    <t xml:space="preserve">SALIDA RETRASADA IMPORT   </t>
  </si>
  <si>
    <t xml:space="preserve"> CARGA Y DESCARGA</t>
  </si>
  <si>
    <t>38A</t>
  </si>
  <si>
    <t>EQUIPO ULD DAMAGE</t>
  </si>
  <si>
    <t>X</t>
  </si>
  <si>
    <t>FECHA</t>
  </si>
  <si>
    <t>MINIMO</t>
  </si>
  <si>
    <t>MAXIMO</t>
  </si>
  <si>
    <t>ATA AVION</t>
  </si>
  <si>
    <t>FIRST ATA 20 BODEGA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</si>
</sst>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28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242424"/>
      <name val="Aptos Narrow"/>
      <family val="2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6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312">
    <xf numFmtId="0" fontId="0" fillId="0" borderId="0" xfId="0"/>
    <xf numFmtId="0" fontId="0" fillId="0" borderId="0" xfId="0" applyAlignment="1">
      <alignment horizontal="center"/>
    </xf>
    <xf numFmtId="16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0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16" fontId="0" fillId="3" borderId="9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20" fontId="0" fillId="3" borderId="9" xfId="0" applyNumberFormat="1" applyFill="1" applyBorder="1" applyAlignment="1">
      <alignment horizontal="center" vertical="center"/>
    </xf>
    <xf numFmtId="0" fontId="0" fillId="3" borderId="0" xfId="0" applyFill="1"/>
    <xf numFmtId="16" fontId="0" fillId="4" borderId="9" xfId="0" applyNumberForma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20" fontId="0" fillId="4" borderId="9" xfId="0" applyNumberFormat="1" applyFill="1" applyBorder="1" applyAlignment="1">
      <alignment horizontal="center" vertical="center"/>
    </xf>
    <xf numFmtId="0" fontId="0" fillId="4" borderId="0" xfId="0" applyFill="1"/>
    <xf numFmtId="0" fontId="0" fillId="5" borderId="9" xfId="0" applyFill="1" applyBorder="1" applyAlignment="1">
      <alignment horizontal="center" vertical="center"/>
    </xf>
    <xf numFmtId="0" fontId="0" fillId="5" borderId="0" xfId="0" applyFill="1"/>
    <xf numFmtId="0" fontId="0" fillId="5" borderId="9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16" fontId="0" fillId="5" borderId="9" xfId="0" applyNumberFormat="1" applyFill="1" applyBorder="1" applyAlignment="1">
      <alignment horizontal="center" vertical="center"/>
    </xf>
    <xf numFmtId="20" fontId="0" fillId="5" borderId="9" xfId="0" applyNumberFormat="1" applyFill="1" applyBorder="1" applyAlignment="1">
      <alignment horizontal="center" vertical="center"/>
    </xf>
    <xf numFmtId="16" fontId="3" fillId="5" borderId="9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20" fontId="3" fillId="5" borderId="9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 wrapText="1"/>
    </xf>
    <xf numFmtId="0" fontId="3" fillId="5" borderId="0" xfId="0" applyFont="1" applyFill="1"/>
    <xf numFmtId="16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0" fontId="0" fillId="0" borderId="10" xfId="0" applyNumberFormat="1" applyBorder="1" applyAlignment="1">
      <alignment horizontal="center" vertical="center"/>
    </xf>
    <xf numFmtId="0" fontId="0" fillId="0" borderId="11" xfId="0" applyBorder="1"/>
    <xf numFmtId="16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0" fontId="0" fillId="0" borderId="13" xfId="0" applyBorder="1"/>
    <xf numFmtId="20" fontId="0" fillId="0" borderId="13" xfId="0" applyNumberFormat="1" applyBorder="1"/>
    <xf numFmtId="0" fontId="0" fillId="0" borderId="14" xfId="0" applyBorder="1"/>
    <xf numFmtId="16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/>
    <xf numFmtId="20" fontId="0" fillId="0" borderId="15" xfId="0" applyNumberFormat="1" applyBorder="1" applyAlignment="1">
      <alignment horizontal="center" vertical="center"/>
    </xf>
    <xf numFmtId="20" fontId="0" fillId="0" borderId="15" xfId="0" applyNumberForma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16" fontId="0" fillId="6" borderId="18" xfId="0" applyNumberFormat="1" applyFill="1" applyBorder="1"/>
    <xf numFmtId="16" fontId="0" fillId="6" borderId="24" xfId="0" applyNumberFormat="1" applyFill="1" applyBorder="1"/>
    <xf numFmtId="0" fontId="0" fillId="6" borderId="18" xfId="0" applyFill="1" applyBorder="1"/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/>
    </xf>
    <xf numFmtId="16" fontId="0" fillId="7" borderId="9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20" fontId="0" fillId="7" borderId="9" xfId="0" applyNumberFormat="1" applyFill="1" applyBorder="1" applyAlignment="1">
      <alignment horizontal="center" vertical="center"/>
    </xf>
    <xf numFmtId="0" fontId="0" fillId="7" borderId="0" xfId="0" applyFill="1"/>
    <xf numFmtId="16" fontId="5" fillId="5" borderId="9" xfId="0" applyNumberFormat="1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20" fontId="5" fillId="5" borderId="9" xfId="0" applyNumberFormat="1" applyFont="1" applyFill="1" applyBorder="1" applyAlignment="1">
      <alignment horizontal="center" vertical="center"/>
    </xf>
    <xf numFmtId="0" fontId="5" fillId="5" borderId="0" xfId="0" applyFont="1" applyFill="1"/>
    <xf numFmtId="20" fontId="0" fillId="4" borderId="9" xfId="0" quotePrefix="1" applyNumberFormat="1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 wrapText="1"/>
    </xf>
    <xf numFmtId="16" fontId="0" fillId="8" borderId="15" xfId="0" applyNumberFormat="1" applyFill="1" applyBorder="1" applyAlignment="1">
      <alignment horizontal="center" vertical="center"/>
    </xf>
    <xf numFmtId="20" fontId="0" fillId="8" borderId="15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 wrapText="1"/>
    </xf>
    <xf numFmtId="20" fontId="0" fillId="0" borderId="15" xfId="0" applyNumberFormat="1" applyBorder="1"/>
    <xf numFmtId="0" fontId="6" fillId="0" borderId="0" xfId="0" applyFont="1"/>
    <xf numFmtId="0" fontId="0" fillId="0" borderId="15" xfId="0" applyBorder="1" applyAlignment="1">
      <alignment horizontal="center" wrapText="1"/>
    </xf>
    <xf numFmtId="0" fontId="0" fillId="0" borderId="25" xfId="0" applyBorder="1" applyAlignment="1">
      <alignment horizontal="center"/>
    </xf>
    <xf numFmtId="46" fontId="0" fillId="0" borderId="15" xfId="0" applyNumberFormat="1" applyBorder="1" applyAlignment="1">
      <alignment horizontal="center"/>
    </xf>
    <xf numFmtId="16" fontId="0" fillId="0" borderId="0" xfId="0" applyNumberFormat="1"/>
    <xf numFmtId="20" fontId="0" fillId="0" borderId="0" xfId="0" applyNumberFormat="1"/>
    <xf numFmtId="20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0" fillId="9" borderId="17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16" fontId="0" fillId="10" borderId="20" xfId="0" applyNumberFormat="1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20" fontId="0" fillId="10" borderId="11" xfId="0" applyNumberFormat="1" applyFill="1" applyBorder="1" applyAlignment="1">
      <alignment horizontal="center"/>
    </xf>
    <xf numFmtId="20" fontId="0" fillId="10" borderId="11" xfId="0" applyNumberFormat="1" applyFill="1" applyBorder="1" applyAlignment="1">
      <alignment horizontal="center" vertical="center"/>
    </xf>
    <xf numFmtId="0" fontId="0" fillId="10" borderId="21" xfId="0" applyFill="1" applyBorder="1" applyAlignment="1">
      <alignment horizontal="center"/>
    </xf>
    <xf numFmtId="16" fontId="0" fillId="10" borderId="20" xfId="0" applyNumberFormat="1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 wrapText="1"/>
    </xf>
    <xf numFmtId="16" fontId="0" fillId="10" borderId="26" xfId="0" applyNumberFormat="1" applyFill="1" applyBorder="1" applyAlignment="1">
      <alignment horizontal="center"/>
    </xf>
    <xf numFmtId="0" fontId="0" fillId="10" borderId="22" xfId="0" applyFill="1" applyBorder="1" applyAlignment="1">
      <alignment horizontal="center"/>
    </xf>
    <xf numFmtId="20" fontId="0" fillId="10" borderId="22" xfId="0" applyNumberFormat="1" applyFill="1" applyBorder="1" applyAlignment="1">
      <alignment horizontal="center"/>
    </xf>
    <xf numFmtId="20" fontId="0" fillId="10" borderId="22" xfId="0" applyNumberFormat="1" applyFill="1" applyBorder="1" applyAlignment="1">
      <alignment horizontal="center" vertical="center"/>
    </xf>
    <xf numFmtId="0" fontId="0" fillId="10" borderId="23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11" borderId="29" xfId="0" applyFont="1" applyFill="1" applyBorder="1" applyAlignment="1">
      <alignment horizontal="center"/>
    </xf>
    <xf numFmtId="16" fontId="0" fillId="11" borderId="30" xfId="0" applyNumberFormat="1" applyFill="1" applyBorder="1"/>
    <xf numFmtId="16" fontId="0" fillId="11" borderId="31" xfId="0" applyNumberFormat="1" applyFill="1" applyBorder="1"/>
    <xf numFmtId="20" fontId="0" fillId="11" borderId="30" xfId="0" applyNumberFormat="1" applyFill="1" applyBorder="1"/>
    <xf numFmtId="0" fontId="0" fillId="4" borderId="0" xfId="0" applyFill="1" applyAlignment="1">
      <alignment horizontal="center"/>
    </xf>
    <xf numFmtId="20" fontId="0" fillId="4" borderId="0" xfId="0" applyNumberFormat="1" applyFill="1" applyAlignment="1">
      <alignment horizontal="center"/>
    </xf>
    <xf numFmtId="0" fontId="0" fillId="4" borderId="32" xfId="0" applyFill="1" applyBorder="1" applyAlignment="1">
      <alignment horizontal="center"/>
    </xf>
    <xf numFmtId="20" fontId="0" fillId="4" borderId="33" xfId="0" applyNumberFormat="1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20" fontId="0" fillId="4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20" fontId="0" fillId="4" borderId="36" xfId="0" applyNumberFormat="1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6" xfId="0" applyFill="1" applyBorder="1"/>
    <xf numFmtId="0" fontId="0" fillId="4" borderId="27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20" fontId="0" fillId="0" borderId="0" xfId="0" applyNumberFormat="1" applyAlignment="1">
      <alignment horizontal="center"/>
    </xf>
    <xf numFmtId="20" fontId="0" fillId="11" borderId="30" xfId="0" applyNumberFormat="1" applyFill="1" applyBorder="1" applyAlignment="1">
      <alignment horizontal="center"/>
    </xf>
    <xf numFmtId="20" fontId="0" fillId="11" borderId="31" xfId="0" applyNumberFormat="1" applyFill="1" applyBorder="1" applyAlignment="1">
      <alignment horizontal="center"/>
    </xf>
    <xf numFmtId="16" fontId="0" fillId="0" borderId="0" xfId="0" applyNumberFormat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1" xfId="0" applyNumberFormat="1" applyBorder="1" applyAlignment="1">
      <alignment horizontal="center"/>
    </xf>
    <xf numFmtId="16" fontId="0" fillId="3" borderId="15" xfId="0" applyNumberForma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20" fontId="0" fillId="3" borderId="15" xfId="0" applyNumberFormat="1" applyFill="1" applyBorder="1" applyAlignment="1">
      <alignment horizontal="center"/>
    </xf>
    <xf numFmtId="20" fontId="0" fillId="3" borderId="15" xfId="0" applyNumberFormat="1" applyFill="1" applyBorder="1" applyAlignment="1">
      <alignment horizontal="center" vertical="center"/>
    </xf>
    <xf numFmtId="0" fontId="0" fillId="3" borderId="11" xfId="0" applyFill="1" applyBorder="1"/>
    <xf numFmtId="0" fontId="0" fillId="3" borderId="15" xfId="0" applyFill="1" applyBorder="1"/>
    <xf numFmtId="0" fontId="0" fillId="11" borderId="37" xfId="0" applyFill="1" applyBorder="1"/>
    <xf numFmtId="0" fontId="0" fillId="0" borderId="25" xfId="0" applyBorder="1"/>
    <xf numFmtId="20" fontId="0" fillId="11" borderId="6" xfId="0" applyNumberFormat="1" applyFill="1" applyBorder="1"/>
    <xf numFmtId="20" fontId="0" fillId="11" borderId="37" xfId="0" applyNumberFormat="1" applyFill="1" applyBorder="1"/>
    <xf numFmtId="20" fontId="0" fillId="0" borderId="25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left"/>
    </xf>
    <xf numFmtId="20" fontId="0" fillId="3" borderId="15" xfId="0" applyNumberFormat="1" applyFill="1" applyBorder="1"/>
    <xf numFmtId="0" fontId="4" fillId="0" borderId="0" xfId="0" applyFont="1" applyAlignment="1">
      <alignment horizontal="center"/>
    </xf>
    <xf numFmtId="0" fontId="0" fillId="3" borderId="40" xfId="0" applyFill="1" applyBorder="1" applyAlignment="1">
      <alignment horizontal="center" vertical="center"/>
    </xf>
    <xf numFmtId="46" fontId="0" fillId="0" borderId="15" xfId="0" applyNumberFormat="1" applyBorder="1"/>
    <xf numFmtId="0" fontId="7" fillId="0" borderId="41" xfId="0" applyFont="1" applyBorder="1"/>
    <xf numFmtId="20" fontId="0" fillId="11" borderId="42" xfId="0" applyNumberFormat="1" applyFill="1" applyBorder="1"/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wrapText="1"/>
    </xf>
    <xf numFmtId="20" fontId="0" fillId="0" borderId="11" xfId="0" applyNumberFormat="1" applyBorder="1"/>
    <xf numFmtId="0" fontId="0" fillId="6" borderId="6" xfId="0" applyFill="1" applyBorder="1"/>
    <xf numFmtId="0" fontId="0" fillId="6" borderId="37" xfId="0" applyFill="1" applyBorder="1"/>
    <xf numFmtId="0" fontId="0" fillId="6" borderId="7" xfId="0" applyFill="1" applyBorder="1"/>
    <xf numFmtId="0" fontId="0" fillId="10" borderId="11" xfId="0" applyFill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10" borderId="22" xfId="0" applyFill="1" applyBorder="1" applyAlignment="1">
      <alignment horizontal="left"/>
    </xf>
    <xf numFmtId="0" fontId="0" fillId="11" borderId="18" xfId="0" applyFill="1" applyBorder="1"/>
    <xf numFmtId="0" fontId="0" fillId="11" borderId="19" xfId="0" applyFill="1" applyBorder="1"/>
    <xf numFmtId="0" fontId="0" fillId="0" borderId="11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16" fontId="1" fillId="11" borderId="30" xfId="0" applyNumberFormat="1" applyFont="1" applyFill="1" applyBorder="1"/>
    <xf numFmtId="0" fontId="1" fillId="0" borderId="0" xfId="0" applyFont="1"/>
    <xf numFmtId="0" fontId="0" fillId="4" borderId="11" xfId="0" applyFill="1" applyBorder="1" applyAlignment="1">
      <alignment horizontal="center"/>
    </xf>
    <xf numFmtId="20" fontId="0" fillId="4" borderId="11" xfId="0" applyNumberFormat="1" applyFill="1" applyBorder="1" applyAlignment="1">
      <alignment horizontal="center"/>
    </xf>
    <xf numFmtId="0" fontId="1" fillId="11" borderId="32" xfId="0" applyFont="1" applyFill="1" applyBorder="1" applyAlignment="1">
      <alignment horizontal="center"/>
    </xf>
    <xf numFmtId="16" fontId="0" fillId="11" borderId="33" xfId="0" applyNumberFormat="1" applyFill="1" applyBorder="1"/>
    <xf numFmtId="16" fontId="0" fillId="11" borderId="34" xfId="0" applyNumberFormat="1" applyFill="1" applyBorder="1"/>
    <xf numFmtId="0" fontId="1" fillId="11" borderId="27" xfId="0" applyFont="1" applyFill="1" applyBorder="1" applyAlignment="1">
      <alignment horizontal="center"/>
    </xf>
    <xf numFmtId="20" fontId="0" fillId="11" borderId="28" xfId="0" applyNumberFormat="1" applyFill="1" applyBorder="1"/>
    <xf numFmtId="2" fontId="0" fillId="3" borderId="15" xfId="0" applyNumberFormat="1" applyFill="1" applyBorder="1" applyAlignment="1">
      <alignment horizontal="center"/>
    </xf>
    <xf numFmtId="16" fontId="0" fillId="3" borderId="9" xfId="0" applyNumberFormat="1" applyFill="1" applyBorder="1" applyAlignment="1">
      <alignment vertical="center"/>
    </xf>
    <xf numFmtId="16" fontId="0" fillId="4" borderId="9" xfId="0" applyNumberFormat="1" applyFill="1" applyBorder="1" applyAlignment="1">
      <alignment vertical="center"/>
    </xf>
    <xf numFmtId="16" fontId="0" fillId="0" borderId="9" xfId="0" applyNumberFormat="1" applyBorder="1" applyAlignment="1">
      <alignment vertical="center"/>
    </xf>
    <xf numFmtId="16" fontId="0" fillId="0" borderId="10" xfId="0" applyNumberFormat="1" applyBorder="1" applyAlignment="1">
      <alignment vertical="center"/>
    </xf>
    <xf numFmtId="16" fontId="0" fillId="0" borderId="12" xfId="0" applyNumberFormat="1" applyBorder="1"/>
    <xf numFmtId="16" fontId="0" fillId="0" borderId="15" xfId="0" applyNumberFormat="1" applyBorder="1"/>
    <xf numFmtId="16" fontId="0" fillId="8" borderId="15" xfId="0" applyNumberFormat="1" applyFill="1" applyBorder="1" applyAlignment="1">
      <alignment vertical="center"/>
    </xf>
    <xf numFmtId="16" fontId="0" fillId="3" borderId="15" xfId="0" applyNumberFormat="1" applyFill="1" applyBorder="1"/>
    <xf numFmtId="16" fontId="0" fillId="4" borderId="15" xfId="0" applyNumberFormat="1" applyFill="1" applyBorder="1"/>
    <xf numFmtId="16" fontId="0" fillId="0" borderId="11" xfId="0" applyNumberFormat="1" applyBorder="1"/>
    <xf numFmtId="1" fontId="0" fillId="4" borderId="9" xfId="0" applyNumberFormat="1" applyFill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5" borderId="9" xfId="0" applyNumberFormat="1" applyFill="1" applyBorder="1" applyAlignment="1">
      <alignment horizontal="center" vertical="center"/>
    </xf>
    <xf numFmtId="16" fontId="0" fillId="12" borderId="15" xfId="0" applyNumberFormat="1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2" borderId="11" xfId="0" applyFill="1" applyBorder="1"/>
    <xf numFmtId="0" fontId="0" fillId="12" borderId="15" xfId="0" applyFill="1" applyBorder="1" applyAlignment="1">
      <alignment horizontal="center"/>
    </xf>
    <xf numFmtId="0" fontId="0" fillId="12" borderId="15" xfId="0" applyFill="1" applyBorder="1"/>
    <xf numFmtId="20" fontId="0" fillId="12" borderId="15" xfId="0" applyNumberFormat="1" applyFill="1" applyBorder="1" applyAlignment="1">
      <alignment horizontal="center" vertical="center"/>
    </xf>
    <xf numFmtId="20" fontId="0" fillId="0" borderId="15" xfId="0" applyNumberFormat="1" applyBorder="1" applyAlignment="1">
      <alignment wrapText="1"/>
    </xf>
    <xf numFmtId="16" fontId="0" fillId="13" borderId="15" xfId="0" applyNumberFormat="1" applyFill="1" applyBorder="1" applyAlignment="1">
      <alignment horizontal="center"/>
    </xf>
    <xf numFmtId="0" fontId="0" fillId="13" borderId="15" xfId="0" applyFill="1" applyBorder="1" applyAlignment="1">
      <alignment horizontal="center"/>
    </xf>
    <xf numFmtId="0" fontId="0" fillId="13" borderId="15" xfId="0" applyFill="1" applyBorder="1"/>
    <xf numFmtId="20" fontId="0" fillId="13" borderId="15" xfId="0" applyNumberFormat="1" applyFill="1" applyBorder="1" applyAlignment="1">
      <alignment horizontal="center" vertical="center"/>
    </xf>
    <xf numFmtId="0" fontId="0" fillId="13" borderId="11" xfId="0" applyFill="1" applyBorder="1"/>
    <xf numFmtId="20" fontId="0" fillId="13" borderId="15" xfId="0" applyNumberFormat="1" applyFill="1" applyBorder="1"/>
    <xf numFmtId="16" fontId="0" fillId="13" borderId="11" xfId="0" applyNumberFormat="1" applyFill="1" applyBorder="1"/>
    <xf numFmtId="20" fontId="0" fillId="13" borderId="15" xfId="0" applyNumberFormat="1" applyFill="1" applyBorder="1" applyAlignment="1">
      <alignment horizontal="center"/>
    </xf>
    <xf numFmtId="20" fontId="0" fillId="0" borderId="22" xfId="0" applyNumberFormat="1" applyBorder="1" applyAlignment="1">
      <alignment horizontal="center"/>
    </xf>
    <xf numFmtId="16" fontId="0" fillId="14" borderId="18" xfId="0" applyNumberFormat="1" applyFill="1" applyBorder="1"/>
    <xf numFmtId="16" fontId="0" fillId="3" borderId="11" xfId="0" applyNumberFormat="1" applyFill="1" applyBorder="1"/>
    <xf numFmtId="20" fontId="5" fillId="3" borderId="15" xfId="0" applyNumberFormat="1" applyFont="1" applyFill="1" applyBorder="1"/>
    <xf numFmtId="16" fontId="0" fillId="8" borderId="15" xfId="0" applyNumberFormat="1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15" xfId="0" applyFill="1" applyBorder="1"/>
    <xf numFmtId="20" fontId="0" fillId="8" borderId="15" xfId="0" applyNumberFormat="1" applyFill="1" applyBorder="1"/>
    <xf numFmtId="16" fontId="0" fillId="8" borderId="11" xfId="0" applyNumberFormat="1" applyFill="1" applyBorder="1"/>
    <xf numFmtId="0" fontId="0" fillId="8" borderId="11" xfId="0" applyFill="1" applyBorder="1"/>
    <xf numFmtId="46" fontId="0" fillId="8" borderId="15" xfId="0" applyNumberFormat="1" applyFill="1" applyBorder="1"/>
    <xf numFmtId="16" fontId="0" fillId="4" borderId="10" xfId="0" applyNumberForma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20" fontId="0" fillId="4" borderId="10" xfId="0" applyNumberFormat="1" applyFill="1" applyBorder="1" applyAlignment="1">
      <alignment horizontal="center" vertical="center"/>
    </xf>
    <xf numFmtId="16" fontId="0" fillId="4" borderId="12" xfId="0" applyNumberForma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20" fontId="0" fillId="4" borderId="13" xfId="0" applyNumberFormat="1" applyFill="1" applyBorder="1" applyAlignment="1">
      <alignment horizontal="center"/>
    </xf>
    <xf numFmtId="0" fontId="0" fillId="4" borderId="13" xfId="0" applyFill="1" applyBorder="1"/>
    <xf numFmtId="20" fontId="0" fillId="4" borderId="13" xfId="0" applyNumberFormat="1" applyFill="1" applyBorder="1"/>
    <xf numFmtId="0" fontId="0" fillId="4" borderId="14" xfId="0" applyFill="1" applyBorder="1"/>
    <xf numFmtId="16" fontId="0" fillId="4" borderId="15" xfId="0" applyNumberForma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20" fontId="0" fillId="4" borderId="15" xfId="0" applyNumberFormat="1" applyFill="1" applyBorder="1" applyAlignment="1">
      <alignment horizontal="center"/>
    </xf>
    <xf numFmtId="20" fontId="0" fillId="4" borderId="15" xfId="0" applyNumberFormat="1" applyFill="1" applyBorder="1" applyAlignment="1">
      <alignment horizontal="center" vertical="center"/>
    </xf>
    <xf numFmtId="0" fontId="0" fillId="4" borderId="11" xfId="0" applyFill="1" applyBorder="1"/>
    <xf numFmtId="16" fontId="0" fillId="4" borderId="15" xfId="0" applyNumberForma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 wrapText="1"/>
    </xf>
    <xf numFmtId="0" fontId="0" fillId="4" borderId="15" xfId="0" applyFill="1" applyBorder="1"/>
    <xf numFmtId="20" fontId="0" fillId="4" borderId="15" xfId="0" applyNumberFormat="1" applyFill="1" applyBorder="1"/>
    <xf numFmtId="0" fontId="0" fillId="4" borderId="15" xfId="0" applyFill="1" applyBorder="1" applyAlignment="1">
      <alignment horizontal="center" wrapText="1"/>
    </xf>
    <xf numFmtId="46" fontId="0" fillId="4" borderId="15" xfId="0" applyNumberFormat="1" applyFill="1" applyBorder="1" applyAlignment="1">
      <alignment horizontal="center"/>
    </xf>
    <xf numFmtId="164" fontId="0" fillId="4" borderId="15" xfId="0" applyNumberFormat="1" applyFill="1" applyBorder="1" applyAlignment="1">
      <alignment horizontal="center"/>
    </xf>
    <xf numFmtId="0" fontId="0" fillId="4" borderId="15" xfId="0" applyFill="1" applyBorder="1" applyAlignment="1">
      <alignment horizontal="left"/>
    </xf>
    <xf numFmtId="0" fontId="0" fillId="4" borderId="15" xfId="0" applyFill="1" applyBorder="1" applyAlignment="1">
      <alignment wrapText="1"/>
    </xf>
    <xf numFmtId="46" fontId="0" fillId="4" borderId="15" xfId="0" applyNumberFormat="1" applyFill="1" applyBorder="1"/>
    <xf numFmtId="20" fontId="0" fillId="4" borderId="15" xfId="0" applyNumberFormat="1" applyFill="1" applyBorder="1" applyAlignment="1">
      <alignment wrapText="1"/>
    </xf>
    <xf numFmtId="20" fontId="5" fillId="4" borderId="15" xfId="0" applyNumberFormat="1" applyFont="1" applyFill="1" applyBorder="1"/>
    <xf numFmtId="20" fontId="0" fillId="0" borderId="22" xfId="0" applyNumberFormat="1" applyBorder="1"/>
    <xf numFmtId="20" fontId="0" fillId="0" borderId="21" xfId="0" applyNumberFormat="1" applyBorder="1"/>
    <xf numFmtId="20" fontId="0" fillId="0" borderId="23" xfId="0" applyNumberFormat="1" applyBorder="1"/>
    <xf numFmtId="46" fontId="0" fillId="0" borderId="21" xfId="0" applyNumberFormat="1" applyBorder="1"/>
    <xf numFmtId="0" fontId="8" fillId="0" borderId="43" xfId="0" applyFont="1" applyBorder="1"/>
    <xf numFmtId="0" fontId="8" fillId="0" borderId="15" xfId="0" applyFont="1" applyBorder="1"/>
    <xf numFmtId="0" fontId="0" fillId="0" borderId="6" xfId="0" applyBorder="1"/>
    <xf numFmtId="0" fontId="0" fillId="0" borderId="7" xfId="0" applyBorder="1"/>
    <xf numFmtId="16" fontId="0" fillId="0" borderId="11" xfId="0" applyNumberFormat="1" applyBorder="1" applyAlignment="1">
      <alignment horizontal="right"/>
    </xf>
    <xf numFmtId="20" fontId="0" fillId="8" borderId="15" xfId="0" applyNumberFormat="1" applyFill="1" applyBorder="1" applyAlignment="1">
      <alignment horizontal="right"/>
    </xf>
    <xf numFmtId="20" fontId="0" fillId="8" borderId="21" xfId="0" applyNumberFormat="1" applyFill="1" applyBorder="1"/>
    <xf numFmtId="0" fontId="0" fillId="8" borderId="21" xfId="0" applyFill="1" applyBorder="1"/>
    <xf numFmtId="0" fontId="0" fillId="8" borderId="23" xfId="0" applyFill="1" applyBorder="1"/>
    <xf numFmtId="20" fontId="0" fillId="8" borderId="23" xfId="0" applyNumberFormat="1" applyFill="1" applyBorder="1"/>
    <xf numFmtId="0" fontId="0" fillId="0" borderId="15" xfId="0" applyBorder="1" applyAlignment="1">
      <alignment horizontal="right"/>
    </xf>
    <xf numFmtId="20" fontId="0" fillId="0" borderId="11" xfId="0" applyNumberFormat="1" applyBorder="1" applyAlignment="1">
      <alignment horizontal="center" vertical="center"/>
    </xf>
    <xf numFmtId="16" fontId="0" fillId="0" borderId="6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20" fontId="0" fillId="0" borderId="4" xfId="0" applyNumberFormat="1" applyBorder="1"/>
    <xf numFmtId="20" fontId="0" fillId="0" borderId="4" xfId="0" applyNumberFormat="1" applyBorder="1" applyAlignment="1">
      <alignment horizontal="center" vertical="center"/>
    </xf>
    <xf numFmtId="16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16" fontId="0" fillId="0" borderId="15" xfId="0" applyNumberFormat="1" applyBorder="1" applyAlignment="1">
      <alignment vertical="center"/>
    </xf>
    <xf numFmtId="20" fontId="5" fillId="0" borderId="15" xfId="0" applyNumberFormat="1" applyFont="1" applyBorder="1"/>
    <xf numFmtId="20" fontId="0" fillId="0" borderId="15" xfId="0" applyNumberFormat="1" applyBorder="1" applyAlignment="1">
      <alignment horizontal="right"/>
    </xf>
    <xf numFmtId="20" fontId="0" fillId="0" borderId="44" xfId="0" applyNumberFormat="1" applyBorder="1"/>
    <xf numFmtId="0" fontId="0" fillId="0" borderId="45" xfId="0" applyBorder="1"/>
    <xf numFmtId="16" fontId="0" fillId="14" borderId="13" xfId="0" applyNumberFormat="1" applyFill="1" applyBorder="1"/>
    <xf numFmtId="20" fontId="0" fillId="0" borderId="11" xfId="0" applyNumberFormat="1" applyBorder="1" applyAlignment="1">
      <alignment vertical="center"/>
    </xf>
    <xf numFmtId="0" fontId="0" fillId="0" borderId="38" xfId="0" applyBorder="1" applyAlignment="1">
      <alignment horizontal="center"/>
    </xf>
    <xf numFmtId="20" fontId="0" fillId="0" borderId="38" xfId="0" applyNumberFormat="1" applyBorder="1" applyAlignment="1">
      <alignment horizontal="center"/>
    </xf>
    <xf numFmtId="0" fontId="0" fillId="0" borderId="47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6" fontId="0" fillId="0" borderId="38" xfId="0" applyNumberFormat="1" applyBorder="1"/>
    <xf numFmtId="0" fontId="9" fillId="0" borderId="48" xfId="0" applyFont="1" applyBorder="1"/>
    <xf numFmtId="16" fontId="0" fillId="0" borderId="49" xfId="0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16" fontId="0" fillId="0" borderId="4" xfId="0" applyNumberFormat="1" applyBorder="1"/>
    <xf numFmtId="16" fontId="0" fillId="0" borderId="53" xfId="0" applyNumberFormat="1" applyBorder="1" applyAlignment="1">
      <alignment horizontal="center" vertical="center"/>
    </xf>
    <xf numFmtId="16" fontId="0" fillId="0" borderId="21" xfId="0" applyNumberFormat="1" applyBorder="1"/>
    <xf numFmtId="16" fontId="0" fillId="0" borderId="23" xfId="0" applyNumberFormat="1" applyBorder="1"/>
    <xf numFmtId="0" fontId="0" fillId="0" borderId="16" xfId="0" applyBorder="1"/>
    <xf numFmtId="16" fontId="0" fillId="0" borderId="38" xfId="0" applyNumberFormat="1" applyBorder="1" applyAlignment="1">
      <alignment horizontal="center"/>
    </xf>
    <xf numFmtId="0" fontId="0" fillId="0" borderId="38" xfId="0" applyBorder="1"/>
    <xf numFmtId="20" fontId="0" fillId="0" borderId="38" xfId="0" applyNumberFormat="1" applyBorder="1" applyAlignment="1">
      <alignment horizontal="center" vertical="center"/>
    </xf>
    <xf numFmtId="16" fontId="0" fillId="0" borderId="54" xfId="0" applyNumberFormat="1" applyBorder="1"/>
    <xf numFmtId="20" fontId="0" fillId="0" borderId="2" xfId="0" applyNumberFormat="1" applyBorder="1" applyAlignment="1">
      <alignment horizontal="center"/>
    </xf>
    <xf numFmtId="20" fontId="0" fillId="0" borderId="52" xfId="0" applyNumberFormat="1" applyBorder="1" applyAlignment="1">
      <alignment horizontal="center" vertic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37" xfId="0" applyBorder="1" applyAlignment="1">
      <alignment horizontal="center"/>
    </xf>
    <xf numFmtId="20" fontId="0" fillId="0" borderId="37" xfId="0" applyNumberFormat="1" applyBorder="1" applyAlignment="1">
      <alignment horizontal="center"/>
    </xf>
    <xf numFmtId="20" fontId="0" fillId="0" borderId="7" xfId="0" applyNumberFormat="1" applyBorder="1" applyAlignment="1">
      <alignment horizontal="center"/>
    </xf>
    <xf numFmtId="20" fontId="0" fillId="0" borderId="46" xfId="0" applyNumberForma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20" fontId="0" fillId="0" borderId="4" xfId="0" applyNumberFormat="1" applyBorder="1" applyAlignment="1">
      <alignment horizontal="center"/>
    </xf>
    <xf numFmtId="20" fontId="0" fillId="0" borderId="55" xfId="0" applyNumberFormat="1" applyBorder="1"/>
    <xf numFmtId="0" fontId="0" fillId="0" borderId="2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1</xdr:row>
      <xdr:rowOff>114300</xdr:rowOff>
    </xdr:from>
    <xdr:to>
      <xdr:col>9</xdr:col>
      <xdr:colOff>1400175</xdr:colOff>
      <xdr:row>9</xdr:row>
      <xdr:rowOff>114300</xdr:rowOff>
    </xdr:to>
    <xdr:pic>
      <xdr:nvPicPr>
        <xdr:cNvPr id="2" name="Imagen 1" descr="Tabla&#10;&#10;El contenido generado por inteligencia artificial puede ser incorrecto.">
          <a:extLst>
            <a:ext uri="{FF2B5EF4-FFF2-40B4-BE49-F238E27FC236}">
              <a16:creationId xmlns:a16="http://schemas.microsoft.com/office/drawing/2014/main" id="{238B9398-5A0D-2EE3-C641-E5687BFEF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1150" y="304800"/>
          <a:ext cx="5895975" cy="152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200025</xdr:colOff>
      <xdr:row>20</xdr:row>
      <xdr:rowOff>180975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E96D6F-CDA8-468B-B023-C5A072BAF279}"/>
            </a:ext>
            <a:ext uri="{147F2762-F138-4A5C-976F-8EAC2B608ADB}">
              <a16:predDERef xmlns:a16="http://schemas.microsoft.com/office/drawing/2014/main" pred="{EC86EDF9-F31B-7247-CC2C-8A123304C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4010025"/>
          <a:ext cx="200025" cy="1809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200025</xdr:colOff>
      <xdr:row>21</xdr:row>
      <xdr:rowOff>180975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882CE58-9DF4-4948-9934-C02AA6813083}"/>
            </a:ext>
            <a:ext uri="{147F2762-F138-4A5C-976F-8EAC2B608ADB}">
              <a16:predDERef xmlns:a16="http://schemas.microsoft.com/office/drawing/2014/main" pred="{79E96D6F-CDA8-468B-B023-C5A072BAF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34425" y="4200525"/>
          <a:ext cx="200025" cy="18097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200025</xdr:colOff>
      <xdr:row>21</xdr:row>
      <xdr:rowOff>180975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0E34825-8216-4202-AEF4-8B6FA6713919}"/>
            </a:ext>
            <a:ext uri="{147F2762-F138-4A5C-976F-8EAC2B608ADB}">
              <a16:predDERef xmlns:a16="http://schemas.microsoft.com/office/drawing/2014/main" pred="{F882CE58-9DF4-4948-9934-C02AA6813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4200525"/>
          <a:ext cx="200025" cy="1809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200025</xdr:colOff>
      <xdr:row>22</xdr:row>
      <xdr:rowOff>180975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F79B748-4506-4315-B64D-CE3F62EB4B22}"/>
            </a:ext>
            <a:ext uri="{147F2762-F138-4A5C-976F-8EAC2B608ADB}">
              <a16:predDERef xmlns:a16="http://schemas.microsoft.com/office/drawing/2014/main" pred="{F0E34825-8216-4202-AEF4-8B6FA6713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34425" y="4391025"/>
          <a:ext cx="200025" cy="18097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200025</xdr:colOff>
      <xdr:row>22</xdr:row>
      <xdr:rowOff>180975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9FD98D5-9A0D-4F0F-8274-874651C67DA2}"/>
            </a:ext>
            <a:ext uri="{147F2762-F138-4A5C-976F-8EAC2B608ADB}">
              <a16:predDERef xmlns:a16="http://schemas.microsoft.com/office/drawing/2014/main" pred="{AF79B748-4506-4315-B64D-CE3F62EB4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4391025"/>
          <a:ext cx="200025" cy="1809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200025</xdr:colOff>
      <xdr:row>20</xdr:row>
      <xdr:rowOff>180975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0B5D00B-CAB3-448F-ACCB-BFF64EDB5FD6}"/>
            </a:ext>
            <a:ext uri="{147F2762-F138-4A5C-976F-8EAC2B608ADB}">
              <a16:predDERef xmlns:a16="http://schemas.microsoft.com/office/drawing/2014/main" pred="{D9FD98D5-9A0D-4F0F-8274-874651C67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34425" y="4010025"/>
          <a:ext cx="200025" cy="18097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200025</xdr:colOff>
      <xdr:row>25</xdr:row>
      <xdr:rowOff>180975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994E1391-CA3F-4181-98E1-23F8C9932B73}"/>
            </a:ext>
            <a:ext uri="{147F2762-F138-4A5C-976F-8EAC2B608ADB}">
              <a16:predDERef xmlns:a16="http://schemas.microsoft.com/office/drawing/2014/main" pred="{E0B5D00B-CAB3-448F-ACCB-BFF64EDB5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4010025"/>
          <a:ext cx="200025" cy="1809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200025</xdr:colOff>
      <xdr:row>26</xdr:row>
      <xdr:rowOff>180975</xdr:rowOff>
    </xdr:to>
    <xdr:pic>
      <xdr:nvPicPr>
        <xdr:cNvPr id="10" name="Imagen 4">
          <a:extLst>
            <a:ext uri="{FF2B5EF4-FFF2-40B4-BE49-F238E27FC236}">
              <a16:creationId xmlns:a16="http://schemas.microsoft.com/office/drawing/2014/main" id="{3EC4FD2B-85EC-4945-96C6-662AF5813C78}"/>
            </a:ext>
            <a:ext uri="{147F2762-F138-4A5C-976F-8EAC2B608ADB}">
              <a16:predDERef xmlns:a16="http://schemas.microsoft.com/office/drawing/2014/main" pred="{994E1391-CA3F-4181-98E1-23F8C9932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34425" y="4200525"/>
          <a:ext cx="200025" cy="18097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200025</xdr:colOff>
      <xdr:row>26</xdr:row>
      <xdr:rowOff>180975</xdr:rowOff>
    </xdr:to>
    <xdr:pic>
      <xdr:nvPicPr>
        <xdr:cNvPr id="11" name="Imagen 5">
          <a:extLst>
            <a:ext uri="{FF2B5EF4-FFF2-40B4-BE49-F238E27FC236}">
              <a16:creationId xmlns:a16="http://schemas.microsoft.com/office/drawing/2014/main" id="{1861919B-3367-4738-BF69-780E91274581}"/>
            </a:ext>
            <a:ext uri="{147F2762-F138-4A5C-976F-8EAC2B608ADB}">
              <a16:predDERef xmlns:a16="http://schemas.microsoft.com/office/drawing/2014/main" pred="{3EC4FD2B-85EC-4945-96C6-662AF5813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4200525"/>
          <a:ext cx="200025" cy="1809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200025</xdr:colOff>
      <xdr:row>25</xdr:row>
      <xdr:rowOff>180975</xdr:rowOff>
    </xdr:to>
    <xdr:pic>
      <xdr:nvPicPr>
        <xdr:cNvPr id="14" name="Imagen 8">
          <a:extLst>
            <a:ext uri="{FF2B5EF4-FFF2-40B4-BE49-F238E27FC236}">
              <a16:creationId xmlns:a16="http://schemas.microsoft.com/office/drawing/2014/main" id="{2F227B55-4630-491C-88FC-BEFA2E055C89}"/>
            </a:ext>
            <a:ext uri="{147F2762-F138-4A5C-976F-8EAC2B608ADB}">
              <a16:predDERef xmlns:a16="http://schemas.microsoft.com/office/drawing/2014/main" pred="{FCD6EF5F-861B-4DB4-87B4-004034504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34425" y="4010025"/>
          <a:ext cx="200025" cy="18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E5218-ADD9-4CDD-BCE1-78E48FCB61F0}">
  <sheetPr>
    <tabColor rgb="FF92D050"/>
  </sheetPr>
  <dimension ref="A2:CN440"/>
  <sheetViews>
    <sheetView tabSelected="1" topLeftCell="C1" zoomScaleNormal="100" workbookViewId="0">
      <pane ySplit="6" topLeftCell="A86" activePane="bottomLeft" state="frozen"/>
      <selection activeCell="C1" sqref="C1"/>
      <selection pane="bottomLeft" activeCell="A94" sqref="A94"/>
    </sheetView>
  </sheetViews>
  <sheetFormatPr baseColWidth="10" defaultColWidth="8.7109375" defaultRowHeight="15" x14ac:dyDescent="0.25"/>
  <cols>
    <col min="2" max="2" width="15.28515625" style="1" customWidth="1"/>
    <col min="3" max="3" width="11" bestFit="1" customWidth="1"/>
    <col min="4" max="4" width="9.140625"/>
    <col min="5" max="5" width="7.140625" customWidth="1"/>
    <col min="6" max="6" width="6.140625" customWidth="1"/>
    <col min="7" max="7" width="5.7109375" customWidth="1"/>
    <col min="8" max="8" width="7.7109375" customWidth="1"/>
    <col min="9" max="9" width="27.5703125" customWidth="1"/>
    <col min="10" max="10" width="18.140625" customWidth="1"/>
    <col min="11" max="11" width="13.42578125" customWidth="1"/>
    <col min="12" max="12" width="56.28515625" customWidth="1"/>
    <col min="13" max="13" width="19" bestFit="1" customWidth="1"/>
    <col min="14" max="15" width="7.140625" customWidth="1"/>
    <col min="16" max="16" width="6.5703125" customWidth="1"/>
    <col min="17" max="17" width="6.42578125" customWidth="1"/>
    <col min="18" max="18" width="8.42578125" customWidth="1"/>
    <col min="19" max="19" width="9.28515625" bestFit="1" customWidth="1"/>
    <col min="20" max="20" width="12.5703125" bestFit="1" customWidth="1"/>
    <col min="21" max="23" width="11.7109375" customWidth="1"/>
    <col min="24" max="24" width="14.85546875" bestFit="1" customWidth="1"/>
    <col min="25" max="25" width="8.7109375" customWidth="1"/>
    <col min="26" max="26" width="32.42578125" customWidth="1"/>
    <col min="27" max="27" width="0.28515625" hidden="1" customWidth="1"/>
  </cols>
  <sheetData>
    <row r="2" spans="1:28" ht="36" x14ac:dyDescent="0.55000000000000004">
      <c r="A2" s="297" t="s">
        <v>0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7"/>
      <c r="W2" s="297"/>
      <c r="X2" s="297"/>
      <c r="Y2" s="297"/>
      <c r="Z2" s="297"/>
    </row>
    <row r="4" spans="1:28" x14ac:dyDescent="0.25">
      <c r="A4" s="287" t="s">
        <v>1</v>
      </c>
      <c r="B4" s="292" t="s">
        <v>2</v>
      </c>
      <c r="C4" s="292" t="s">
        <v>3</v>
      </c>
      <c r="D4" s="292" t="s">
        <v>4</v>
      </c>
      <c r="E4" s="292" t="s">
        <v>5</v>
      </c>
      <c r="F4" s="292" t="s">
        <v>6</v>
      </c>
      <c r="G4" s="292" t="s">
        <v>7</v>
      </c>
      <c r="H4" s="292" t="s">
        <v>8</v>
      </c>
      <c r="I4" s="292" t="s">
        <v>9</v>
      </c>
      <c r="J4" s="290" t="s">
        <v>10</v>
      </c>
      <c r="K4" s="292" t="s">
        <v>11</v>
      </c>
      <c r="L4" s="292" t="s">
        <v>12</v>
      </c>
      <c r="M4" s="292" t="s">
        <v>13</v>
      </c>
      <c r="N4" s="292" t="s">
        <v>14</v>
      </c>
      <c r="O4" s="296"/>
      <c r="P4" s="292" t="s">
        <v>15</v>
      </c>
      <c r="Q4" s="296"/>
      <c r="R4" s="294" t="s">
        <v>16</v>
      </c>
      <c r="S4" s="295"/>
      <c r="T4" s="296" t="s">
        <v>17</v>
      </c>
      <c r="U4" s="292" t="s">
        <v>18</v>
      </c>
      <c r="V4" s="292" t="s">
        <v>19</v>
      </c>
      <c r="W4" s="292" t="s">
        <v>20</v>
      </c>
      <c r="X4" s="292" t="s">
        <v>21</v>
      </c>
      <c r="Y4" s="290" t="s">
        <v>22</v>
      </c>
      <c r="Z4" s="292" t="s">
        <v>23</v>
      </c>
      <c r="AA4" s="287" t="s">
        <v>24</v>
      </c>
      <c r="AB4" s="287" t="s">
        <v>1</v>
      </c>
    </row>
    <row r="5" spans="1:28" ht="15" customHeight="1" x14ac:dyDescent="0.25">
      <c r="A5" s="288"/>
      <c r="B5" s="293"/>
      <c r="C5" s="293"/>
      <c r="D5" s="293"/>
      <c r="E5" s="293"/>
      <c r="F5" s="293"/>
      <c r="G5" s="293"/>
      <c r="H5" s="293"/>
      <c r="I5" s="293"/>
      <c r="J5" s="291"/>
      <c r="K5" s="293"/>
      <c r="L5" s="293"/>
      <c r="M5" s="293"/>
      <c r="N5" s="292" t="s">
        <v>25</v>
      </c>
      <c r="O5" s="292" t="s">
        <v>26</v>
      </c>
      <c r="P5" s="292" t="s">
        <v>25</v>
      </c>
      <c r="Q5" s="292" t="s">
        <v>26</v>
      </c>
      <c r="R5" s="293" t="s">
        <v>27</v>
      </c>
      <c r="S5" s="293" t="s">
        <v>28</v>
      </c>
      <c r="T5" s="293"/>
      <c r="U5" s="293"/>
      <c r="V5" s="293"/>
      <c r="W5" s="293"/>
      <c r="X5" s="293"/>
      <c r="Y5" s="291"/>
      <c r="Z5" s="293"/>
      <c r="AA5" s="288"/>
      <c r="AB5" s="288"/>
    </row>
    <row r="6" spans="1:28" x14ac:dyDescent="0.25">
      <c r="A6" s="289"/>
      <c r="B6" s="293"/>
      <c r="C6" s="293"/>
      <c r="D6" s="293"/>
      <c r="E6" s="293"/>
      <c r="F6" s="293"/>
      <c r="G6" s="293"/>
      <c r="H6" s="293"/>
      <c r="I6" s="293"/>
      <c r="J6" s="291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1"/>
      <c r="Z6" s="293"/>
      <c r="AA6" s="288"/>
      <c r="AB6" s="289"/>
    </row>
    <row r="7" spans="1:28" s="9" customFormat="1" x14ac:dyDescent="0.25">
      <c r="A7" s="6">
        <v>45658</v>
      </c>
      <c r="B7" s="3" t="s">
        <v>29</v>
      </c>
      <c r="C7" s="7" t="s">
        <v>30</v>
      </c>
      <c r="D7" s="7"/>
      <c r="E7" s="8"/>
      <c r="F7" s="8"/>
      <c r="G7" s="8"/>
      <c r="H7" s="8"/>
      <c r="I7" s="8"/>
      <c r="J7" s="7"/>
      <c r="K7" s="7"/>
      <c r="L7" s="7" t="s">
        <v>31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8"/>
      <c r="Z7" s="7"/>
      <c r="AA7" s="7"/>
      <c r="AB7" s="158"/>
    </row>
    <row r="8" spans="1:28" x14ac:dyDescent="0.25">
      <c r="A8" s="2">
        <v>45659</v>
      </c>
      <c r="B8" s="3" t="s">
        <v>29</v>
      </c>
      <c r="C8" s="3" t="s">
        <v>32</v>
      </c>
      <c r="D8" s="3">
        <v>43</v>
      </c>
      <c r="E8" s="4">
        <v>0.22916666666666666</v>
      </c>
      <c r="F8" s="4">
        <v>0.20624999999999999</v>
      </c>
      <c r="G8" s="4">
        <v>0.2986111111111111</v>
      </c>
      <c r="H8" s="4">
        <v>0.2722222222222222</v>
      </c>
      <c r="I8" s="4">
        <f>H8-F8</f>
        <v>6.597222222222221E-2</v>
      </c>
      <c r="J8" s="3">
        <v>0</v>
      </c>
      <c r="K8" s="3">
        <v>0</v>
      </c>
      <c r="L8" s="3" t="s">
        <v>33</v>
      </c>
      <c r="M8" s="3">
        <v>11</v>
      </c>
      <c r="N8" s="4">
        <v>0</v>
      </c>
      <c r="O8" s="4">
        <v>0</v>
      </c>
      <c r="P8" s="4">
        <v>0</v>
      </c>
      <c r="Q8" s="4">
        <v>0</v>
      </c>
      <c r="R8" s="4">
        <v>0.20902777777777778</v>
      </c>
      <c r="S8" s="4">
        <v>0.24791666666666667</v>
      </c>
      <c r="T8" s="4">
        <v>0.21180555555555555</v>
      </c>
      <c r="U8" s="4">
        <v>0.2326388888888889</v>
      </c>
      <c r="V8" s="4">
        <v>0.23333333333333334</v>
      </c>
      <c r="W8" s="4">
        <v>0.24791666666666667</v>
      </c>
      <c r="X8" s="4">
        <v>0.23541666666666666</v>
      </c>
      <c r="Y8" s="4">
        <v>0.27083333333333331</v>
      </c>
      <c r="Z8" s="3" t="s">
        <v>34</v>
      </c>
      <c r="AA8" s="3"/>
      <c r="AB8" s="160">
        <v>46024</v>
      </c>
    </row>
    <row r="9" spans="1:28" x14ac:dyDescent="0.25">
      <c r="A9" s="2">
        <v>45660</v>
      </c>
      <c r="B9" s="3" t="s">
        <v>29</v>
      </c>
      <c r="C9" s="3" t="s">
        <v>35</v>
      </c>
      <c r="D9" s="3">
        <v>43</v>
      </c>
      <c r="E9" s="4">
        <v>0.27083333333333331</v>
      </c>
      <c r="F9" s="4">
        <v>0.24444444444444444</v>
      </c>
      <c r="G9" s="4">
        <v>0.33333333333333331</v>
      </c>
      <c r="H9" s="4">
        <v>0.32222222222222224</v>
      </c>
      <c r="I9" s="4">
        <f t="shared" ref="I9:I86" si="0">H9-F9</f>
        <v>7.7777777777777807E-2</v>
      </c>
      <c r="J9" s="3">
        <v>0</v>
      </c>
      <c r="K9" s="3">
        <v>0</v>
      </c>
      <c r="L9" s="3" t="s">
        <v>33</v>
      </c>
      <c r="M9" s="3">
        <v>11</v>
      </c>
      <c r="N9" s="4">
        <v>0</v>
      </c>
      <c r="O9" s="4">
        <v>0</v>
      </c>
      <c r="P9" s="3">
        <v>0</v>
      </c>
      <c r="Q9" s="3">
        <v>0</v>
      </c>
      <c r="R9" s="4">
        <v>0.24583333333333332</v>
      </c>
      <c r="S9" s="4">
        <v>0.28819444444444442</v>
      </c>
      <c r="T9" s="4">
        <v>0.24583333333333332</v>
      </c>
      <c r="U9" s="4">
        <v>0.26527777777777778</v>
      </c>
      <c r="V9" s="4">
        <v>0.26527777777777778</v>
      </c>
      <c r="W9" s="4">
        <v>0.28819444444444442</v>
      </c>
      <c r="X9" s="3"/>
      <c r="Y9" s="4">
        <v>0.32013888888888886</v>
      </c>
      <c r="Z9" s="3" t="s">
        <v>34</v>
      </c>
      <c r="AA9" s="3"/>
      <c r="AB9" s="160">
        <v>46025</v>
      </c>
    </row>
    <row r="10" spans="1:28" x14ac:dyDescent="0.25">
      <c r="A10" s="2">
        <v>45660</v>
      </c>
      <c r="B10" s="3" t="s">
        <v>36</v>
      </c>
      <c r="C10" s="3" t="s">
        <v>30</v>
      </c>
      <c r="D10" s="3"/>
      <c r="E10" s="4"/>
      <c r="F10" s="4"/>
      <c r="G10" s="4"/>
      <c r="H10" s="4"/>
      <c r="I10" s="4"/>
      <c r="J10" s="3"/>
      <c r="K10" s="3"/>
      <c r="L10" s="3" t="s">
        <v>37</v>
      </c>
      <c r="M10" s="3"/>
      <c r="N10" s="4"/>
      <c r="O10" s="4"/>
      <c r="P10" s="3"/>
      <c r="Q10" s="3"/>
      <c r="R10" s="4"/>
      <c r="S10" s="4"/>
      <c r="T10" s="4"/>
      <c r="U10" s="4"/>
      <c r="V10" s="4"/>
      <c r="W10" s="4"/>
      <c r="X10" s="3"/>
      <c r="Y10" s="4"/>
      <c r="Z10" s="3"/>
      <c r="AA10" s="3"/>
      <c r="AB10" s="160"/>
    </row>
    <row r="11" spans="1:28" x14ac:dyDescent="0.25">
      <c r="A11" s="2">
        <v>45661</v>
      </c>
      <c r="B11" s="3" t="s">
        <v>29</v>
      </c>
      <c r="C11" s="3" t="s">
        <v>38</v>
      </c>
      <c r="D11" s="3">
        <v>42</v>
      </c>
      <c r="E11" s="4">
        <v>0.22916666666666666</v>
      </c>
      <c r="F11" s="4">
        <v>0.21805555555555556</v>
      </c>
      <c r="G11" s="4">
        <v>0.2986111111111111</v>
      </c>
      <c r="H11" s="4">
        <v>0.28541666666666665</v>
      </c>
      <c r="I11" s="4">
        <f t="shared" si="0"/>
        <v>6.7361111111111094E-2</v>
      </c>
      <c r="J11" s="3">
        <v>0</v>
      </c>
      <c r="K11" s="3">
        <v>0</v>
      </c>
      <c r="L11" s="3" t="s">
        <v>33</v>
      </c>
      <c r="M11" s="3">
        <v>12</v>
      </c>
      <c r="N11" s="4">
        <v>0</v>
      </c>
      <c r="O11" s="4">
        <v>0</v>
      </c>
      <c r="P11" s="3">
        <v>0</v>
      </c>
      <c r="Q11" s="3">
        <v>0</v>
      </c>
      <c r="R11" s="4">
        <v>0.21944444444444444</v>
      </c>
      <c r="S11" s="4">
        <v>0.26944444444444443</v>
      </c>
      <c r="T11" s="4">
        <v>0.22013888888888888</v>
      </c>
      <c r="U11" s="4">
        <v>0.24930555555555556</v>
      </c>
      <c r="V11" s="4">
        <v>0.25069444444444444</v>
      </c>
      <c r="W11" s="4">
        <v>0.26874999999999999</v>
      </c>
      <c r="X11" s="3"/>
      <c r="Y11" s="4">
        <v>0.27986111111111112</v>
      </c>
      <c r="Z11" s="3" t="s">
        <v>34</v>
      </c>
      <c r="AA11" s="3"/>
      <c r="AB11" s="160">
        <v>46026</v>
      </c>
    </row>
    <row r="12" spans="1:28" x14ac:dyDescent="0.25">
      <c r="A12" s="2">
        <v>45662</v>
      </c>
      <c r="B12" s="3" t="s">
        <v>29</v>
      </c>
      <c r="C12" s="3" t="s">
        <v>35</v>
      </c>
      <c r="D12" s="3">
        <v>43</v>
      </c>
      <c r="E12" s="4">
        <v>0.18055555555555555</v>
      </c>
      <c r="F12" s="4">
        <v>0.19375000000000001</v>
      </c>
      <c r="G12" s="4">
        <v>0.24305555555555555</v>
      </c>
      <c r="H12" s="4">
        <v>0.24374999999999999</v>
      </c>
      <c r="I12" s="4">
        <f t="shared" si="0"/>
        <v>4.9999999999999989E-2</v>
      </c>
      <c r="J12" s="3">
        <v>0</v>
      </c>
      <c r="K12" s="3">
        <v>0</v>
      </c>
      <c r="L12" s="3" t="s">
        <v>33</v>
      </c>
      <c r="M12" s="3">
        <v>12</v>
      </c>
      <c r="N12" s="3">
        <v>0</v>
      </c>
      <c r="O12" s="3">
        <v>0</v>
      </c>
      <c r="P12" s="3">
        <v>0</v>
      </c>
      <c r="Q12" s="3">
        <v>0</v>
      </c>
      <c r="R12" s="4">
        <v>0.19583333333333333</v>
      </c>
      <c r="S12" s="4">
        <v>0.23680555555555555</v>
      </c>
      <c r="T12" s="4">
        <v>0.19652777777777777</v>
      </c>
      <c r="U12" s="4">
        <v>0.20833333333333334</v>
      </c>
      <c r="V12" s="4">
        <v>0.20902777777777778</v>
      </c>
      <c r="W12" s="4">
        <v>0.2298611111111111</v>
      </c>
      <c r="X12" s="4">
        <v>0.21875</v>
      </c>
      <c r="Y12" s="4">
        <v>0.24305555555555555</v>
      </c>
      <c r="Z12" s="3" t="s">
        <v>34</v>
      </c>
      <c r="AA12" s="3"/>
      <c r="AB12" s="160">
        <v>46027</v>
      </c>
    </row>
    <row r="13" spans="1:28" x14ac:dyDescent="0.25">
      <c r="A13" s="2">
        <v>45663</v>
      </c>
      <c r="B13" s="3" t="s">
        <v>29</v>
      </c>
      <c r="C13" s="3" t="s">
        <v>39</v>
      </c>
      <c r="D13" s="3">
        <v>43</v>
      </c>
      <c r="E13" s="4">
        <v>0.22916666666666666</v>
      </c>
      <c r="F13" s="4">
        <v>0.21875</v>
      </c>
      <c r="G13" s="4">
        <v>0.2986111111111111</v>
      </c>
      <c r="H13" s="4">
        <v>0.28749999999999998</v>
      </c>
      <c r="I13" s="4">
        <f t="shared" si="0"/>
        <v>6.8749999999999978E-2</v>
      </c>
      <c r="J13" s="3">
        <v>0</v>
      </c>
      <c r="K13" s="3">
        <v>0</v>
      </c>
      <c r="L13" s="3" t="s">
        <v>33</v>
      </c>
      <c r="M13" s="3">
        <v>11</v>
      </c>
      <c r="N13" s="4">
        <v>0</v>
      </c>
      <c r="O13" s="4">
        <v>0</v>
      </c>
      <c r="P13" s="3">
        <v>0</v>
      </c>
      <c r="Q13" s="3">
        <v>0</v>
      </c>
      <c r="R13" s="4">
        <v>0.22013888888888888</v>
      </c>
      <c r="S13" s="4">
        <v>0.28194444444444444</v>
      </c>
      <c r="T13" s="4">
        <v>0.22430555555555556</v>
      </c>
      <c r="U13" s="4">
        <v>0.23819444444444443</v>
      </c>
      <c r="V13" s="4">
        <v>0.23958333333333334</v>
      </c>
      <c r="W13" s="4">
        <v>0.28194444444444444</v>
      </c>
      <c r="X13" s="4">
        <v>0.25486111111111109</v>
      </c>
      <c r="Y13" s="4">
        <v>0.28472222222222221</v>
      </c>
      <c r="Z13" s="3" t="s">
        <v>40</v>
      </c>
      <c r="AA13" s="3"/>
      <c r="AB13" s="160">
        <v>46028</v>
      </c>
    </row>
    <row r="14" spans="1:28" x14ac:dyDescent="0.25">
      <c r="A14" s="2">
        <v>45664</v>
      </c>
      <c r="B14" s="3" t="s">
        <v>29</v>
      </c>
      <c r="C14" s="3" t="s">
        <v>39</v>
      </c>
      <c r="D14" s="3">
        <v>43</v>
      </c>
      <c r="E14" s="4">
        <v>0.22916666666666666</v>
      </c>
      <c r="F14" s="4">
        <v>0.22847222222222222</v>
      </c>
      <c r="G14" s="4">
        <v>0.2986111111111111</v>
      </c>
      <c r="H14" s="4">
        <v>0.28888888888888886</v>
      </c>
      <c r="I14" s="4">
        <f t="shared" si="0"/>
        <v>6.0416666666666646E-2</v>
      </c>
      <c r="J14" s="3">
        <v>0</v>
      </c>
      <c r="K14" s="3">
        <v>0</v>
      </c>
      <c r="L14" s="3" t="s">
        <v>33</v>
      </c>
      <c r="M14" s="3">
        <v>11</v>
      </c>
      <c r="N14" s="4">
        <v>0</v>
      </c>
      <c r="O14" s="4">
        <v>0</v>
      </c>
      <c r="P14" s="3">
        <v>0</v>
      </c>
      <c r="Q14" s="3">
        <v>0</v>
      </c>
      <c r="R14" s="4">
        <v>0.2298611111111111</v>
      </c>
      <c r="S14" s="4">
        <v>0.26666666666666666</v>
      </c>
      <c r="T14" s="4">
        <v>0.23541666666666666</v>
      </c>
      <c r="U14" s="4">
        <v>0.24513888888888888</v>
      </c>
      <c r="V14" s="4">
        <v>0.25</v>
      </c>
      <c r="W14" s="4">
        <v>0.26666666666666666</v>
      </c>
      <c r="X14" s="4">
        <v>0.24722222222222223</v>
      </c>
      <c r="Y14" s="4">
        <v>0.27500000000000002</v>
      </c>
      <c r="Z14" s="3" t="s">
        <v>40</v>
      </c>
      <c r="AA14" s="3"/>
      <c r="AB14" s="160">
        <v>46029</v>
      </c>
    </row>
    <row r="15" spans="1:28" x14ac:dyDescent="0.25">
      <c r="A15" s="2">
        <v>45665</v>
      </c>
      <c r="B15" s="3" t="s">
        <v>29</v>
      </c>
      <c r="C15" s="3" t="s">
        <v>32</v>
      </c>
      <c r="D15" s="3">
        <v>45</v>
      </c>
      <c r="E15" s="4">
        <v>0.22916666666666666</v>
      </c>
      <c r="F15" s="4">
        <v>0.22569444444444445</v>
      </c>
      <c r="G15" s="4">
        <v>0.2986111111111111</v>
      </c>
      <c r="H15" s="4">
        <v>0.28749999999999998</v>
      </c>
      <c r="I15" s="4">
        <f t="shared" si="0"/>
        <v>6.180555555555553E-2</v>
      </c>
      <c r="J15" s="3">
        <v>0</v>
      </c>
      <c r="K15" s="3">
        <v>0</v>
      </c>
      <c r="L15" s="3" t="s">
        <v>33</v>
      </c>
      <c r="M15" s="3">
        <v>11</v>
      </c>
      <c r="N15" s="4">
        <v>0</v>
      </c>
      <c r="O15" s="4">
        <v>0</v>
      </c>
      <c r="P15" s="3">
        <v>0</v>
      </c>
      <c r="Q15" s="3">
        <v>0</v>
      </c>
      <c r="R15" s="4">
        <v>0.22638888888888889</v>
      </c>
      <c r="S15" s="4">
        <v>0.28263888888888888</v>
      </c>
      <c r="T15" s="4">
        <v>0.22777777777777777</v>
      </c>
      <c r="U15" s="4">
        <v>0.25208333333333333</v>
      </c>
      <c r="V15" s="4">
        <v>0.25277777777777777</v>
      </c>
      <c r="W15" s="4">
        <v>0.28125</v>
      </c>
      <c r="X15" s="4">
        <v>0.24305555555555555</v>
      </c>
      <c r="Y15" s="4">
        <v>0.28541666666666665</v>
      </c>
      <c r="Z15" s="3" t="s">
        <v>41</v>
      </c>
      <c r="AA15" s="3"/>
      <c r="AB15" s="160">
        <v>46030</v>
      </c>
    </row>
    <row r="16" spans="1:28" x14ac:dyDescent="0.25">
      <c r="A16" s="2">
        <v>45666</v>
      </c>
      <c r="B16" s="3" t="s">
        <v>29</v>
      </c>
      <c r="C16" s="3" t="s">
        <v>35</v>
      </c>
      <c r="D16" s="3">
        <v>43</v>
      </c>
      <c r="E16" s="4">
        <v>0.22916666666666666</v>
      </c>
      <c r="F16" s="4">
        <v>0.20833333333333334</v>
      </c>
      <c r="G16" s="4">
        <v>0.2986111111111111</v>
      </c>
      <c r="H16" s="4">
        <v>0.27083333333333331</v>
      </c>
      <c r="I16" s="4">
        <f t="shared" si="0"/>
        <v>6.2499999999999972E-2</v>
      </c>
      <c r="J16" s="3">
        <v>0</v>
      </c>
      <c r="K16" s="3">
        <v>0</v>
      </c>
      <c r="L16" s="3" t="s">
        <v>33</v>
      </c>
      <c r="M16" s="3">
        <v>11</v>
      </c>
      <c r="N16" s="3">
        <v>0</v>
      </c>
      <c r="O16" s="3">
        <v>0</v>
      </c>
      <c r="P16" s="3">
        <v>0</v>
      </c>
      <c r="Q16" s="3">
        <v>0</v>
      </c>
      <c r="R16" s="4">
        <v>0.23125000000000001</v>
      </c>
      <c r="S16" s="4">
        <v>0.26666666666666666</v>
      </c>
      <c r="T16" s="4">
        <v>0.23194444444444445</v>
      </c>
      <c r="U16" s="4">
        <v>0.25</v>
      </c>
      <c r="V16" s="4">
        <v>0.25069444444444444</v>
      </c>
      <c r="W16" s="4">
        <v>0.26527777777777778</v>
      </c>
      <c r="X16" s="4">
        <v>0.22500000000000001</v>
      </c>
      <c r="Y16" s="4">
        <v>0.26874999999999999</v>
      </c>
      <c r="Z16" s="3" t="s">
        <v>41</v>
      </c>
      <c r="AA16" s="3"/>
      <c r="AB16" s="160">
        <v>46031</v>
      </c>
    </row>
    <row r="17" spans="1:28" x14ac:dyDescent="0.25">
      <c r="A17" s="2">
        <v>45667</v>
      </c>
      <c r="B17" s="3" t="s">
        <v>29</v>
      </c>
      <c r="C17" s="3" t="s">
        <v>39</v>
      </c>
      <c r="D17" s="3">
        <v>41</v>
      </c>
      <c r="E17" s="4">
        <v>0.27083333333333331</v>
      </c>
      <c r="F17" s="4">
        <v>0.2673611111111111</v>
      </c>
      <c r="G17" s="4">
        <v>0.33333333333333331</v>
      </c>
      <c r="H17" s="4">
        <v>0.33194444444444443</v>
      </c>
      <c r="I17" s="4">
        <f t="shared" si="0"/>
        <v>6.4583333333333326E-2</v>
      </c>
      <c r="J17" s="3">
        <v>0</v>
      </c>
      <c r="K17" s="3">
        <v>0</v>
      </c>
      <c r="L17" s="3" t="s">
        <v>33</v>
      </c>
      <c r="M17" s="3">
        <v>11</v>
      </c>
      <c r="N17" s="3">
        <v>0</v>
      </c>
      <c r="O17" s="3">
        <v>0</v>
      </c>
      <c r="P17" s="3">
        <v>0</v>
      </c>
      <c r="Q17" s="3">
        <v>0</v>
      </c>
      <c r="R17" s="4">
        <v>0.26874999999999999</v>
      </c>
      <c r="S17" s="4">
        <v>0.32361111111111113</v>
      </c>
      <c r="T17" s="4">
        <v>0.26944444444444443</v>
      </c>
      <c r="U17" s="4">
        <v>0.29305555555555557</v>
      </c>
      <c r="V17" s="4">
        <v>0.29375000000000001</v>
      </c>
      <c r="W17" s="4">
        <v>0.32083333333333336</v>
      </c>
      <c r="X17" s="4">
        <v>0.28749999999999998</v>
      </c>
      <c r="Y17" s="4">
        <v>0.3263888888888889</v>
      </c>
      <c r="Z17" s="3" t="s">
        <v>34</v>
      </c>
      <c r="AA17" s="3"/>
      <c r="AB17" s="160">
        <v>46032</v>
      </c>
    </row>
    <row r="18" spans="1:28" x14ac:dyDescent="0.25">
      <c r="A18" s="2">
        <v>45667</v>
      </c>
      <c r="B18" s="3" t="s">
        <v>36</v>
      </c>
      <c r="C18" s="3" t="s">
        <v>42</v>
      </c>
      <c r="D18" s="3">
        <v>43</v>
      </c>
      <c r="E18" s="4">
        <v>0.46527777777777779</v>
      </c>
      <c r="F18" s="4">
        <v>0.44444444444444442</v>
      </c>
      <c r="G18" s="4">
        <v>0.54861111111111116</v>
      </c>
      <c r="H18" s="4">
        <v>0.55000000000000004</v>
      </c>
      <c r="I18" s="4">
        <f t="shared" si="0"/>
        <v>0.10555555555555562</v>
      </c>
      <c r="J18" s="4">
        <v>1.3888888888888889E-3</v>
      </c>
      <c r="K18" s="3">
        <v>32</v>
      </c>
      <c r="L18" s="3" t="s">
        <v>43</v>
      </c>
      <c r="M18" s="3"/>
      <c r="N18" s="3"/>
      <c r="O18" s="3"/>
      <c r="P18" s="3"/>
      <c r="Q18" s="3"/>
      <c r="R18" s="4"/>
      <c r="S18" s="4"/>
      <c r="T18" s="4"/>
      <c r="U18" s="4"/>
      <c r="V18" s="4"/>
      <c r="W18" s="4"/>
      <c r="X18" s="4"/>
      <c r="Y18" s="4"/>
      <c r="Z18" s="3"/>
      <c r="AA18" s="3"/>
      <c r="AB18" s="160">
        <v>46032</v>
      </c>
    </row>
    <row r="19" spans="1:28" x14ac:dyDescent="0.25">
      <c r="A19" s="2">
        <v>45668</v>
      </c>
      <c r="B19" s="3" t="s">
        <v>44</v>
      </c>
      <c r="C19" s="3" t="s">
        <v>35</v>
      </c>
      <c r="D19" s="3">
        <v>43</v>
      </c>
      <c r="E19" s="4">
        <v>0.2638888888888889</v>
      </c>
      <c r="F19" s="4">
        <v>0.25138888888888888</v>
      </c>
      <c r="G19" s="4">
        <v>0.33333333333333331</v>
      </c>
      <c r="H19" s="4">
        <v>0.32430555555555557</v>
      </c>
      <c r="I19" s="4">
        <f t="shared" si="0"/>
        <v>7.2916666666666685E-2</v>
      </c>
      <c r="J19" s="3">
        <v>0</v>
      </c>
      <c r="K19" s="3">
        <v>0</v>
      </c>
      <c r="L19" s="3" t="s">
        <v>33</v>
      </c>
      <c r="M19" s="3">
        <v>11</v>
      </c>
      <c r="N19" s="4">
        <v>0</v>
      </c>
      <c r="O19" s="4">
        <v>0</v>
      </c>
      <c r="P19" s="3">
        <v>0</v>
      </c>
      <c r="Q19" s="3">
        <v>0</v>
      </c>
      <c r="R19" s="4">
        <v>0.25347222222222221</v>
      </c>
      <c r="S19" s="4">
        <v>0.3125</v>
      </c>
      <c r="T19" s="4">
        <v>0.25416666666666665</v>
      </c>
      <c r="U19" s="4">
        <v>0.2722222222222222</v>
      </c>
      <c r="V19" s="4">
        <v>0.27361111111111114</v>
      </c>
      <c r="W19" s="4">
        <v>0.30555555555555558</v>
      </c>
      <c r="X19" s="4">
        <v>0.27083333333333331</v>
      </c>
      <c r="Y19" s="4">
        <v>0.32430555555555557</v>
      </c>
      <c r="Z19" s="3" t="s">
        <v>34</v>
      </c>
      <c r="AA19" s="3"/>
      <c r="AB19" s="160">
        <v>46033</v>
      </c>
    </row>
    <row r="20" spans="1:28" x14ac:dyDescent="0.25">
      <c r="A20" s="2">
        <v>45669</v>
      </c>
      <c r="B20" s="3" t="s">
        <v>29</v>
      </c>
      <c r="C20" s="3" t="s">
        <v>39</v>
      </c>
      <c r="D20" s="3">
        <v>43</v>
      </c>
      <c r="E20" s="4">
        <v>0.18055555555555555</v>
      </c>
      <c r="F20" s="4">
        <v>0.17430555555555555</v>
      </c>
      <c r="G20" s="4">
        <v>0.24305555555555555</v>
      </c>
      <c r="H20" s="4">
        <v>0.24236111111111111</v>
      </c>
      <c r="I20" s="4">
        <f t="shared" si="0"/>
        <v>6.8055555555555564E-2</v>
      </c>
      <c r="J20" s="3">
        <v>0</v>
      </c>
      <c r="K20" s="3">
        <v>0</v>
      </c>
      <c r="L20" s="3" t="s">
        <v>33</v>
      </c>
      <c r="M20" s="3">
        <v>11</v>
      </c>
      <c r="N20" s="3">
        <v>0</v>
      </c>
      <c r="O20" s="3">
        <v>0</v>
      </c>
      <c r="P20" s="3">
        <v>0</v>
      </c>
      <c r="Q20" s="3">
        <v>0</v>
      </c>
      <c r="R20" s="4">
        <v>0.17499999999999999</v>
      </c>
      <c r="S20" s="4">
        <v>0.22916666666666666</v>
      </c>
      <c r="T20" s="4">
        <v>0.17708333333333334</v>
      </c>
      <c r="U20" s="4">
        <v>0.19513888888888889</v>
      </c>
      <c r="V20" s="4">
        <v>0.19583333333333333</v>
      </c>
      <c r="W20" s="4">
        <v>0.22916666666666666</v>
      </c>
      <c r="X20" s="3"/>
      <c r="Y20" s="4">
        <v>0.23749999999999999</v>
      </c>
      <c r="Z20" s="3" t="s">
        <v>45</v>
      </c>
      <c r="AA20" s="3"/>
      <c r="AB20" s="160">
        <v>46034</v>
      </c>
    </row>
    <row r="21" spans="1:28" x14ac:dyDescent="0.25">
      <c r="A21" s="2">
        <v>45670</v>
      </c>
      <c r="B21" s="3" t="s">
        <v>29</v>
      </c>
      <c r="C21" s="3" t="s">
        <v>46</v>
      </c>
      <c r="D21" s="3">
        <v>44</v>
      </c>
      <c r="E21" s="4">
        <v>0.22916666666666666</v>
      </c>
      <c r="F21" s="4">
        <v>0.23819444444444443</v>
      </c>
      <c r="G21" s="4">
        <v>0.2986111111111111</v>
      </c>
      <c r="H21" s="4">
        <v>0.2951388888888889</v>
      </c>
      <c r="I21" s="4">
        <f t="shared" si="0"/>
        <v>5.6944444444444464E-2</v>
      </c>
      <c r="J21" s="2" t="s">
        <v>47</v>
      </c>
      <c r="K21" s="3">
        <v>0</v>
      </c>
      <c r="L21" s="3" t="s">
        <v>33</v>
      </c>
      <c r="M21" s="3">
        <v>11</v>
      </c>
      <c r="N21" s="4">
        <v>0</v>
      </c>
      <c r="O21" s="4">
        <v>0</v>
      </c>
      <c r="P21" s="3">
        <v>0</v>
      </c>
      <c r="Q21" s="3">
        <v>0</v>
      </c>
      <c r="R21" s="4">
        <v>0.23958333333333334</v>
      </c>
      <c r="S21" s="4">
        <v>0.32847222222222222</v>
      </c>
      <c r="T21" s="4">
        <v>0.24027777777777778</v>
      </c>
      <c r="U21" s="4">
        <v>0.2638888888888889</v>
      </c>
      <c r="V21" s="4">
        <v>0.26458333333333334</v>
      </c>
      <c r="W21" s="4">
        <v>0.28611111111111109</v>
      </c>
      <c r="X21" s="4">
        <v>0.24930555555555556</v>
      </c>
      <c r="Y21" s="4">
        <v>0.29305555555555557</v>
      </c>
      <c r="Z21" s="3" t="s">
        <v>41</v>
      </c>
      <c r="AA21" s="3"/>
      <c r="AB21" s="160">
        <v>46035</v>
      </c>
    </row>
    <row r="22" spans="1:28" x14ac:dyDescent="0.25">
      <c r="A22" s="2">
        <v>45671</v>
      </c>
      <c r="B22" s="3" t="s">
        <v>29</v>
      </c>
      <c r="C22" s="3" t="s">
        <v>39</v>
      </c>
      <c r="D22" s="3">
        <v>43</v>
      </c>
      <c r="E22" s="4">
        <v>0.22916666666666666</v>
      </c>
      <c r="F22" s="4">
        <v>0.20833333333333334</v>
      </c>
      <c r="G22" s="4">
        <v>0.2986111111111111</v>
      </c>
      <c r="H22" s="4">
        <v>0.27430555555555558</v>
      </c>
      <c r="I22" s="4">
        <f t="shared" si="0"/>
        <v>6.5972222222222238E-2</v>
      </c>
      <c r="J22" s="3">
        <v>0</v>
      </c>
      <c r="K22" s="3">
        <v>0</v>
      </c>
      <c r="L22" s="3" t="s">
        <v>33</v>
      </c>
      <c r="M22" s="3">
        <v>11</v>
      </c>
      <c r="N22" s="4">
        <v>0</v>
      </c>
      <c r="O22" s="4">
        <v>0</v>
      </c>
      <c r="P22" s="3">
        <v>0</v>
      </c>
      <c r="Q22" s="3">
        <v>0</v>
      </c>
      <c r="R22" s="4">
        <v>0.21180555555555555</v>
      </c>
      <c r="S22" s="4">
        <v>0.25972222222222224</v>
      </c>
      <c r="T22" s="4">
        <v>0.21249999999999999</v>
      </c>
      <c r="U22" s="4">
        <v>0.22916666666666666</v>
      </c>
      <c r="V22" s="4">
        <v>0.23055555555555557</v>
      </c>
      <c r="W22" s="4">
        <v>0.2590277777777778</v>
      </c>
      <c r="X22" s="4">
        <v>0.23541666666666666</v>
      </c>
      <c r="Y22" s="4">
        <v>0.27152777777777776</v>
      </c>
      <c r="Z22" s="3" t="s">
        <v>34</v>
      </c>
      <c r="AA22" s="3"/>
      <c r="AB22" s="160">
        <v>46036</v>
      </c>
    </row>
    <row r="23" spans="1:28" x14ac:dyDescent="0.25">
      <c r="A23" s="2">
        <v>45672</v>
      </c>
      <c r="B23" s="3" t="s">
        <v>29</v>
      </c>
      <c r="C23" s="3" t="s">
        <v>46</v>
      </c>
      <c r="D23" s="3">
        <v>44</v>
      </c>
      <c r="E23" s="4">
        <v>0.22916666666666666</v>
      </c>
      <c r="F23" s="4">
        <v>0.23819444444444443</v>
      </c>
      <c r="G23" s="4">
        <v>0.2986111111111111</v>
      </c>
      <c r="H23" s="4">
        <v>0.29652777777777778</v>
      </c>
      <c r="I23" s="4">
        <f t="shared" si="0"/>
        <v>5.8333333333333348E-2</v>
      </c>
      <c r="J23" s="5">
        <v>0</v>
      </c>
      <c r="K23" s="3">
        <v>0</v>
      </c>
      <c r="L23" s="3" t="s">
        <v>33</v>
      </c>
      <c r="M23" s="3">
        <v>11</v>
      </c>
      <c r="N23" s="4">
        <v>0</v>
      </c>
      <c r="O23" s="4">
        <v>0</v>
      </c>
      <c r="P23" s="3">
        <v>0</v>
      </c>
      <c r="Q23" s="3">
        <v>0</v>
      </c>
      <c r="R23" s="4">
        <v>0.2388888888888889</v>
      </c>
      <c r="S23" s="4">
        <v>0.28333333333333333</v>
      </c>
      <c r="T23" s="4">
        <v>0.24166666666666667</v>
      </c>
      <c r="U23" s="4">
        <v>0.26458333333333334</v>
      </c>
      <c r="V23" s="4">
        <v>0.26527777777777778</v>
      </c>
      <c r="W23" s="4">
        <v>0.28333333333333333</v>
      </c>
      <c r="X23" s="4">
        <v>0.26180555555555557</v>
      </c>
      <c r="Y23" s="4">
        <v>0.29583333333333334</v>
      </c>
      <c r="Z23" s="3" t="s">
        <v>40</v>
      </c>
      <c r="AA23" s="3"/>
      <c r="AB23" s="160">
        <v>46037</v>
      </c>
    </row>
    <row r="24" spans="1:28" x14ac:dyDescent="0.25">
      <c r="A24" s="2">
        <v>45673</v>
      </c>
      <c r="B24" s="3" t="s">
        <v>29</v>
      </c>
      <c r="C24" s="3" t="s">
        <v>35</v>
      </c>
      <c r="D24" s="3">
        <v>44</v>
      </c>
      <c r="E24" s="4">
        <v>0.22916666666666666</v>
      </c>
      <c r="F24" s="4">
        <v>0.21527777777777779</v>
      </c>
      <c r="G24" s="4">
        <v>0.2986111111111111</v>
      </c>
      <c r="H24" s="4">
        <v>0.2638888888888889</v>
      </c>
      <c r="I24" s="4">
        <f t="shared" si="0"/>
        <v>4.8611111111111105E-2</v>
      </c>
      <c r="J24" s="3">
        <v>0</v>
      </c>
      <c r="K24" s="3">
        <v>0</v>
      </c>
      <c r="L24" s="3" t="s">
        <v>33</v>
      </c>
      <c r="M24" s="3">
        <v>11</v>
      </c>
      <c r="N24" s="3">
        <v>0</v>
      </c>
      <c r="O24" s="3">
        <v>0</v>
      </c>
      <c r="P24" s="3">
        <v>0</v>
      </c>
      <c r="Q24" s="3">
        <v>0</v>
      </c>
      <c r="R24" s="4">
        <v>0.22013888888888888</v>
      </c>
      <c r="S24" s="4">
        <v>0.2638888888888889</v>
      </c>
      <c r="T24" s="4">
        <v>0.22083333333333333</v>
      </c>
      <c r="U24" s="4">
        <v>0.24513888888888888</v>
      </c>
      <c r="V24" s="4">
        <v>0.24861111111111112</v>
      </c>
      <c r="W24" s="4">
        <v>0.2638888888888889</v>
      </c>
      <c r="X24" s="4">
        <v>0.24583333333333332</v>
      </c>
      <c r="Y24" s="4">
        <v>0.26597222222222222</v>
      </c>
      <c r="Z24" s="3" t="s">
        <v>40</v>
      </c>
      <c r="AA24" s="3"/>
      <c r="AB24" s="160">
        <v>46038</v>
      </c>
    </row>
    <row r="25" spans="1:28" x14ac:dyDescent="0.25">
      <c r="A25" s="2">
        <v>45674</v>
      </c>
      <c r="B25" s="3" t="s">
        <v>29</v>
      </c>
      <c r="C25" s="3" t="s">
        <v>48</v>
      </c>
      <c r="D25" s="3">
        <v>44</v>
      </c>
      <c r="E25" s="4">
        <v>0.27083333333333331</v>
      </c>
      <c r="F25" s="4">
        <v>0.25208333333333333</v>
      </c>
      <c r="G25" s="4">
        <v>0.33333333333333331</v>
      </c>
      <c r="H25" s="4">
        <v>0.31041666666666667</v>
      </c>
      <c r="I25" s="4">
        <f t="shared" si="0"/>
        <v>5.8333333333333348E-2</v>
      </c>
      <c r="J25" s="3">
        <v>0</v>
      </c>
      <c r="K25" s="3">
        <v>0</v>
      </c>
      <c r="L25" s="3" t="s">
        <v>33</v>
      </c>
      <c r="M25" s="3">
        <v>11</v>
      </c>
      <c r="N25" s="4">
        <v>0</v>
      </c>
      <c r="O25" s="4">
        <v>0</v>
      </c>
      <c r="P25" s="3">
        <v>0</v>
      </c>
      <c r="Q25" s="3">
        <v>0</v>
      </c>
      <c r="R25" s="4">
        <v>0.25347222222222221</v>
      </c>
      <c r="S25" s="4">
        <v>0.29236111111111113</v>
      </c>
      <c r="T25" s="4">
        <v>0.25486111111111109</v>
      </c>
      <c r="U25" s="4">
        <v>0.27291666666666664</v>
      </c>
      <c r="V25" s="4">
        <v>0.27361111111111114</v>
      </c>
      <c r="W25" s="4">
        <v>0.29097222222222224</v>
      </c>
      <c r="X25" s="4">
        <v>0.26874999999999999</v>
      </c>
      <c r="Y25" s="4">
        <v>0.31041666666666667</v>
      </c>
      <c r="Z25" s="3" t="s">
        <v>41</v>
      </c>
      <c r="AA25" s="3"/>
      <c r="AB25" s="160">
        <v>46039</v>
      </c>
    </row>
    <row r="26" spans="1:28" x14ac:dyDescent="0.25">
      <c r="A26" s="2">
        <v>45675</v>
      </c>
      <c r="B26" s="3" t="s">
        <v>44</v>
      </c>
      <c r="C26" s="3" t="s">
        <v>32</v>
      </c>
      <c r="D26" s="3">
        <v>43</v>
      </c>
      <c r="E26" s="4">
        <v>0.2638888888888889</v>
      </c>
      <c r="F26" s="4">
        <v>0.26874999999999999</v>
      </c>
      <c r="G26" s="4">
        <v>0.33333333333333331</v>
      </c>
      <c r="H26" s="4">
        <v>0.32569444444444445</v>
      </c>
      <c r="I26" s="4">
        <f t="shared" si="0"/>
        <v>5.6944444444444464E-2</v>
      </c>
      <c r="J26" s="3">
        <v>0</v>
      </c>
      <c r="K26" s="3">
        <v>0</v>
      </c>
      <c r="L26" s="3" t="s">
        <v>33</v>
      </c>
      <c r="M26" s="3">
        <v>11</v>
      </c>
      <c r="N26" s="4">
        <v>0</v>
      </c>
      <c r="O26" s="4">
        <v>0</v>
      </c>
      <c r="P26" s="3">
        <v>0</v>
      </c>
      <c r="Q26" s="3">
        <v>0</v>
      </c>
      <c r="R26" s="4">
        <v>0.27013888888888887</v>
      </c>
      <c r="S26" s="4">
        <v>0.30763888888888891</v>
      </c>
      <c r="T26" s="4">
        <v>0.27152777777777776</v>
      </c>
      <c r="U26" s="4">
        <v>0.28472222222222221</v>
      </c>
      <c r="V26" s="4">
        <v>0.29166666666666669</v>
      </c>
      <c r="W26" s="4">
        <v>0.30625000000000002</v>
      </c>
      <c r="X26" s="4">
        <v>0.2986111111111111</v>
      </c>
      <c r="Y26" s="4">
        <v>0.32430555555555557</v>
      </c>
      <c r="Z26" s="3" t="s">
        <v>49</v>
      </c>
      <c r="AA26" s="3"/>
      <c r="AB26" s="160">
        <v>46040</v>
      </c>
    </row>
    <row r="27" spans="1:28" ht="16.5" customHeight="1" x14ac:dyDescent="0.25">
      <c r="A27" s="2">
        <v>45676</v>
      </c>
      <c r="B27" s="3" t="s">
        <v>29</v>
      </c>
      <c r="C27" s="3" t="s">
        <v>46</v>
      </c>
      <c r="D27" s="3">
        <v>43</v>
      </c>
      <c r="E27" s="4">
        <v>0.18055555555555555</v>
      </c>
      <c r="F27" s="4">
        <v>0.20833333333333334</v>
      </c>
      <c r="G27" s="4">
        <v>0.24305555555555555</v>
      </c>
      <c r="H27" s="4">
        <v>0.26111111111111113</v>
      </c>
      <c r="I27" s="4">
        <f t="shared" si="0"/>
        <v>5.2777777777777785E-2</v>
      </c>
      <c r="J27" s="4">
        <v>1.8055555555555554E-2</v>
      </c>
      <c r="K27" s="3" t="s">
        <v>50</v>
      </c>
      <c r="L27" s="5" t="s">
        <v>51</v>
      </c>
      <c r="M27" s="3">
        <v>11</v>
      </c>
      <c r="N27" s="3">
        <v>0</v>
      </c>
      <c r="O27" s="3">
        <v>0</v>
      </c>
      <c r="P27" s="3">
        <v>0</v>
      </c>
      <c r="Q27" s="3">
        <v>0</v>
      </c>
      <c r="R27" s="4">
        <v>0.21041666666666667</v>
      </c>
      <c r="S27" s="4">
        <v>0.25486111111111109</v>
      </c>
      <c r="T27" s="4">
        <v>0.21180555555555555</v>
      </c>
      <c r="U27" s="4">
        <v>0.22847222222222222</v>
      </c>
      <c r="V27" s="4">
        <v>0.22916666666666666</v>
      </c>
      <c r="W27" s="4">
        <v>0.25277777777777777</v>
      </c>
      <c r="X27" s="4">
        <v>0.25</v>
      </c>
      <c r="Y27" s="4">
        <v>0.25624999999999998</v>
      </c>
      <c r="Z27" s="3" t="s">
        <v>52</v>
      </c>
      <c r="AA27" s="3"/>
      <c r="AB27" s="160">
        <v>46041</v>
      </c>
    </row>
    <row r="28" spans="1:28" x14ac:dyDescent="0.25">
      <c r="A28" s="2">
        <v>45677</v>
      </c>
      <c r="B28" s="3" t="s">
        <v>29</v>
      </c>
      <c r="C28" s="3" t="s">
        <v>32</v>
      </c>
      <c r="D28" s="3">
        <v>45</v>
      </c>
      <c r="E28" s="4">
        <v>0.22916666666666666</v>
      </c>
      <c r="F28" s="4">
        <v>0.21249999999999999</v>
      </c>
      <c r="G28" s="4">
        <v>0.2986111111111111</v>
      </c>
      <c r="H28" s="4">
        <v>0.27083333333333331</v>
      </c>
      <c r="I28" s="4">
        <f t="shared" si="0"/>
        <v>5.833333333333332E-2</v>
      </c>
      <c r="J28" s="3">
        <v>0</v>
      </c>
      <c r="K28" s="3">
        <v>0</v>
      </c>
      <c r="L28" s="3" t="s">
        <v>33</v>
      </c>
      <c r="M28" s="3">
        <v>11</v>
      </c>
      <c r="N28" s="4">
        <v>0</v>
      </c>
      <c r="O28" s="4">
        <v>0</v>
      </c>
      <c r="P28" s="3">
        <v>0</v>
      </c>
      <c r="Q28" s="3">
        <v>0</v>
      </c>
      <c r="R28" s="4">
        <v>0.21458333333333332</v>
      </c>
      <c r="S28" s="4">
        <v>0.25416666666666665</v>
      </c>
      <c r="T28" s="4">
        <v>0.21666666666666667</v>
      </c>
      <c r="U28" s="4">
        <v>0.23194444444444445</v>
      </c>
      <c r="V28" s="4">
        <v>0.22361111111111112</v>
      </c>
      <c r="W28" s="4">
        <v>0.25416666666666665</v>
      </c>
      <c r="X28" s="4">
        <v>0.25</v>
      </c>
      <c r="Y28" s="4">
        <v>0.26597222222222222</v>
      </c>
      <c r="Z28" s="3" t="s">
        <v>53</v>
      </c>
      <c r="AA28" s="3"/>
      <c r="AB28" s="160">
        <v>46042</v>
      </c>
    </row>
    <row r="29" spans="1:28" x14ac:dyDescent="0.25">
      <c r="A29" s="2">
        <v>45678</v>
      </c>
      <c r="B29" s="3" t="s">
        <v>29</v>
      </c>
      <c r="C29" s="3" t="s">
        <v>48</v>
      </c>
      <c r="D29" s="3">
        <v>44</v>
      </c>
      <c r="E29" s="4">
        <v>0.22916666666666666</v>
      </c>
      <c r="F29" s="4">
        <v>0.20902777777777778</v>
      </c>
      <c r="G29" s="4">
        <v>0.2986111111111111</v>
      </c>
      <c r="H29" s="4">
        <v>0.28055555555555556</v>
      </c>
      <c r="I29" s="4">
        <f t="shared" si="0"/>
        <v>7.1527777777777773E-2</v>
      </c>
      <c r="J29" s="3">
        <v>0</v>
      </c>
      <c r="K29" s="3">
        <v>0</v>
      </c>
      <c r="L29" s="3" t="s">
        <v>33</v>
      </c>
      <c r="M29" s="3">
        <v>11</v>
      </c>
      <c r="N29" s="4">
        <v>0</v>
      </c>
      <c r="O29" s="4">
        <v>0</v>
      </c>
      <c r="P29" s="3">
        <v>0</v>
      </c>
      <c r="Q29" s="3">
        <v>0</v>
      </c>
      <c r="R29" s="4">
        <v>0.21111111111111111</v>
      </c>
      <c r="S29" s="4">
        <v>0.24652777777777779</v>
      </c>
      <c r="T29" s="4">
        <v>0.21180555555555555</v>
      </c>
      <c r="U29" s="4">
        <v>0.22638888888888889</v>
      </c>
      <c r="V29" s="4">
        <v>0.22708333333333333</v>
      </c>
      <c r="W29" s="4">
        <v>0.24513888888888888</v>
      </c>
      <c r="X29" s="4">
        <v>0.23472222222222222</v>
      </c>
      <c r="Y29" s="4">
        <v>0.27638888888888891</v>
      </c>
      <c r="Z29" s="3" t="s">
        <v>54</v>
      </c>
      <c r="AA29" s="3"/>
      <c r="AB29" s="160">
        <v>46043</v>
      </c>
    </row>
    <row r="30" spans="1:28" x14ac:dyDescent="0.25">
      <c r="A30" s="2">
        <v>46044</v>
      </c>
      <c r="B30" s="3" t="s">
        <v>29</v>
      </c>
      <c r="C30" s="3" t="s">
        <v>35</v>
      </c>
      <c r="D30" s="3">
        <v>44</v>
      </c>
      <c r="E30" s="4">
        <v>0.22916666666666666</v>
      </c>
      <c r="F30" s="4">
        <v>0.2076388888888889</v>
      </c>
      <c r="G30" s="4">
        <v>0.2986111111111111</v>
      </c>
      <c r="H30" s="4">
        <v>0.26805555555555555</v>
      </c>
      <c r="I30" s="4">
        <f t="shared" si="0"/>
        <v>6.0416666666666646E-2</v>
      </c>
      <c r="J30" s="3">
        <v>0</v>
      </c>
      <c r="K30" s="3">
        <v>0</v>
      </c>
      <c r="L30" s="3" t="s">
        <v>33</v>
      </c>
      <c r="M30" s="3">
        <v>11</v>
      </c>
      <c r="N30" s="4">
        <v>0</v>
      </c>
      <c r="O30" s="4">
        <v>0</v>
      </c>
      <c r="P30" s="3">
        <v>0</v>
      </c>
      <c r="Q30" s="3">
        <v>0</v>
      </c>
      <c r="R30" s="4">
        <v>0.21319444444444444</v>
      </c>
      <c r="S30" s="4">
        <v>0.25138888888888888</v>
      </c>
      <c r="T30" s="4">
        <v>0.21388888888888888</v>
      </c>
      <c r="U30" s="4">
        <v>0.2298611111111111</v>
      </c>
      <c r="V30" s="4">
        <v>0.23055555555555557</v>
      </c>
      <c r="W30" s="4">
        <v>0.25</v>
      </c>
      <c r="X30" s="4">
        <v>0.23055555555555557</v>
      </c>
      <c r="Y30" s="4">
        <v>0.25833333333333336</v>
      </c>
      <c r="Z30" s="3" t="s">
        <v>49</v>
      </c>
      <c r="AA30" s="3"/>
      <c r="AB30" s="160">
        <v>46044</v>
      </c>
    </row>
    <row r="31" spans="1:28" x14ac:dyDescent="0.25">
      <c r="A31" s="2">
        <v>45680</v>
      </c>
      <c r="B31" s="3" t="s">
        <v>29</v>
      </c>
      <c r="C31" s="3" t="s">
        <v>46</v>
      </c>
      <c r="D31" s="3">
        <v>44</v>
      </c>
      <c r="E31" s="4">
        <v>0.22916666666666666</v>
      </c>
      <c r="F31" s="4">
        <v>0.22013888888888888</v>
      </c>
      <c r="G31" s="4">
        <v>0.2986111111111111</v>
      </c>
      <c r="H31" s="4">
        <v>0.29722222222222222</v>
      </c>
      <c r="I31" s="4">
        <f t="shared" si="0"/>
        <v>7.7083333333333337E-2</v>
      </c>
      <c r="J31" s="3">
        <v>0</v>
      </c>
      <c r="K31" s="3">
        <v>0</v>
      </c>
      <c r="L31" s="3" t="s">
        <v>33</v>
      </c>
      <c r="M31" s="3">
        <v>11</v>
      </c>
      <c r="N31" s="4">
        <v>0</v>
      </c>
      <c r="O31" s="4">
        <v>0</v>
      </c>
      <c r="P31" s="3">
        <v>0</v>
      </c>
      <c r="Q31" s="3">
        <v>0</v>
      </c>
      <c r="R31" s="4">
        <v>0.22152777777777777</v>
      </c>
      <c r="S31" s="4">
        <v>0.28125</v>
      </c>
      <c r="T31" s="4">
        <v>0.22222222222222221</v>
      </c>
      <c r="U31" s="4">
        <v>0.24374999999999999</v>
      </c>
      <c r="V31" s="4">
        <v>0.24444444444444444</v>
      </c>
      <c r="W31" s="4">
        <v>0.27986111111111112</v>
      </c>
      <c r="X31" s="4">
        <v>0.22916666666666666</v>
      </c>
      <c r="Y31" s="4">
        <v>0.28611111111111109</v>
      </c>
      <c r="Z31" s="3" t="s">
        <v>49</v>
      </c>
      <c r="AA31" s="3"/>
      <c r="AB31" s="160">
        <v>46045</v>
      </c>
    </row>
    <row r="32" spans="1:28" x14ac:dyDescent="0.25">
      <c r="A32" s="2">
        <v>45681</v>
      </c>
      <c r="B32" s="3" t="s">
        <v>29</v>
      </c>
      <c r="C32" s="3" t="s">
        <v>32</v>
      </c>
      <c r="D32" s="3">
        <v>43</v>
      </c>
      <c r="E32" s="4">
        <v>0.27083333333333331</v>
      </c>
      <c r="F32" s="4">
        <v>0.25555555555555554</v>
      </c>
      <c r="G32" s="4">
        <v>0.33333333333333331</v>
      </c>
      <c r="H32" s="4">
        <v>0.31736111111111109</v>
      </c>
      <c r="I32" s="4">
        <f t="shared" si="0"/>
        <v>6.1805555555555558E-2</v>
      </c>
      <c r="J32" s="3">
        <v>0</v>
      </c>
      <c r="K32" s="3">
        <v>0</v>
      </c>
      <c r="L32" s="3" t="s">
        <v>33</v>
      </c>
      <c r="M32" s="3">
        <v>11</v>
      </c>
      <c r="N32" s="4">
        <v>0</v>
      </c>
      <c r="O32" s="4">
        <v>0</v>
      </c>
      <c r="P32" s="3">
        <v>0</v>
      </c>
      <c r="Q32" s="3">
        <v>0</v>
      </c>
      <c r="R32" s="4">
        <v>0.25694444444444442</v>
      </c>
      <c r="S32" s="4">
        <v>0.29791666666666666</v>
      </c>
      <c r="T32" s="4">
        <v>0.2590277777777778</v>
      </c>
      <c r="U32" s="4">
        <v>0.27638888888888891</v>
      </c>
      <c r="V32" s="4">
        <v>0.26319444444444445</v>
      </c>
      <c r="W32" s="4">
        <v>0.17291666666666666</v>
      </c>
      <c r="X32" s="4">
        <v>0.30486111111111114</v>
      </c>
      <c r="Y32" s="4">
        <v>0.3125</v>
      </c>
      <c r="Z32" s="3" t="s">
        <v>55</v>
      </c>
      <c r="AA32" s="3"/>
      <c r="AB32" s="160">
        <v>46046</v>
      </c>
    </row>
    <row r="33" spans="1:29" ht="15.75" x14ac:dyDescent="0.25">
      <c r="A33" s="2">
        <v>46046</v>
      </c>
      <c r="B33" s="3" t="s">
        <v>56</v>
      </c>
      <c r="C33" s="259" t="s">
        <v>57</v>
      </c>
      <c r="D33" s="3">
        <v>43</v>
      </c>
      <c r="E33" s="4">
        <v>0.46527777777777779</v>
      </c>
      <c r="F33" s="4">
        <v>0.25624999999999998</v>
      </c>
      <c r="G33" s="4">
        <v>0.54861111111111116</v>
      </c>
      <c r="H33" s="4">
        <v>0.56944444444444442</v>
      </c>
      <c r="I33" s="4"/>
      <c r="J33" s="4">
        <v>2.0833333333333332E-2</v>
      </c>
      <c r="K33" s="3" t="s">
        <v>50</v>
      </c>
      <c r="L33" s="3" t="s">
        <v>43</v>
      </c>
      <c r="M33" s="3"/>
      <c r="N33" s="4"/>
      <c r="O33" s="4"/>
      <c r="P33" s="3"/>
      <c r="Q33" s="3"/>
      <c r="R33" s="4"/>
      <c r="S33" s="4"/>
      <c r="T33" s="4"/>
      <c r="U33" s="4"/>
      <c r="V33" s="4"/>
      <c r="W33" s="4"/>
      <c r="X33" s="4"/>
      <c r="Y33" s="4"/>
      <c r="Z33" s="3"/>
      <c r="AA33" s="3"/>
      <c r="AB33" s="160"/>
    </row>
    <row r="34" spans="1:29" x14ac:dyDescent="0.25">
      <c r="A34" s="2">
        <v>45682</v>
      </c>
      <c r="B34" s="3" t="s">
        <v>29</v>
      </c>
      <c r="C34" s="3" t="s">
        <v>46</v>
      </c>
      <c r="D34" s="3">
        <v>43</v>
      </c>
      <c r="E34" s="4">
        <v>0.27083333333333331</v>
      </c>
      <c r="F34" s="4">
        <v>0.26944444444444443</v>
      </c>
      <c r="G34" s="4">
        <v>0.33333333333333331</v>
      </c>
      <c r="H34" s="4" t="s">
        <v>58</v>
      </c>
      <c r="I34" s="4">
        <v>5.9027777777777776E-2</v>
      </c>
      <c r="J34" s="3">
        <v>0</v>
      </c>
      <c r="K34" s="3">
        <v>0</v>
      </c>
      <c r="L34" s="3" t="s">
        <v>33</v>
      </c>
      <c r="M34" s="3">
        <v>11</v>
      </c>
      <c r="N34" s="4">
        <v>0</v>
      </c>
      <c r="O34" s="4">
        <v>0</v>
      </c>
      <c r="P34" s="3">
        <v>0</v>
      </c>
      <c r="Q34" s="3">
        <v>0</v>
      </c>
      <c r="R34" s="4">
        <v>0.27291666666666664</v>
      </c>
      <c r="S34" s="4">
        <v>0.30694444444444446</v>
      </c>
      <c r="T34" s="4">
        <v>0.27430555555555558</v>
      </c>
      <c r="U34" s="4">
        <v>0.28958333333333336</v>
      </c>
      <c r="V34" s="4">
        <v>0.27986111111111112</v>
      </c>
      <c r="W34" s="4">
        <v>0.30694444444444446</v>
      </c>
      <c r="X34" s="4">
        <v>0.28125</v>
      </c>
      <c r="Y34" s="4">
        <v>0.32847222222222222</v>
      </c>
      <c r="Z34" s="3" t="s">
        <v>53</v>
      </c>
      <c r="AA34" s="3"/>
      <c r="AB34" s="160">
        <v>46047</v>
      </c>
    </row>
    <row r="35" spans="1:29" x14ac:dyDescent="0.25">
      <c r="A35" s="2">
        <v>45683</v>
      </c>
      <c r="B35" s="3" t="s">
        <v>29</v>
      </c>
      <c r="C35" s="3" t="s">
        <v>48</v>
      </c>
      <c r="D35" s="3">
        <v>43</v>
      </c>
      <c r="E35" s="4">
        <v>0.1736111111111111</v>
      </c>
      <c r="F35" s="4">
        <v>0.17777777777777778</v>
      </c>
      <c r="G35" s="4">
        <v>0.24305555555555555</v>
      </c>
      <c r="H35" s="4">
        <v>0.2361111111111111</v>
      </c>
      <c r="I35" s="4">
        <f t="shared" si="0"/>
        <v>5.833333333333332E-2</v>
      </c>
      <c r="J35" s="3">
        <v>0</v>
      </c>
      <c r="K35" s="3">
        <v>0</v>
      </c>
      <c r="L35" s="3" t="s">
        <v>33</v>
      </c>
      <c r="M35" s="3">
        <v>12</v>
      </c>
      <c r="N35" s="4">
        <v>0</v>
      </c>
      <c r="O35" s="4">
        <v>0</v>
      </c>
      <c r="P35" s="3">
        <v>0</v>
      </c>
      <c r="Q35" s="3">
        <v>0</v>
      </c>
      <c r="R35" s="4">
        <v>0.17777777777777778</v>
      </c>
      <c r="S35" s="4">
        <v>0.21249999999999999</v>
      </c>
      <c r="T35" s="4">
        <v>0.18263888888888888</v>
      </c>
      <c r="U35" s="4">
        <v>0.19166666666666668</v>
      </c>
      <c r="V35" s="4">
        <v>0.19305555555555556</v>
      </c>
      <c r="W35" s="4">
        <v>0.21180555555555555</v>
      </c>
      <c r="X35" s="4">
        <v>0.22638888888888889</v>
      </c>
      <c r="Y35" s="4">
        <v>0.23402777777777778</v>
      </c>
      <c r="Z35" s="3" t="s">
        <v>59</v>
      </c>
      <c r="AA35" s="3"/>
      <c r="AB35" s="160">
        <v>46048</v>
      </c>
    </row>
    <row r="36" spans="1:29" x14ac:dyDescent="0.25">
      <c r="A36" s="2">
        <v>45684</v>
      </c>
      <c r="B36" s="3" t="s">
        <v>29</v>
      </c>
      <c r="C36" s="3" t="s">
        <v>46</v>
      </c>
      <c r="D36" s="3">
        <v>44</v>
      </c>
      <c r="E36" s="4">
        <v>0.22916666666666666</v>
      </c>
      <c r="F36" s="4">
        <v>0.22222222222222221</v>
      </c>
      <c r="G36" s="4">
        <v>0.2986111111111111</v>
      </c>
      <c r="H36" s="4">
        <v>0.27777777777777779</v>
      </c>
      <c r="I36" s="4">
        <f t="shared" si="0"/>
        <v>5.555555555555558E-2</v>
      </c>
      <c r="J36" s="3">
        <v>0</v>
      </c>
      <c r="K36" s="3">
        <v>0</v>
      </c>
      <c r="L36" s="3" t="s">
        <v>33</v>
      </c>
      <c r="M36" s="3">
        <v>11</v>
      </c>
      <c r="N36" s="4">
        <v>0</v>
      </c>
      <c r="O36" s="4">
        <v>0</v>
      </c>
      <c r="P36" s="3">
        <v>0</v>
      </c>
      <c r="Q36" s="3">
        <v>0</v>
      </c>
      <c r="R36" s="4">
        <v>0.22361111111111112</v>
      </c>
      <c r="S36" s="4">
        <v>0.27638888888888891</v>
      </c>
      <c r="T36" s="4">
        <v>0.22916666666666666</v>
      </c>
      <c r="U36" s="4">
        <v>0.24305555555555555</v>
      </c>
      <c r="V36" s="4">
        <v>0.24374999999999999</v>
      </c>
      <c r="W36" s="4">
        <v>0.27569444444444446</v>
      </c>
      <c r="X36" s="4">
        <v>0.24652777777777779</v>
      </c>
      <c r="Y36" s="4">
        <v>0.27708333333333335</v>
      </c>
      <c r="Z36" s="3" t="s">
        <v>60</v>
      </c>
      <c r="AA36" s="3"/>
      <c r="AB36" s="160">
        <v>27</v>
      </c>
    </row>
    <row r="37" spans="1:29" x14ac:dyDescent="0.25">
      <c r="A37" s="2">
        <v>45685</v>
      </c>
      <c r="B37" s="3" t="s">
        <v>29</v>
      </c>
      <c r="C37" s="3" t="s">
        <v>32</v>
      </c>
      <c r="D37" s="3">
        <v>42</v>
      </c>
      <c r="E37" s="4">
        <v>0.22916666666666666</v>
      </c>
      <c r="F37" s="4">
        <v>0.22500000000000001</v>
      </c>
      <c r="G37" s="4">
        <v>0.2986111111111111</v>
      </c>
      <c r="H37" s="4">
        <v>0.28888888888888886</v>
      </c>
      <c r="I37" s="4">
        <f>H37-F37</f>
        <v>6.3888888888888856E-2</v>
      </c>
      <c r="J37" s="3">
        <v>0</v>
      </c>
      <c r="K37" s="3">
        <v>0</v>
      </c>
      <c r="L37" s="3" t="s">
        <v>33</v>
      </c>
      <c r="M37" s="3">
        <v>11</v>
      </c>
      <c r="N37" s="4">
        <v>0</v>
      </c>
      <c r="O37" s="4">
        <v>0</v>
      </c>
      <c r="P37" s="3">
        <v>0</v>
      </c>
      <c r="Q37" s="3">
        <v>0</v>
      </c>
      <c r="R37" s="4">
        <v>0.22638888888888889</v>
      </c>
      <c r="S37" s="4">
        <v>0.27430555555555558</v>
      </c>
      <c r="T37" s="4">
        <v>0.22847222222222222</v>
      </c>
      <c r="U37" s="4">
        <v>0.24513888888888888</v>
      </c>
      <c r="V37" s="4">
        <v>0.24652777777777779</v>
      </c>
      <c r="W37" s="4">
        <v>0.26319444444444445</v>
      </c>
      <c r="X37" s="4">
        <v>0.24027777777777778</v>
      </c>
      <c r="Y37" s="4">
        <v>0.27430555555555558</v>
      </c>
      <c r="Z37" s="3" t="s">
        <v>60</v>
      </c>
      <c r="AA37" s="3"/>
      <c r="AB37" s="160">
        <v>46050</v>
      </c>
    </row>
    <row r="38" spans="1:29" x14ac:dyDescent="0.25">
      <c r="A38" s="2">
        <v>45686</v>
      </c>
      <c r="B38" s="3" t="s">
        <v>29</v>
      </c>
      <c r="C38" s="3" t="s">
        <v>35</v>
      </c>
      <c r="D38" s="3">
        <v>44</v>
      </c>
      <c r="E38" s="4">
        <v>0.22916666666666666</v>
      </c>
      <c r="F38" s="4">
        <v>0.22430555555555556</v>
      </c>
      <c r="G38" s="4">
        <v>0.2986111111111111</v>
      </c>
      <c r="H38" s="4">
        <v>0.29166666666666669</v>
      </c>
      <c r="I38" s="4">
        <f t="shared" si="0"/>
        <v>6.7361111111111122E-2</v>
      </c>
      <c r="J38" s="3">
        <v>0</v>
      </c>
      <c r="K38" s="3">
        <v>0</v>
      </c>
      <c r="L38" s="3" t="s">
        <v>33</v>
      </c>
      <c r="M38" s="3">
        <v>11</v>
      </c>
      <c r="N38" s="4">
        <v>11</v>
      </c>
      <c r="O38" s="4">
        <v>0</v>
      </c>
      <c r="P38" s="3">
        <v>0</v>
      </c>
      <c r="Q38" s="3">
        <v>0</v>
      </c>
      <c r="R38" s="4">
        <v>0.22222222222222221</v>
      </c>
      <c r="S38" s="4">
        <v>0.26250000000000001</v>
      </c>
      <c r="T38" s="4">
        <v>0.22638888888888889</v>
      </c>
      <c r="U38" s="4">
        <v>0.24444444444444444</v>
      </c>
      <c r="V38" s="4">
        <v>0.2326388888888889</v>
      </c>
      <c r="W38" s="4">
        <v>0.26250000000000001</v>
      </c>
      <c r="X38" s="4">
        <v>0.24097222222222223</v>
      </c>
      <c r="Y38" s="4">
        <v>0.29166666666666669</v>
      </c>
      <c r="Z38" s="3" t="s">
        <v>53</v>
      </c>
      <c r="AA38" s="3"/>
      <c r="AB38" s="160">
        <v>46051</v>
      </c>
    </row>
    <row r="39" spans="1:29" x14ac:dyDescent="0.25">
      <c r="A39" s="2">
        <v>45687</v>
      </c>
      <c r="B39" s="3" t="s">
        <v>29</v>
      </c>
      <c r="C39" s="3" t="s">
        <v>48</v>
      </c>
      <c r="D39" s="3">
        <v>44</v>
      </c>
      <c r="E39" s="4">
        <v>0.22916666666666666</v>
      </c>
      <c r="F39" s="4">
        <v>0.22083333333333333</v>
      </c>
      <c r="G39" s="4">
        <v>0.2986111111111111</v>
      </c>
      <c r="H39" s="4">
        <v>0.28749999999999998</v>
      </c>
      <c r="I39" s="4">
        <f t="shared" si="0"/>
        <v>6.6666666666666652E-2</v>
      </c>
      <c r="J39" s="3">
        <v>0</v>
      </c>
      <c r="K39" s="3">
        <v>0</v>
      </c>
      <c r="L39" s="3" t="s">
        <v>33</v>
      </c>
      <c r="M39" s="3">
        <v>11</v>
      </c>
      <c r="N39" s="4">
        <v>0</v>
      </c>
      <c r="O39" s="4">
        <v>0</v>
      </c>
      <c r="P39" s="3">
        <v>0</v>
      </c>
      <c r="Q39" s="3">
        <v>0</v>
      </c>
      <c r="R39" s="4">
        <v>0.22361111111111112</v>
      </c>
      <c r="S39" s="4">
        <v>0.26666666666666666</v>
      </c>
      <c r="T39" s="4">
        <v>0.2326388888888889</v>
      </c>
      <c r="U39" s="4">
        <v>0.2388888888888889</v>
      </c>
      <c r="V39" s="4">
        <v>0.2326388888888889</v>
      </c>
      <c r="W39" s="4">
        <v>0.26666666666666666</v>
      </c>
      <c r="X39" s="4">
        <v>0.24444444444444444</v>
      </c>
      <c r="Y39" s="4">
        <v>0.28055555555555556</v>
      </c>
      <c r="Z39" s="3" t="s">
        <v>61</v>
      </c>
      <c r="AA39" s="3"/>
      <c r="AB39" s="160">
        <v>46052</v>
      </c>
    </row>
    <row r="40" spans="1:29" x14ac:dyDescent="0.25">
      <c r="A40" s="2">
        <v>45688</v>
      </c>
      <c r="B40" s="3" t="s">
        <v>29</v>
      </c>
      <c r="C40" s="3" t="s">
        <v>39</v>
      </c>
      <c r="D40" s="3">
        <v>41</v>
      </c>
      <c r="E40" s="4">
        <v>0.27083333333333331</v>
      </c>
      <c r="F40" s="4">
        <v>0.26458333333333334</v>
      </c>
      <c r="G40" s="4">
        <v>0.33333333333333331</v>
      </c>
      <c r="H40" s="4">
        <v>0.31458333333333333</v>
      </c>
      <c r="I40" s="4">
        <f t="shared" si="0"/>
        <v>4.9999999999999989E-2</v>
      </c>
      <c r="J40" s="3">
        <v>0</v>
      </c>
      <c r="K40" s="3">
        <v>0</v>
      </c>
      <c r="L40" s="3" t="s">
        <v>33</v>
      </c>
      <c r="M40" s="3">
        <v>11</v>
      </c>
      <c r="N40" s="4">
        <v>0</v>
      </c>
      <c r="O40" s="4">
        <v>0</v>
      </c>
      <c r="P40" s="3">
        <v>0</v>
      </c>
      <c r="Q40" s="3">
        <v>0</v>
      </c>
      <c r="R40" s="4">
        <v>0.26527777777777778</v>
      </c>
      <c r="S40" s="4">
        <v>0.30972222222222223</v>
      </c>
      <c r="T40" s="4">
        <v>0.26597222222222222</v>
      </c>
      <c r="U40" s="4">
        <v>0.28263888888888888</v>
      </c>
      <c r="V40" s="4">
        <v>0.28402777777777777</v>
      </c>
      <c r="W40" s="4">
        <v>0.30763888888888891</v>
      </c>
      <c r="X40" s="4">
        <v>0.28749999999999998</v>
      </c>
      <c r="Y40" s="4">
        <v>0.31388888888888888</v>
      </c>
      <c r="Z40" s="3" t="s">
        <v>62</v>
      </c>
      <c r="AA40" s="3"/>
      <c r="AB40" s="160">
        <v>46053</v>
      </c>
    </row>
    <row r="41" spans="1:29" x14ac:dyDescent="0.25">
      <c r="A41" s="25">
        <v>46053</v>
      </c>
      <c r="B41" s="3" t="s">
        <v>36</v>
      </c>
      <c r="C41" s="3" t="s">
        <v>63</v>
      </c>
      <c r="D41" s="26">
        <v>44</v>
      </c>
      <c r="E41" s="27">
        <v>0.46527777777777779</v>
      </c>
      <c r="F41" s="27">
        <v>0.43819444444444444</v>
      </c>
      <c r="G41" s="27">
        <v>0.54861111111111116</v>
      </c>
      <c r="H41" s="27">
        <v>0.63472222222222219</v>
      </c>
      <c r="I41" s="4">
        <f t="shared" si="0"/>
        <v>0.19652777777777775</v>
      </c>
      <c r="J41" s="4">
        <v>6.5972222222222224E-2</v>
      </c>
      <c r="K41" s="3" t="s">
        <v>64</v>
      </c>
      <c r="L41" s="26" t="s">
        <v>65</v>
      </c>
      <c r="M41" s="26">
        <v>11</v>
      </c>
      <c r="N41" s="27"/>
      <c r="O41" s="27"/>
      <c r="P41" s="3"/>
      <c r="Q41" s="3"/>
      <c r="R41" s="27"/>
      <c r="S41" s="27"/>
      <c r="T41" s="27"/>
      <c r="U41" s="27"/>
      <c r="V41" s="27"/>
      <c r="W41" s="27"/>
      <c r="X41" s="27"/>
      <c r="Y41" s="27"/>
      <c r="Z41" s="3"/>
      <c r="AA41" s="26"/>
      <c r="AB41" s="161">
        <v>46053</v>
      </c>
    </row>
    <row r="42" spans="1:29" x14ac:dyDescent="0.25">
      <c r="A42" s="25">
        <v>45689</v>
      </c>
      <c r="B42" s="26" t="s">
        <v>44</v>
      </c>
      <c r="C42" s="26" t="s">
        <v>35</v>
      </c>
      <c r="D42" s="26">
        <v>43</v>
      </c>
      <c r="E42" s="27">
        <v>0.2638888888888889</v>
      </c>
      <c r="F42" s="27">
        <v>0.25069444444444444</v>
      </c>
      <c r="G42" s="27">
        <v>0.3263888888888889</v>
      </c>
      <c r="H42" s="27">
        <v>0.31319444444444444</v>
      </c>
      <c r="I42" s="27">
        <f t="shared" si="0"/>
        <v>6.25E-2</v>
      </c>
      <c r="J42" s="26">
        <v>0</v>
      </c>
      <c r="K42" s="26">
        <v>0</v>
      </c>
      <c r="L42" s="26" t="s">
        <v>33</v>
      </c>
      <c r="M42" s="26">
        <v>11</v>
      </c>
      <c r="N42" s="27">
        <v>0</v>
      </c>
      <c r="O42" s="27">
        <v>0</v>
      </c>
      <c r="P42" s="26">
        <v>0</v>
      </c>
      <c r="Q42" s="26">
        <v>0</v>
      </c>
      <c r="R42" s="27">
        <v>0.25138888888888888</v>
      </c>
      <c r="S42" s="27">
        <v>0.28819444444444442</v>
      </c>
      <c r="T42" s="27">
        <v>0.25416666666666665</v>
      </c>
      <c r="U42" s="27">
        <v>0.2673611111111111</v>
      </c>
      <c r="V42" s="27">
        <v>0.2638888888888889</v>
      </c>
      <c r="W42" s="27">
        <v>0.28819444444444442</v>
      </c>
      <c r="X42" s="27">
        <v>0.28749999999999998</v>
      </c>
      <c r="Y42" s="27">
        <v>0.30277777777777776</v>
      </c>
      <c r="Z42" s="26" t="s">
        <v>66</v>
      </c>
      <c r="AA42" s="26"/>
      <c r="AB42" s="161">
        <v>46054</v>
      </c>
    </row>
    <row r="43" spans="1:29" x14ac:dyDescent="0.25">
      <c r="A43" s="260">
        <v>45690</v>
      </c>
      <c r="B43" s="282" t="s">
        <v>29</v>
      </c>
      <c r="C43" s="276" t="s">
        <v>39</v>
      </c>
      <c r="D43" s="241">
        <v>44</v>
      </c>
      <c r="E43" s="273">
        <v>0.18055555555555555</v>
      </c>
      <c r="F43" s="283">
        <v>0.16875000000000001</v>
      </c>
      <c r="G43" s="273">
        <v>0.24305555555555555</v>
      </c>
      <c r="H43" s="283">
        <v>0.23333333333333334</v>
      </c>
      <c r="I43" s="274">
        <f t="shared" si="0"/>
        <v>6.4583333333333326E-2</v>
      </c>
      <c r="J43" s="262">
        <v>0</v>
      </c>
      <c r="K43" s="133">
        <v>0</v>
      </c>
      <c r="L43" s="285" t="s">
        <v>33</v>
      </c>
      <c r="M43" s="36">
        <v>11</v>
      </c>
      <c r="N43" s="284">
        <v>0</v>
      </c>
      <c r="O43" s="33">
        <v>0</v>
      </c>
      <c r="P43" s="263">
        <v>0</v>
      </c>
      <c r="Q43" s="261">
        <v>0</v>
      </c>
      <c r="R43" s="33">
        <v>0.1736111111111111</v>
      </c>
      <c r="S43" s="33">
        <v>0.22152777777777777</v>
      </c>
      <c r="T43" s="33">
        <v>0.17708333333333334</v>
      </c>
      <c r="U43" s="33">
        <v>0.19097222222222221</v>
      </c>
      <c r="V43" s="33">
        <v>0.18402777777777779</v>
      </c>
      <c r="W43" s="33">
        <v>0.22152777777777777</v>
      </c>
      <c r="X43" s="32" t="s">
        <v>67</v>
      </c>
      <c r="Y43" s="33">
        <v>0.22916666666666666</v>
      </c>
      <c r="Z43" s="32" t="s">
        <v>68</v>
      </c>
      <c r="AA43" s="34"/>
      <c r="AB43" s="264">
        <v>46055</v>
      </c>
    </row>
    <row r="44" spans="1:29" x14ac:dyDescent="0.25">
      <c r="A44" s="265">
        <v>45691</v>
      </c>
      <c r="B44" s="277" t="s">
        <v>29</v>
      </c>
      <c r="C44" s="36" t="s">
        <v>46</v>
      </c>
      <c r="D44" s="278">
        <v>43</v>
      </c>
      <c r="E44" s="39">
        <v>0.22916666666666666</v>
      </c>
      <c r="F44" s="279">
        <v>0.22708333333333333</v>
      </c>
      <c r="G44" s="39">
        <v>0.2986111111111111</v>
      </c>
      <c r="H44" s="280">
        <v>0.29444444444444445</v>
      </c>
      <c r="I44" s="281">
        <f t="shared" si="0"/>
        <v>6.7361111111111122E-2</v>
      </c>
      <c r="J44" s="3">
        <v>0</v>
      </c>
      <c r="K44" s="286">
        <v>0</v>
      </c>
      <c r="L44" s="133" t="s">
        <v>33</v>
      </c>
      <c r="M44" s="275">
        <v>11</v>
      </c>
      <c r="N44" s="230">
        <v>0</v>
      </c>
      <c r="O44" s="65">
        <v>0</v>
      </c>
      <c r="P44" s="257">
        <v>0</v>
      </c>
      <c r="Q44" s="256">
        <v>0</v>
      </c>
      <c r="R44" s="135">
        <v>0.22847222222222222</v>
      </c>
      <c r="S44" s="135">
        <v>0.27916666666666667</v>
      </c>
      <c r="T44" s="135">
        <v>0.22916666666666666</v>
      </c>
      <c r="U44" s="135">
        <v>0.24861111111111112</v>
      </c>
      <c r="V44" s="135">
        <v>0.25</v>
      </c>
      <c r="W44" s="135">
        <v>0.27916666666666667</v>
      </c>
      <c r="X44" s="135"/>
      <c r="Y44" s="135">
        <v>0.28819444444444442</v>
      </c>
      <c r="Z44" s="28" t="s">
        <v>45</v>
      </c>
      <c r="AA44" s="28"/>
      <c r="AB44" s="264">
        <v>46056</v>
      </c>
    </row>
    <row r="45" spans="1:29" s="28" customFormat="1" x14ac:dyDescent="0.25">
      <c r="A45" s="35">
        <v>46057</v>
      </c>
      <c r="B45" s="254" t="s">
        <v>29</v>
      </c>
      <c r="C45" s="254" t="s">
        <v>48</v>
      </c>
      <c r="D45" s="254">
        <v>44</v>
      </c>
      <c r="E45" s="255">
        <v>0.22916666666666666</v>
      </c>
      <c r="F45" s="255">
        <v>0.25555555555555554</v>
      </c>
      <c r="G45" s="255">
        <v>0.2986111111111111</v>
      </c>
      <c r="H45" s="255">
        <v>0.32222222222222224</v>
      </c>
      <c r="I45" s="4">
        <f t="shared" si="0"/>
        <v>6.6666666666666707E-2</v>
      </c>
      <c r="J45" s="3" t="s">
        <v>69</v>
      </c>
      <c r="K45" s="3" t="s">
        <v>70</v>
      </c>
      <c r="L45" s="254" t="s">
        <v>71</v>
      </c>
      <c r="M45" s="254">
        <v>11</v>
      </c>
      <c r="N45" s="255">
        <v>0</v>
      </c>
      <c r="O45" s="255">
        <v>0</v>
      </c>
      <c r="P45" s="3">
        <v>0</v>
      </c>
      <c r="Q45" s="3"/>
      <c r="R45" s="255">
        <v>0.25763888888888886</v>
      </c>
      <c r="S45" s="255">
        <v>0.31388888888888888</v>
      </c>
      <c r="T45" s="255">
        <v>0.26041666666666669</v>
      </c>
      <c r="U45" s="255">
        <v>0.27777777777777779</v>
      </c>
      <c r="V45" s="255">
        <v>0.26527777777777778</v>
      </c>
      <c r="W45" s="255">
        <v>0.31388888888888888</v>
      </c>
      <c r="X45" s="255">
        <v>0.28333333333333333</v>
      </c>
      <c r="Y45" s="255">
        <v>0.31874999999999998</v>
      </c>
      <c r="Z45" s="254" t="s">
        <v>72</v>
      </c>
      <c r="AA45" s="254"/>
      <c r="AB45" s="258">
        <v>46057</v>
      </c>
      <c r="AC45" s="268"/>
    </row>
    <row r="46" spans="1:29" s="28" customFormat="1" x14ac:dyDescent="0.25">
      <c r="A46" s="35">
        <v>45693</v>
      </c>
      <c r="B46" s="36" t="s">
        <v>29</v>
      </c>
      <c r="C46" s="36" t="s">
        <v>35</v>
      </c>
      <c r="D46" s="36">
        <v>43</v>
      </c>
      <c r="E46" s="39">
        <v>0.22916666666666666</v>
      </c>
      <c r="F46" s="39">
        <v>0.24583333333333332</v>
      </c>
      <c r="G46" s="39">
        <v>0.2986111111111111</v>
      </c>
      <c r="H46" s="39">
        <v>0.29791666666666666</v>
      </c>
      <c r="I46" s="4">
        <f t="shared" si="0"/>
        <v>5.2083333333333343E-2</v>
      </c>
      <c r="J46" s="39">
        <v>0</v>
      </c>
      <c r="K46" s="36">
        <v>0</v>
      </c>
      <c r="L46" s="36" t="s">
        <v>33</v>
      </c>
      <c r="M46" s="36">
        <v>11</v>
      </c>
      <c r="N46" s="39">
        <v>0</v>
      </c>
      <c r="O46" s="39">
        <v>0</v>
      </c>
      <c r="P46" s="36">
        <v>0</v>
      </c>
      <c r="Q46" s="36">
        <v>0</v>
      </c>
      <c r="R46" s="39">
        <v>0.24652777777777779</v>
      </c>
      <c r="S46" s="39">
        <v>0.28611111111111109</v>
      </c>
      <c r="T46" s="39">
        <v>0.25277777777777777</v>
      </c>
      <c r="U46" s="39">
        <v>0.26527777777777778</v>
      </c>
      <c r="V46" s="39">
        <v>0.25694444444444442</v>
      </c>
      <c r="W46" s="39">
        <v>0.26527777777777778</v>
      </c>
      <c r="X46" s="39">
        <v>0.27013888888888887</v>
      </c>
      <c r="Y46" s="39">
        <v>0.29652777777777778</v>
      </c>
      <c r="Z46" s="36" t="s">
        <v>55</v>
      </c>
      <c r="AA46" s="36"/>
      <c r="AB46" s="163">
        <v>46058</v>
      </c>
      <c r="AC46" s="268"/>
    </row>
    <row r="47" spans="1:29" s="28" customFormat="1" ht="17.25" customHeight="1" x14ac:dyDescent="0.25">
      <c r="A47" s="245">
        <v>45694</v>
      </c>
      <c r="B47" s="133" t="s">
        <v>29</v>
      </c>
      <c r="C47" s="133" t="s">
        <v>38</v>
      </c>
      <c r="D47" s="133">
        <v>41</v>
      </c>
      <c r="E47" s="38">
        <v>0.22916666666666666</v>
      </c>
      <c r="F47" s="38">
        <v>0.26319444444444445</v>
      </c>
      <c r="G47" s="38">
        <v>0.2986111111111111</v>
      </c>
      <c r="H47" s="38">
        <v>0.3125</v>
      </c>
      <c r="I47" s="4">
        <f t="shared" si="0"/>
        <v>4.9305555555555547E-2</v>
      </c>
      <c r="J47" s="38">
        <v>1.3888888888888888E-2</v>
      </c>
      <c r="K47" s="133" t="s">
        <v>50</v>
      </c>
      <c r="L47" s="246" t="s">
        <v>73</v>
      </c>
      <c r="M47" s="133">
        <v>11</v>
      </c>
      <c r="N47" s="38">
        <v>0</v>
      </c>
      <c r="O47" s="38">
        <v>0</v>
      </c>
      <c r="P47" s="133">
        <v>0</v>
      </c>
      <c r="Q47" s="133">
        <v>0</v>
      </c>
      <c r="R47" s="38">
        <v>0.26527777777777778</v>
      </c>
      <c r="S47" s="38">
        <v>0.30555555555555558</v>
      </c>
      <c r="T47" s="38">
        <v>0.27013888888888887</v>
      </c>
      <c r="U47" s="38">
        <v>0.28333333333333333</v>
      </c>
      <c r="V47" s="38">
        <v>0.27638888888888891</v>
      </c>
      <c r="W47" s="38">
        <v>0.30555555555555558</v>
      </c>
      <c r="X47" s="38">
        <v>0.31111111111111112</v>
      </c>
      <c r="Y47" s="38">
        <v>0.31388888888888888</v>
      </c>
      <c r="Z47" s="133" t="s">
        <v>55</v>
      </c>
      <c r="AA47" s="133"/>
      <c r="AB47" s="247">
        <v>46059</v>
      </c>
      <c r="AC47" s="268"/>
    </row>
    <row r="48" spans="1:29" s="28" customFormat="1" x14ac:dyDescent="0.25">
      <c r="A48" s="35">
        <v>45695</v>
      </c>
      <c r="B48" s="36" t="s">
        <v>29</v>
      </c>
      <c r="C48" s="36" t="s">
        <v>35</v>
      </c>
      <c r="D48" s="36">
        <v>43</v>
      </c>
      <c r="E48" s="39">
        <v>0.27083333333333331</v>
      </c>
      <c r="F48" s="39">
        <v>0.26041666666666669</v>
      </c>
      <c r="G48" s="39">
        <v>0.33333333333333331</v>
      </c>
      <c r="H48" s="39">
        <v>0.32500000000000001</v>
      </c>
      <c r="I48" s="4">
        <f t="shared" si="0"/>
        <v>6.4583333333333326E-2</v>
      </c>
      <c r="J48" s="36">
        <v>0</v>
      </c>
      <c r="K48" s="36">
        <v>0</v>
      </c>
      <c r="L48" s="36" t="s">
        <v>33</v>
      </c>
      <c r="M48" s="36">
        <v>11</v>
      </c>
      <c r="N48" s="39">
        <v>0</v>
      </c>
      <c r="O48" s="39">
        <v>0</v>
      </c>
      <c r="P48" s="36">
        <v>0</v>
      </c>
      <c r="Q48" s="36">
        <v>0</v>
      </c>
      <c r="R48" s="39">
        <v>0.26250000000000001</v>
      </c>
      <c r="S48" s="39" t="s">
        <v>74</v>
      </c>
      <c r="T48" s="39">
        <v>0.26666666666666666</v>
      </c>
      <c r="U48" s="39">
        <v>0.28888888888888886</v>
      </c>
      <c r="V48" s="39">
        <v>0.27361111111111114</v>
      </c>
      <c r="W48" s="39">
        <v>0.30694444444444446</v>
      </c>
      <c r="X48" s="39">
        <v>0.28402777777777777</v>
      </c>
      <c r="Y48" s="39">
        <v>0.31388888888888888</v>
      </c>
      <c r="Z48" s="37" t="s">
        <v>72</v>
      </c>
      <c r="AA48" s="37"/>
      <c r="AB48" s="163">
        <v>46060</v>
      </c>
      <c r="AC48" s="268"/>
    </row>
    <row r="49" spans="1:29" x14ac:dyDescent="0.25">
      <c r="A49" s="25">
        <v>46060</v>
      </c>
      <c r="B49" s="3" t="s">
        <v>36</v>
      </c>
      <c r="C49" s="3" t="s">
        <v>42</v>
      </c>
      <c r="D49" s="26">
        <v>44</v>
      </c>
      <c r="E49" s="27">
        <v>0.46527777777777779</v>
      </c>
      <c r="F49" s="27">
        <v>0.56041666666666667</v>
      </c>
      <c r="G49" s="27">
        <v>0.54861111111111116</v>
      </c>
      <c r="H49" s="27">
        <v>0.6791666666666667</v>
      </c>
      <c r="I49" s="4">
        <f t="shared" ref="I49" si="1">H49-F49</f>
        <v>0.11875000000000002</v>
      </c>
      <c r="J49" s="4" t="s">
        <v>75</v>
      </c>
      <c r="K49" s="3" t="s">
        <v>76</v>
      </c>
      <c r="L49" s="26" t="s">
        <v>77</v>
      </c>
      <c r="M49" s="26"/>
      <c r="N49" s="27"/>
      <c r="O49" s="27"/>
      <c r="P49" s="3"/>
      <c r="Q49" s="3"/>
      <c r="R49" s="27"/>
      <c r="S49" s="27"/>
      <c r="T49" s="27"/>
      <c r="U49" s="27"/>
      <c r="V49" s="27"/>
      <c r="W49" s="27"/>
      <c r="X49" s="27"/>
      <c r="Y49" s="27"/>
      <c r="Z49" s="3"/>
      <c r="AA49" s="26"/>
      <c r="AB49" s="161">
        <v>46053</v>
      </c>
    </row>
    <row r="50" spans="1:29" s="28" customFormat="1" x14ac:dyDescent="0.25">
      <c r="A50" s="35">
        <v>45696</v>
      </c>
      <c r="B50" s="36" t="s">
        <v>29</v>
      </c>
      <c r="C50" s="36" t="s">
        <v>39</v>
      </c>
      <c r="D50" s="36">
        <v>44</v>
      </c>
      <c r="E50" s="38">
        <v>0.27083333333333331</v>
      </c>
      <c r="F50" s="39">
        <v>0.26458333333333334</v>
      </c>
      <c r="G50" s="39">
        <v>0.33333333333333331</v>
      </c>
      <c r="H50" s="39">
        <v>0.32291666666666669</v>
      </c>
      <c r="I50" s="4">
        <f t="shared" si="0"/>
        <v>5.8333333333333348E-2</v>
      </c>
      <c r="J50" s="36">
        <v>0</v>
      </c>
      <c r="K50" s="36">
        <v>0</v>
      </c>
      <c r="L50" s="36" t="s">
        <v>33</v>
      </c>
      <c r="M50" s="36">
        <v>11</v>
      </c>
      <c r="N50" s="39">
        <v>0</v>
      </c>
      <c r="O50" s="39">
        <v>0</v>
      </c>
      <c r="P50" s="36">
        <v>0</v>
      </c>
      <c r="Q50" s="36">
        <v>0</v>
      </c>
      <c r="R50" s="39">
        <v>0.2673611111111111</v>
      </c>
      <c r="S50" s="39">
        <v>0.29444444444444445</v>
      </c>
      <c r="T50" s="39">
        <v>0.27083333333333331</v>
      </c>
      <c r="U50" s="65">
        <v>0.28611111111111109</v>
      </c>
      <c r="V50" s="65">
        <v>0.28680555555555554</v>
      </c>
      <c r="W50" s="65">
        <v>0.30902777777777779</v>
      </c>
      <c r="X50" s="65">
        <v>0.29722222222222222</v>
      </c>
      <c r="Y50" s="65">
        <v>0.31874999999999998</v>
      </c>
      <c r="Z50" s="37" t="s">
        <v>59</v>
      </c>
      <c r="AA50" s="36"/>
      <c r="AB50" s="163">
        <v>46061</v>
      </c>
      <c r="AC50" s="268"/>
    </row>
    <row r="51" spans="1:29" s="28" customFormat="1" x14ac:dyDescent="0.25">
      <c r="A51" s="35">
        <v>45697</v>
      </c>
      <c r="B51" s="36" t="s">
        <v>29</v>
      </c>
      <c r="C51" s="36" t="s">
        <v>48</v>
      </c>
      <c r="D51" s="36">
        <v>43</v>
      </c>
      <c r="E51" s="39">
        <v>0.1736111111111111</v>
      </c>
      <c r="F51" s="39">
        <v>0.24027777777777778</v>
      </c>
      <c r="G51" s="39">
        <v>0.24305555555555555</v>
      </c>
      <c r="H51" s="39">
        <v>0.30694444444444446</v>
      </c>
      <c r="I51" s="4">
        <v>0</v>
      </c>
      <c r="J51" s="39">
        <v>6.3888888888888884E-2</v>
      </c>
      <c r="K51" s="36" t="s">
        <v>78</v>
      </c>
      <c r="L51" s="36" t="s">
        <v>79</v>
      </c>
      <c r="M51" s="36">
        <v>11</v>
      </c>
      <c r="N51" s="39">
        <v>0.23958333333333334</v>
      </c>
      <c r="O51" s="39">
        <v>0.30555555555555558</v>
      </c>
      <c r="P51" s="39">
        <v>0.30208333333333331</v>
      </c>
      <c r="Q51" s="39">
        <v>0.30902777777777779</v>
      </c>
      <c r="R51" s="39">
        <v>0.24166666666666667</v>
      </c>
      <c r="S51" s="39">
        <v>0.30208333333333331</v>
      </c>
      <c r="T51" s="39">
        <v>0.24444444444444444</v>
      </c>
      <c r="U51" s="65">
        <v>0.27152777777777776</v>
      </c>
      <c r="V51" s="65">
        <v>0.2722222222222222</v>
      </c>
      <c r="W51" s="65">
        <v>0.30208333333333331</v>
      </c>
      <c r="X51" s="65">
        <v>0.29791666666666666</v>
      </c>
      <c r="Y51" s="65">
        <v>0.3034722222222222</v>
      </c>
      <c r="Z51" s="37" t="s">
        <v>45</v>
      </c>
      <c r="AA51" s="36"/>
      <c r="AB51" s="163">
        <v>46062</v>
      </c>
      <c r="AC51" s="268"/>
    </row>
    <row r="52" spans="1:29" s="28" customFormat="1" x14ac:dyDescent="0.25">
      <c r="A52" s="35">
        <v>45698</v>
      </c>
      <c r="B52" s="36" t="s">
        <v>29</v>
      </c>
      <c r="C52" s="36" t="s">
        <v>39</v>
      </c>
      <c r="D52" s="36">
        <v>43</v>
      </c>
      <c r="E52" s="39">
        <v>0.22916666666666666</v>
      </c>
      <c r="F52" s="39">
        <v>0.25555555555555554</v>
      </c>
      <c r="G52" s="39">
        <v>0.2986111111111111</v>
      </c>
      <c r="H52" s="39">
        <v>0.31874999999999998</v>
      </c>
      <c r="I52" s="4">
        <f t="shared" si="0"/>
        <v>6.3194444444444442E-2</v>
      </c>
      <c r="J52" s="39">
        <v>2.013888888888889E-2</v>
      </c>
      <c r="K52" s="36" t="s">
        <v>50</v>
      </c>
      <c r="L52" s="67" t="s">
        <v>80</v>
      </c>
      <c r="M52" s="36">
        <v>11</v>
      </c>
      <c r="N52" s="39">
        <v>0</v>
      </c>
      <c r="O52" s="39">
        <v>0</v>
      </c>
      <c r="P52" s="36">
        <v>0</v>
      </c>
      <c r="Q52" s="36">
        <v>0</v>
      </c>
      <c r="R52" s="39">
        <v>0.25833333333333336</v>
      </c>
      <c r="S52" s="39">
        <v>0.30486111111111114</v>
      </c>
      <c r="T52" s="39">
        <v>0.26250000000000001</v>
      </c>
      <c r="U52" s="39">
        <v>0.28333333333333333</v>
      </c>
      <c r="V52" s="39">
        <v>0.27083333333333331</v>
      </c>
      <c r="W52" s="39">
        <v>0.30486111111111114</v>
      </c>
      <c r="X52" s="39">
        <v>0.28749999999999998</v>
      </c>
      <c r="Y52" s="39">
        <v>0.31527777777777777</v>
      </c>
      <c r="Z52" s="36" t="s">
        <v>81</v>
      </c>
      <c r="AA52" s="36"/>
      <c r="AB52" s="163">
        <v>46063</v>
      </c>
      <c r="AC52" s="268"/>
    </row>
    <row r="53" spans="1:29" s="28" customFormat="1" x14ac:dyDescent="0.25">
      <c r="A53" s="35">
        <v>45699</v>
      </c>
      <c r="B53" s="36" t="s">
        <v>29</v>
      </c>
      <c r="C53" s="36" t="s">
        <v>46</v>
      </c>
      <c r="D53" s="36">
        <v>43</v>
      </c>
      <c r="E53" s="39">
        <v>0.22916666666666666</v>
      </c>
      <c r="F53" s="39">
        <v>0.23194444444444445</v>
      </c>
      <c r="G53" s="39">
        <v>0.2986111111111111</v>
      </c>
      <c r="H53" s="39">
        <v>0.2986111111111111</v>
      </c>
      <c r="I53" s="4">
        <f t="shared" si="0"/>
        <v>6.6666666666666652E-2</v>
      </c>
      <c r="J53" s="39">
        <v>0</v>
      </c>
      <c r="K53" s="36">
        <v>0</v>
      </c>
      <c r="L53" s="36" t="s">
        <v>33</v>
      </c>
      <c r="M53" s="36">
        <v>11</v>
      </c>
      <c r="N53" s="39">
        <v>0</v>
      </c>
      <c r="O53" s="39">
        <v>0</v>
      </c>
      <c r="P53" s="36">
        <v>0</v>
      </c>
      <c r="Q53" s="36">
        <v>0</v>
      </c>
      <c r="R53" s="39">
        <v>0.23472222222222222</v>
      </c>
      <c r="S53" s="39">
        <v>0.29097222222222224</v>
      </c>
      <c r="T53" s="39">
        <v>0.23680555555555555</v>
      </c>
      <c r="U53" s="39">
        <v>0.2590277777777778</v>
      </c>
      <c r="V53" s="39">
        <v>0.24305555555555555</v>
      </c>
      <c r="W53" s="39">
        <v>0.29097222222222224</v>
      </c>
      <c r="X53" s="39">
        <v>0.26597222222222222</v>
      </c>
      <c r="Y53" s="39">
        <v>0.2951388888888889</v>
      </c>
      <c r="Z53" s="36" t="s">
        <v>68</v>
      </c>
      <c r="AA53" s="36"/>
      <c r="AB53" s="163">
        <v>46064</v>
      </c>
      <c r="AC53" s="268"/>
    </row>
    <row r="54" spans="1:29" s="28" customFormat="1" x14ac:dyDescent="0.25">
      <c r="A54" s="35">
        <v>45700</v>
      </c>
      <c r="B54" s="36" t="s">
        <v>29</v>
      </c>
      <c r="C54" s="36" t="s">
        <v>39</v>
      </c>
      <c r="D54" s="36">
        <v>44</v>
      </c>
      <c r="E54" s="39">
        <v>0.22916666666666666</v>
      </c>
      <c r="F54" s="39">
        <v>0.21597222222222223</v>
      </c>
      <c r="G54" s="39">
        <v>0.2986111111111111</v>
      </c>
      <c r="H54" s="39">
        <v>0.28333333333333333</v>
      </c>
      <c r="I54" s="4">
        <f t="shared" si="0"/>
        <v>6.7361111111111094E-2</v>
      </c>
      <c r="J54" s="36">
        <v>0</v>
      </c>
      <c r="K54" s="36">
        <v>0</v>
      </c>
      <c r="L54" s="36" t="s">
        <v>33</v>
      </c>
      <c r="M54" s="36">
        <v>11</v>
      </c>
      <c r="N54" s="39">
        <v>0</v>
      </c>
      <c r="O54" s="39">
        <v>0</v>
      </c>
      <c r="P54" s="36">
        <v>0</v>
      </c>
      <c r="Q54" s="36">
        <v>0</v>
      </c>
      <c r="R54" s="39">
        <v>0.21875</v>
      </c>
      <c r="S54" s="39">
        <v>0.27569444444444446</v>
      </c>
      <c r="T54" s="39">
        <v>0.22013888888888888</v>
      </c>
      <c r="U54" s="39">
        <v>0.24236111111111111</v>
      </c>
      <c r="V54" s="39">
        <v>0.22361111111111112</v>
      </c>
      <c r="W54" s="39">
        <v>0.27569444444444446</v>
      </c>
      <c r="X54" s="39">
        <v>0.25277777777777777</v>
      </c>
      <c r="Y54" s="39"/>
      <c r="Z54" s="36" t="s">
        <v>68</v>
      </c>
      <c r="AA54" s="36"/>
      <c r="AB54" s="163">
        <v>46065</v>
      </c>
      <c r="AC54" s="268"/>
    </row>
    <row r="55" spans="1:29" s="28" customFormat="1" x14ac:dyDescent="0.25">
      <c r="A55" s="35">
        <v>45701</v>
      </c>
      <c r="B55" s="36" t="s">
        <v>29</v>
      </c>
      <c r="C55" s="36" t="s">
        <v>46</v>
      </c>
      <c r="D55" s="36">
        <v>44</v>
      </c>
      <c r="E55" s="39">
        <v>0.22916666666666666</v>
      </c>
      <c r="F55" s="39">
        <v>0.26527777777777778</v>
      </c>
      <c r="G55" s="39">
        <v>0.2986111111111111</v>
      </c>
      <c r="H55" s="39">
        <v>0.31111111111111112</v>
      </c>
      <c r="I55" s="4">
        <f t="shared" si="0"/>
        <v>4.5833333333333337E-2</v>
      </c>
      <c r="J55" s="39">
        <v>1.2500000000000001E-2</v>
      </c>
      <c r="K55" s="36" t="s">
        <v>82</v>
      </c>
      <c r="L55" s="36" t="s">
        <v>83</v>
      </c>
      <c r="M55" s="36">
        <v>11</v>
      </c>
      <c r="N55" s="39">
        <v>0</v>
      </c>
      <c r="O55" s="39">
        <v>0</v>
      </c>
      <c r="P55" s="36">
        <v>0</v>
      </c>
      <c r="Q55" s="36">
        <v>0</v>
      </c>
      <c r="R55" s="39">
        <v>0.26597222222222222</v>
      </c>
      <c r="S55" s="39">
        <v>0.3</v>
      </c>
      <c r="T55" s="39">
        <v>0.2673611111111111</v>
      </c>
      <c r="U55" s="39">
        <v>0.28333333333333333</v>
      </c>
      <c r="V55" s="39">
        <v>0.28402777777777777</v>
      </c>
      <c r="W55" s="39">
        <v>0.3</v>
      </c>
      <c r="X55" s="39">
        <v>0.27986111111111112</v>
      </c>
      <c r="Y55" s="39">
        <v>0.30972222222222223</v>
      </c>
      <c r="Z55" s="36" t="s">
        <v>45</v>
      </c>
      <c r="AA55" s="36"/>
      <c r="AB55" s="163">
        <v>46066</v>
      </c>
      <c r="AC55" s="268"/>
    </row>
    <row r="56" spans="1:29" s="28" customFormat="1" x14ac:dyDescent="0.25">
      <c r="A56" s="35">
        <v>45702</v>
      </c>
      <c r="B56" s="36" t="s">
        <v>29</v>
      </c>
      <c r="C56" s="36" t="s">
        <v>35</v>
      </c>
      <c r="D56" s="36">
        <v>43</v>
      </c>
      <c r="E56" s="39">
        <v>0.25</v>
      </c>
      <c r="F56" s="39">
        <v>0.27500000000000002</v>
      </c>
      <c r="G56" s="39">
        <v>0.33333333333333331</v>
      </c>
      <c r="H56" s="39">
        <v>0.33402777777777776</v>
      </c>
      <c r="I56" s="4">
        <f t="shared" si="0"/>
        <v>5.9027777777777735E-2</v>
      </c>
      <c r="J56" s="36" t="s">
        <v>84</v>
      </c>
      <c r="K56" s="36">
        <v>89</v>
      </c>
      <c r="L56" s="36" t="s">
        <v>85</v>
      </c>
      <c r="M56" s="36">
        <v>11</v>
      </c>
      <c r="N56" s="39">
        <v>0</v>
      </c>
      <c r="O56" s="39">
        <v>0</v>
      </c>
      <c r="P56" s="36">
        <v>0</v>
      </c>
      <c r="Q56" s="36">
        <v>0</v>
      </c>
      <c r="R56" s="39">
        <v>0.27638888888888891</v>
      </c>
      <c r="S56" s="39">
        <v>0.32083333333333336</v>
      </c>
      <c r="T56" s="39">
        <v>0.27777777777777779</v>
      </c>
      <c r="U56" s="39">
        <v>0.29930555555555555</v>
      </c>
      <c r="V56" s="39">
        <v>0.29305555555555557</v>
      </c>
      <c r="W56" s="39">
        <v>0.32083333333333336</v>
      </c>
      <c r="X56" s="39"/>
      <c r="Y56" s="39">
        <v>0.3298611111111111</v>
      </c>
      <c r="Z56" s="36" t="s">
        <v>86</v>
      </c>
      <c r="AA56" s="36"/>
      <c r="AB56" s="163">
        <v>46067</v>
      </c>
      <c r="AC56" s="268"/>
    </row>
    <row r="57" spans="1:29" x14ac:dyDescent="0.25">
      <c r="A57" s="25">
        <v>46067</v>
      </c>
      <c r="B57" s="3" t="s">
        <v>36</v>
      </c>
      <c r="C57" s="3" t="s">
        <v>42</v>
      </c>
      <c r="D57" s="26">
        <v>44</v>
      </c>
      <c r="E57" s="27">
        <v>0.46527777777777779</v>
      </c>
      <c r="F57" s="27">
        <v>0.42916666666666664</v>
      </c>
      <c r="G57" s="27">
        <v>0.54861111111111116</v>
      </c>
      <c r="H57" s="27">
        <v>0.55625000000000002</v>
      </c>
      <c r="I57" s="4">
        <f t="shared" si="0"/>
        <v>0.12708333333333338</v>
      </c>
      <c r="J57" s="4" t="s">
        <v>87</v>
      </c>
      <c r="K57" s="3" t="s">
        <v>88</v>
      </c>
      <c r="L57" s="26" t="s">
        <v>89</v>
      </c>
      <c r="M57" s="26"/>
      <c r="N57" s="27"/>
      <c r="O57" s="27"/>
      <c r="P57" s="3"/>
      <c r="Q57" s="3"/>
      <c r="R57" s="27"/>
      <c r="S57" s="27"/>
      <c r="T57" s="27"/>
      <c r="U57" s="27"/>
      <c r="V57" s="27"/>
      <c r="W57" s="27"/>
      <c r="X57" s="27"/>
      <c r="Y57" s="27"/>
      <c r="Z57" s="3"/>
      <c r="AA57" s="26"/>
      <c r="AB57" s="161">
        <v>46053</v>
      </c>
    </row>
    <row r="58" spans="1:29" s="28" customFormat="1" x14ac:dyDescent="0.25">
      <c r="A58" s="35">
        <v>45703</v>
      </c>
      <c r="B58" s="36" t="s">
        <v>44</v>
      </c>
      <c r="C58" s="36" t="s">
        <v>38</v>
      </c>
      <c r="D58" s="36">
        <v>44</v>
      </c>
      <c r="E58" s="39">
        <v>0.2638888888888889</v>
      </c>
      <c r="F58" s="39">
        <v>0.26180555555555557</v>
      </c>
      <c r="G58" s="39">
        <v>0.3263888888888889</v>
      </c>
      <c r="H58" s="39">
        <v>0.32361111111111113</v>
      </c>
      <c r="I58" s="4">
        <f t="shared" si="0"/>
        <v>6.1805555555555558E-2</v>
      </c>
      <c r="J58" s="36">
        <v>0</v>
      </c>
      <c r="K58" s="36">
        <v>0</v>
      </c>
      <c r="L58" s="36" t="s">
        <v>33</v>
      </c>
      <c r="M58" s="36">
        <v>11</v>
      </c>
      <c r="N58" s="39">
        <v>0</v>
      </c>
      <c r="O58" s="39">
        <v>0</v>
      </c>
      <c r="P58" s="36">
        <v>0</v>
      </c>
      <c r="Q58" s="36">
        <v>0</v>
      </c>
      <c r="R58" s="39">
        <v>0.2638888888888889</v>
      </c>
      <c r="S58" s="39">
        <v>0.30763888888888891</v>
      </c>
      <c r="T58" s="39">
        <v>0.2673611111111111</v>
      </c>
      <c r="U58" s="39">
        <v>0.27430555555555558</v>
      </c>
      <c r="V58" s="39">
        <v>0.26805555555555555</v>
      </c>
      <c r="W58" s="39">
        <v>0.30972222222222223</v>
      </c>
      <c r="X58" s="39"/>
      <c r="Y58" s="39">
        <v>0.32291666666666669</v>
      </c>
      <c r="Z58" s="36" t="s">
        <v>55</v>
      </c>
      <c r="AA58" s="36"/>
      <c r="AB58" s="163">
        <v>46068</v>
      </c>
      <c r="AC58" s="268"/>
    </row>
    <row r="59" spans="1:29" s="28" customFormat="1" x14ac:dyDescent="0.25">
      <c r="A59" s="35">
        <v>45704</v>
      </c>
      <c r="B59" s="36" t="s">
        <v>29</v>
      </c>
      <c r="C59" s="3" t="s">
        <v>48</v>
      </c>
      <c r="D59" s="36">
        <v>44</v>
      </c>
      <c r="E59" s="39">
        <v>0.18055555555555555</v>
      </c>
      <c r="F59" s="39">
        <v>0.16666666666666666</v>
      </c>
      <c r="G59" s="39">
        <v>0.24305555555555555</v>
      </c>
      <c r="H59" s="39">
        <v>0.22291666666666668</v>
      </c>
      <c r="I59" s="4">
        <f t="shared" si="0"/>
        <v>5.6250000000000022E-2</v>
      </c>
      <c r="J59" s="39">
        <v>0</v>
      </c>
      <c r="K59" s="36">
        <v>0</v>
      </c>
      <c r="L59" s="36" t="s">
        <v>33</v>
      </c>
      <c r="M59" s="36">
        <v>11</v>
      </c>
      <c r="N59" s="39">
        <v>0</v>
      </c>
      <c r="O59" s="39">
        <v>0</v>
      </c>
      <c r="P59" s="36">
        <v>0</v>
      </c>
      <c r="Q59" s="36">
        <v>0</v>
      </c>
      <c r="R59" s="39">
        <v>0.1673611111111111</v>
      </c>
      <c r="S59" s="39">
        <v>0.21736111111111112</v>
      </c>
      <c r="T59" s="39">
        <v>0.16875000000000001</v>
      </c>
      <c r="U59" s="39">
        <v>0.1875</v>
      </c>
      <c r="V59" s="39">
        <v>0.18819444444444444</v>
      </c>
      <c r="W59" s="39">
        <v>0.21597222222222223</v>
      </c>
      <c r="X59" s="39"/>
      <c r="Y59" s="39">
        <v>5.2777777777777778E-2</v>
      </c>
      <c r="Z59" s="36" t="s">
        <v>90</v>
      </c>
      <c r="AA59" s="36"/>
      <c r="AB59" s="163">
        <v>46069</v>
      </c>
      <c r="AC59" s="268"/>
    </row>
    <row r="60" spans="1:29" s="28" customFormat="1" x14ac:dyDescent="0.25">
      <c r="A60" s="35">
        <v>45705</v>
      </c>
      <c r="B60" s="36" t="s">
        <v>29</v>
      </c>
      <c r="C60" s="36" t="s">
        <v>35</v>
      </c>
      <c r="D60" s="36">
        <v>44</v>
      </c>
      <c r="E60" s="39">
        <v>0.22916666666666666</v>
      </c>
      <c r="F60" s="39">
        <v>0.23055555555555557</v>
      </c>
      <c r="G60" s="39">
        <v>0.2986111111111111</v>
      </c>
      <c r="H60" s="39">
        <v>0.29375000000000001</v>
      </c>
      <c r="I60" s="4">
        <f t="shared" si="0"/>
        <v>6.3194444444444442E-2</v>
      </c>
      <c r="J60" s="39">
        <v>0</v>
      </c>
      <c r="K60" s="36">
        <v>0</v>
      </c>
      <c r="L60" s="36" t="s">
        <v>33</v>
      </c>
      <c r="M60" s="36">
        <v>11</v>
      </c>
      <c r="N60" s="39">
        <v>0</v>
      </c>
      <c r="O60" s="39">
        <v>0</v>
      </c>
      <c r="P60" s="36">
        <v>0</v>
      </c>
      <c r="Q60" s="36">
        <v>0</v>
      </c>
      <c r="R60" s="39">
        <v>0.23194444444444445</v>
      </c>
      <c r="S60" s="39">
        <v>0.28680555555555554</v>
      </c>
      <c r="T60" s="39">
        <v>0.2326388888888889</v>
      </c>
      <c r="U60" s="39">
        <v>0.25208333333333333</v>
      </c>
      <c r="V60" s="39">
        <v>0.25347222222222221</v>
      </c>
      <c r="W60" s="39">
        <v>0.28611111111111109</v>
      </c>
      <c r="X60" s="39">
        <v>0.27152777777777776</v>
      </c>
      <c r="Y60" s="39">
        <v>0.29236111111111113</v>
      </c>
      <c r="Z60" s="36" t="s">
        <v>91</v>
      </c>
      <c r="AA60" s="36"/>
      <c r="AB60" s="163">
        <v>46070</v>
      </c>
      <c r="AC60" s="268"/>
    </row>
    <row r="61" spans="1:29" s="28" customFormat="1" x14ac:dyDescent="0.25">
      <c r="A61" s="35">
        <v>45706</v>
      </c>
      <c r="B61" s="36" t="s">
        <v>29</v>
      </c>
      <c r="C61" s="36" t="s">
        <v>48</v>
      </c>
      <c r="D61" s="36">
        <v>42</v>
      </c>
      <c r="E61" s="39">
        <v>0.22916666666666666</v>
      </c>
      <c r="F61" s="39">
        <v>0.22083333333333333</v>
      </c>
      <c r="G61" s="39">
        <v>0.2986111111111111</v>
      </c>
      <c r="H61" s="39">
        <v>0.27708333333333335</v>
      </c>
      <c r="I61" s="4">
        <f t="shared" si="0"/>
        <v>5.6250000000000022E-2</v>
      </c>
      <c r="J61" s="39">
        <v>0</v>
      </c>
      <c r="K61" s="36">
        <v>0</v>
      </c>
      <c r="L61" s="36" t="s">
        <v>33</v>
      </c>
      <c r="M61" s="36">
        <v>11</v>
      </c>
      <c r="N61" s="39">
        <v>0</v>
      </c>
      <c r="O61" s="39">
        <v>0</v>
      </c>
      <c r="P61" s="36">
        <v>0</v>
      </c>
      <c r="Q61" s="36">
        <v>0</v>
      </c>
      <c r="R61" s="39">
        <v>0.22500000000000001</v>
      </c>
      <c r="S61" s="39">
        <v>0.26527777777777778</v>
      </c>
      <c r="T61" s="39">
        <v>0.22569444444444445</v>
      </c>
      <c r="U61" s="39">
        <v>0.24513888888888888</v>
      </c>
      <c r="V61" s="39">
        <v>0.2326388888888889</v>
      </c>
      <c r="W61" s="39">
        <v>0.26527777777777778</v>
      </c>
      <c r="X61" s="39">
        <v>0.27152777777777776</v>
      </c>
      <c r="Y61" s="39">
        <v>0.27291666666666664</v>
      </c>
      <c r="Z61" s="36" t="s">
        <v>55</v>
      </c>
      <c r="AA61" s="36"/>
      <c r="AB61" s="163">
        <v>46071</v>
      </c>
      <c r="AC61" s="268"/>
    </row>
    <row r="62" spans="1:29" s="28" customFormat="1" x14ac:dyDescent="0.25">
      <c r="A62" s="35">
        <v>45707</v>
      </c>
      <c r="B62" s="36" t="s">
        <v>92</v>
      </c>
      <c r="C62" s="36" t="s">
        <v>35</v>
      </c>
      <c r="D62" s="36">
        <v>44</v>
      </c>
      <c r="E62" s="39">
        <v>0.17708333333333334</v>
      </c>
      <c r="F62" s="39">
        <v>0.20416666666666666</v>
      </c>
      <c r="G62" s="39"/>
      <c r="H62" s="39"/>
      <c r="I62" s="4"/>
      <c r="J62" s="36"/>
      <c r="K62" s="36"/>
      <c r="L62" s="36" t="s">
        <v>93</v>
      </c>
      <c r="M62" s="36">
        <v>11</v>
      </c>
      <c r="N62" s="39">
        <v>0</v>
      </c>
      <c r="O62" s="39">
        <v>0</v>
      </c>
      <c r="P62" s="36">
        <v>0</v>
      </c>
      <c r="Q62" s="36">
        <v>0</v>
      </c>
      <c r="R62" s="39">
        <v>0.21041666666666667</v>
      </c>
      <c r="S62" s="39"/>
      <c r="T62" s="39">
        <v>0.21249999999999999</v>
      </c>
      <c r="U62" s="39">
        <v>0.24374999999999999</v>
      </c>
      <c r="V62" s="37" t="s">
        <v>94</v>
      </c>
      <c r="W62" s="37" t="s">
        <v>94</v>
      </c>
      <c r="X62" s="39">
        <v>0.22847222222222222</v>
      </c>
      <c r="Y62" s="37"/>
      <c r="Z62" s="36" t="s">
        <v>95</v>
      </c>
      <c r="AA62" s="36"/>
      <c r="AB62" s="163">
        <v>46072</v>
      </c>
      <c r="AC62" s="268"/>
    </row>
    <row r="63" spans="1:29" s="28" customFormat="1" x14ac:dyDescent="0.25">
      <c r="A63" s="35">
        <v>45708</v>
      </c>
      <c r="B63" s="36" t="s">
        <v>96</v>
      </c>
      <c r="C63" s="36" t="s">
        <v>39</v>
      </c>
      <c r="D63" s="36">
        <v>44</v>
      </c>
      <c r="E63" s="39">
        <v>0.22916666666666666</v>
      </c>
      <c r="F63" s="39">
        <v>0.24791666666666667</v>
      </c>
      <c r="G63" s="39">
        <v>0.2986111111111111</v>
      </c>
      <c r="H63" s="39">
        <v>0.34027777777777779</v>
      </c>
      <c r="I63" s="4">
        <f t="shared" si="0"/>
        <v>9.2361111111111116E-2</v>
      </c>
      <c r="J63" s="65">
        <v>4.1666666666666664E-2</v>
      </c>
      <c r="K63" s="36" t="s">
        <v>50</v>
      </c>
      <c r="L63" s="36" t="s">
        <v>80</v>
      </c>
      <c r="M63" s="36">
        <v>11</v>
      </c>
      <c r="N63" s="39">
        <v>0</v>
      </c>
      <c r="O63" s="39">
        <v>0</v>
      </c>
      <c r="P63" s="36">
        <v>0</v>
      </c>
      <c r="Q63" s="36">
        <v>0</v>
      </c>
      <c r="R63" s="39">
        <v>0.24930555555555556</v>
      </c>
      <c r="S63" s="39">
        <v>0.3298611111111111</v>
      </c>
      <c r="T63" s="39">
        <v>0.25277777777777777</v>
      </c>
      <c r="U63" s="39">
        <v>0.2722222222222222</v>
      </c>
      <c r="V63" s="39">
        <v>0.25833333333333336</v>
      </c>
      <c r="W63" s="39">
        <v>0.3298611111111111</v>
      </c>
      <c r="X63" s="39">
        <v>0.30555555555555558</v>
      </c>
      <c r="Y63" s="39">
        <v>0.34027777777777779</v>
      </c>
      <c r="Z63" s="36" t="s">
        <v>97</v>
      </c>
      <c r="AA63" s="36"/>
      <c r="AB63" s="163">
        <v>46073</v>
      </c>
      <c r="AC63" s="268"/>
    </row>
    <row r="64" spans="1:29" s="28" customFormat="1" x14ac:dyDescent="0.25">
      <c r="A64" s="35">
        <v>46073</v>
      </c>
      <c r="B64" s="36" t="s">
        <v>98</v>
      </c>
      <c r="C64" s="36" t="s">
        <v>35</v>
      </c>
      <c r="D64" s="36">
        <v>46</v>
      </c>
      <c r="E64" s="39"/>
      <c r="F64" s="39"/>
      <c r="G64" s="39"/>
      <c r="H64" s="39">
        <v>0.37847222222222221</v>
      </c>
      <c r="I64" s="4"/>
      <c r="J64" s="130">
        <v>1.0555555555555556</v>
      </c>
      <c r="K64" s="36">
        <v>95</v>
      </c>
      <c r="L64" s="36" t="s">
        <v>99</v>
      </c>
      <c r="M64" s="36">
        <v>11</v>
      </c>
      <c r="N64" s="39">
        <v>0.22500000000000001</v>
      </c>
      <c r="O64" s="39">
        <v>0.37847222222222221</v>
      </c>
      <c r="P64" s="36">
        <v>0</v>
      </c>
      <c r="Q64" s="36">
        <v>0</v>
      </c>
      <c r="R64" s="39">
        <v>0.2326388888888889</v>
      </c>
      <c r="S64" s="39">
        <v>0.37847222222222221</v>
      </c>
      <c r="T64" s="39" t="s">
        <v>94</v>
      </c>
      <c r="U64" s="39" t="s">
        <v>94</v>
      </c>
      <c r="V64" s="39" t="s">
        <v>100</v>
      </c>
      <c r="W64" s="39">
        <v>0.3298611111111111</v>
      </c>
      <c r="X64" s="39" t="s">
        <v>94</v>
      </c>
      <c r="Y64" s="39">
        <v>0.37569444444444444</v>
      </c>
      <c r="Z64" s="36" t="s">
        <v>97</v>
      </c>
      <c r="AA64" s="36"/>
      <c r="AB64" s="163">
        <v>46073</v>
      </c>
      <c r="AC64" s="268"/>
    </row>
    <row r="65" spans="1:29" s="28" customFormat="1" x14ac:dyDescent="0.25">
      <c r="A65" s="35">
        <v>45709</v>
      </c>
      <c r="B65" s="36" t="s">
        <v>96</v>
      </c>
      <c r="C65" s="36" t="s">
        <v>46</v>
      </c>
      <c r="D65" s="36">
        <v>44</v>
      </c>
      <c r="E65" s="39">
        <v>0.27083333333333331</v>
      </c>
      <c r="F65" s="39">
        <v>0.2722222222222222</v>
      </c>
      <c r="G65" s="39">
        <v>0.33333333333333331</v>
      </c>
      <c r="H65" s="39">
        <v>0.33055555555555555</v>
      </c>
      <c r="I65" s="4">
        <f t="shared" si="0"/>
        <v>5.8333333333333348E-2</v>
      </c>
      <c r="J65" s="39">
        <v>0</v>
      </c>
      <c r="K65" s="36">
        <v>0</v>
      </c>
      <c r="L65" s="36" t="s">
        <v>33</v>
      </c>
      <c r="M65" s="36">
        <v>11</v>
      </c>
      <c r="N65" s="39">
        <v>0</v>
      </c>
      <c r="O65" s="39">
        <v>0</v>
      </c>
      <c r="P65" s="36">
        <v>0</v>
      </c>
      <c r="Q65" s="36">
        <v>0</v>
      </c>
      <c r="R65" s="39">
        <v>0.27500000000000002</v>
      </c>
      <c r="S65" s="39">
        <v>0.32500000000000001</v>
      </c>
      <c r="T65" s="125">
        <v>0.27638888888888891</v>
      </c>
      <c r="U65" s="65">
        <v>0.29305555555555557</v>
      </c>
      <c r="V65" s="65">
        <v>0.29375000000000001</v>
      </c>
      <c r="W65" s="65">
        <v>0.32430555555555557</v>
      </c>
      <c r="X65" s="65">
        <v>0.2986111111111111</v>
      </c>
      <c r="Y65" s="65">
        <v>0.32708333333333334</v>
      </c>
      <c r="Z65" s="36" t="s">
        <v>101</v>
      </c>
      <c r="AA65" s="36"/>
      <c r="AB65" s="163">
        <v>46074</v>
      </c>
      <c r="AC65" s="268"/>
    </row>
    <row r="66" spans="1:29" x14ac:dyDescent="0.25">
      <c r="A66" s="35">
        <v>45709</v>
      </c>
      <c r="B66" s="3" t="s">
        <v>36</v>
      </c>
      <c r="C66" s="3" t="s">
        <v>102</v>
      </c>
      <c r="D66" s="26">
        <v>44</v>
      </c>
      <c r="E66" s="27">
        <v>0.46527777777777779</v>
      </c>
      <c r="F66" s="27">
        <v>0.44444444444444442</v>
      </c>
      <c r="G66" s="27">
        <v>0.54861111111111116</v>
      </c>
      <c r="H66" s="27">
        <v>0.63749999999999996</v>
      </c>
      <c r="I66" s="4">
        <f t="shared" ref="I66" si="2">H66-F66</f>
        <v>0.19305555555555554</v>
      </c>
      <c r="J66" s="4">
        <v>8.4027777777777785E-2</v>
      </c>
      <c r="K66" s="3" t="s">
        <v>103</v>
      </c>
      <c r="L66" s="26" t="s">
        <v>104</v>
      </c>
      <c r="M66" s="26"/>
      <c r="N66" s="27"/>
      <c r="O66" s="27"/>
      <c r="P66" s="3"/>
      <c r="Q66" s="3"/>
      <c r="R66" s="27"/>
      <c r="S66" s="27"/>
      <c r="T66" s="27"/>
      <c r="U66" s="27"/>
      <c r="V66" s="27"/>
      <c r="W66" s="27"/>
      <c r="X66" s="27"/>
      <c r="Y66" s="27"/>
      <c r="Z66" s="3"/>
      <c r="AA66" s="26"/>
      <c r="AB66" s="161">
        <v>46053</v>
      </c>
    </row>
    <row r="67" spans="1:29" s="28" customFormat="1" x14ac:dyDescent="0.25">
      <c r="A67" s="35">
        <v>45710</v>
      </c>
      <c r="B67" s="36" t="s">
        <v>44</v>
      </c>
      <c r="C67" s="36" t="s">
        <v>39</v>
      </c>
      <c r="D67" s="36">
        <v>44</v>
      </c>
      <c r="E67" s="39">
        <v>0.2638888888888889</v>
      </c>
      <c r="F67" s="39">
        <v>0.3034722222222222</v>
      </c>
      <c r="G67" s="39">
        <v>0.3263888888888889</v>
      </c>
      <c r="H67" s="39">
        <v>0.35694444444444445</v>
      </c>
      <c r="I67" s="4">
        <f t="shared" si="0"/>
        <v>5.3472222222222254E-2</v>
      </c>
      <c r="J67" s="39">
        <v>3.0555555555555555E-2</v>
      </c>
      <c r="K67" s="36" t="s">
        <v>50</v>
      </c>
      <c r="L67" s="246" t="s">
        <v>73</v>
      </c>
      <c r="M67" s="36">
        <v>11</v>
      </c>
      <c r="N67" s="65">
        <v>0</v>
      </c>
      <c r="O67" s="65">
        <v>0</v>
      </c>
      <c r="P67" s="36">
        <v>0</v>
      </c>
      <c r="Q67" s="36">
        <v>0</v>
      </c>
      <c r="R67" s="39">
        <v>0.30486111111111114</v>
      </c>
      <c r="S67" s="39">
        <v>0.34930555555555554</v>
      </c>
      <c r="T67" s="39">
        <v>0.30555555555555558</v>
      </c>
      <c r="U67" s="39">
        <v>0.33055555555555555</v>
      </c>
      <c r="V67" s="39">
        <v>0.33124999999999999</v>
      </c>
      <c r="W67" s="39">
        <v>0.34722222222222221</v>
      </c>
      <c r="X67" s="39">
        <v>0.23402777777777778</v>
      </c>
      <c r="Y67" s="39">
        <v>0.35416666666666669</v>
      </c>
      <c r="Z67" s="36" t="s">
        <v>105</v>
      </c>
      <c r="AA67" s="37"/>
      <c r="AB67" s="163">
        <v>46075</v>
      </c>
      <c r="AC67" s="268"/>
    </row>
    <row r="68" spans="1:29" s="28" customFormat="1" x14ac:dyDescent="0.25">
      <c r="A68" s="35">
        <v>45711</v>
      </c>
      <c r="B68" s="36" t="s">
        <v>96</v>
      </c>
      <c r="C68" s="36" t="s">
        <v>46</v>
      </c>
      <c r="D68" s="37">
        <v>44</v>
      </c>
      <c r="E68" s="39">
        <v>0.18055555555555555</v>
      </c>
      <c r="F68" s="39">
        <v>0.19027777777777777</v>
      </c>
      <c r="G68" s="39">
        <v>0.24305555555555555</v>
      </c>
      <c r="H68" s="39">
        <v>0.24305555555555555</v>
      </c>
      <c r="I68" s="4">
        <f t="shared" si="0"/>
        <v>5.2777777777777785E-2</v>
      </c>
      <c r="J68" s="36">
        <v>0</v>
      </c>
      <c r="K68" s="36">
        <v>0</v>
      </c>
      <c r="L68" s="36" t="s">
        <v>33</v>
      </c>
      <c r="M68" s="36">
        <v>11</v>
      </c>
      <c r="N68" s="39">
        <v>0</v>
      </c>
      <c r="O68" s="39">
        <v>0</v>
      </c>
      <c r="P68" s="36">
        <v>0</v>
      </c>
      <c r="Q68" s="36">
        <v>0</v>
      </c>
      <c r="R68" s="65">
        <v>0.17916666666666667</v>
      </c>
      <c r="S68" s="65">
        <v>0.21944444444444444</v>
      </c>
      <c r="T68" s="65">
        <v>0.18055555555555555</v>
      </c>
      <c r="U68" s="65">
        <v>0.1986111111111111</v>
      </c>
      <c r="V68" s="65">
        <v>0.19930555555555557</v>
      </c>
      <c r="W68" s="65">
        <v>0.21736111111111112</v>
      </c>
      <c r="X68" s="65"/>
      <c r="Y68" s="65">
        <v>0.22708333333333333</v>
      </c>
      <c r="Z68" s="36" t="s">
        <v>101</v>
      </c>
      <c r="AA68" s="37"/>
      <c r="AB68" s="163">
        <v>46076</v>
      </c>
      <c r="AC68" s="268"/>
    </row>
    <row r="69" spans="1:29" s="28" customFormat="1" x14ac:dyDescent="0.25">
      <c r="A69" s="35">
        <v>45712</v>
      </c>
      <c r="B69" s="36" t="s">
        <v>106</v>
      </c>
      <c r="C69" s="3" t="s">
        <v>39</v>
      </c>
      <c r="D69" s="36">
        <v>41</v>
      </c>
      <c r="E69" s="39">
        <v>0.18055555555555555</v>
      </c>
      <c r="F69" s="39">
        <v>0.34097222222222223</v>
      </c>
      <c r="G69" s="39"/>
      <c r="H69" s="39"/>
      <c r="I69" s="4">
        <f t="shared" si="0"/>
        <v>-0.34097222222222223</v>
      </c>
      <c r="J69" s="36"/>
      <c r="K69" s="36"/>
      <c r="L69" s="134" t="s">
        <v>93</v>
      </c>
      <c r="M69" s="36">
        <v>11</v>
      </c>
      <c r="N69" s="36">
        <v>0</v>
      </c>
      <c r="O69" s="36">
        <v>0</v>
      </c>
      <c r="P69" s="36">
        <v>0</v>
      </c>
      <c r="Q69" s="36">
        <v>0</v>
      </c>
      <c r="R69" s="39">
        <v>0.34236111111111112</v>
      </c>
      <c r="S69" s="39">
        <v>0.38124999999999998</v>
      </c>
      <c r="T69" s="39">
        <v>0.34305555555555556</v>
      </c>
      <c r="U69" s="39">
        <v>0.38124999999999998</v>
      </c>
      <c r="V69" s="39" t="s">
        <v>94</v>
      </c>
      <c r="W69" s="39" t="s">
        <v>94</v>
      </c>
      <c r="X69" s="39">
        <v>0.36666666666666664</v>
      </c>
      <c r="Y69" s="39">
        <v>0.38819444444444445</v>
      </c>
      <c r="Z69" s="36" t="s">
        <v>97</v>
      </c>
      <c r="AA69" s="36"/>
      <c r="AB69" s="163">
        <v>46077</v>
      </c>
      <c r="AC69" s="268"/>
    </row>
    <row r="70" spans="1:29" s="28" customFormat="1" x14ac:dyDescent="0.25">
      <c r="A70" s="35">
        <v>45713</v>
      </c>
      <c r="B70" s="36" t="s">
        <v>107</v>
      </c>
      <c r="C70" s="36" t="s">
        <v>39</v>
      </c>
      <c r="D70" s="36">
        <v>43</v>
      </c>
      <c r="E70" s="39"/>
      <c r="F70" s="39"/>
      <c r="G70" s="39">
        <v>0.125</v>
      </c>
      <c r="H70" s="39">
        <v>0.12569444444444444</v>
      </c>
      <c r="I70" s="4">
        <f t="shared" si="0"/>
        <v>0.12569444444444444</v>
      </c>
      <c r="J70" s="39">
        <v>0.83263888888888893</v>
      </c>
      <c r="K70" s="36" t="s">
        <v>50</v>
      </c>
      <c r="L70" s="36" t="s">
        <v>80</v>
      </c>
      <c r="M70" s="36">
        <v>11</v>
      </c>
      <c r="N70" s="65">
        <v>0</v>
      </c>
      <c r="O70" s="65">
        <v>0</v>
      </c>
      <c r="P70" s="36">
        <v>0</v>
      </c>
      <c r="Q70" s="39">
        <v>6.25E-2</v>
      </c>
      <c r="R70" s="39">
        <v>6.25E-2</v>
      </c>
      <c r="S70" s="39">
        <v>9.0972222222222218E-2</v>
      </c>
      <c r="T70" s="39" t="s">
        <v>94</v>
      </c>
      <c r="U70" s="39" t="s">
        <v>94</v>
      </c>
      <c r="V70" s="39">
        <v>7.2916666666666671E-2</v>
      </c>
      <c r="W70" s="39">
        <v>9.0972222222222218E-2</v>
      </c>
      <c r="X70" s="39" t="s">
        <v>94</v>
      </c>
      <c r="Y70" s="39">
        <v>0.12291666666666666</v>
      </c>
      <c r="Z70" s="36" t="s">
        <v>97</v>
      </c>
      <c r="AA70" s="36"/>
      <c r="AB70" s="163">
        <v>46078</v>
      </c>
      <c r="AC70" s="268"/>
    </row>
    <row r="71" spans="1:29" s="28" customFormat="1" x14ac:dyDescent="0.25">
      <c r="A71" s="35">
        <v>46078</v>
      </c>
      <c r="B71" s="36" t="s">
        <v>96</v>
      </c>
      <c r="C71" s="36" t="s">
        <v>48</v>
      </c>
      <c r="D71" s="36">
        <v>44</v>
      </c>
      <c r="E71" s="39">
        <v>0.22916666666666666</v>
      </c>
      <c r="F71" s="39">
        <v>0.21805555555555556</v>
      </c>
      <c r="G71" s="39">
        <v>0.2986111111111111</v>
      </c>
      <c r="H71" s="39">
        <v>0.27083333333333331</v>
      </c>
      <c r="I71" s="4">
        <v>5.2777777777777778E-2</v>
      </c>
      <c r="J71" s="39">
        <v>0</v>
      </c>
      <c r="K71" s="36">
        <v>0</v>
      </c>
      <c r="L71" s="36" t="s">
        <v>33</v>
      </c>
      <c r="M71" s="36">
        <v>11</v>
      </c>
      <c r="N71" s="65">
        <v>0</v>
      </c>
      <c r="O71" s="65">
        <v>0</v>
      </c>
      <c r="P71" s="36">
        <v>0</v>
      </c>
      <c r="Q71" s="39">
        <v>0</v>
      </c>
      <c r="R71" s="39">
        <v>0.21944444444444444</v>
      </c>
      <c r="S71" s="39">
        <v>0.25694444444444442</v>
      </c>
      <c r="T71" s="39">
        <v>0.22083333333333333</v>
      </c>
      <c r="U71" s="39">
        <v>0.23680555555555555</v>
      </c>
      <c r="V71" s="39">
        <v>0.23680555555555555</v>
      </c>
      <c r="W71" s="39">
        <v>0.25694444444444442</v>
      </c>
      <c r="X71" s="39">
        <v>0.23333333333333334</v>
      </c>
      <c r="Y71" s="39">
        <v>0.27083333333333331</v>
      </c>
      <c r="Z71" s="36" t="s">
        <v>97</v>
      </c>
      <c r="AA71" s="36"/>
      <c r="AB71" s="163">
        <v>46078</v>
      </c>
      <c r="AC71" s="268"/>
    </row>
    <row r="72" spans="1:29" s="28" customFormat="1" x14ac:dyDescent="0.25">
      <c r="A72" s="35">
        <v>45714</v>
      </c>
      <c r="B72" s="36" t="s">
        <v>29</v>
      </c>
      <c r="C72" s="36" t="s">
        <v>35</v>
      </c>
      <c r="D72" s="36">
        <v>44</v>
      </c>
      <c r="E72" s="39">
        <v>0.22916666666666666</v>
      </c>
      <c r="F72" s="39">
        <v>0.22222222222222221</v>
      </c>
      <c r="G72" s="39">
        <v>0.2986111111111111</v>
      </c>
      <c r="H72" s="39">
        <v>0.27430555555555558</v>
      </c>
      <c r="I72" s="4">
        <f t="shared" si="0"/>
        <v>5.208333333333337E-2</v>
      </c>
      <c r="J72" s="39">
        <v>0</v>
      </c>
      <c r="K72" s="36">
        <v>0</v>
      </c>
      <c r="L72" s="36" t="s">
        <v>33</v>
      </c>
      <c r="M72" s="36">
        <v>11</v>
      </c>
      <c r="N72" s="65">
        <v>0</v>
      </c>
      <c r="O72" s="65">
        <v>0</v>
      </c>
      <c r="P72" s="36">
        <v>0</v>
      </c>
      <c r="Q72" s="36">
        <v>0</v>
      </c>
      <c r="R72" s="39">
        <v>0.22430555555555556</v>
      </c>
      <c r="S72" s="39">
        <v>0.25694444444444442</v>
      </c>
      <c r="T72" s="39">
        <v>0.22500000000000001</v>
      </c>
      <c r="U72" s="39">
        <v>0.23472222222222222</v>
      </c>
      <c r="V72" s="39">
        <v>0.2326388888888889</v>
      </c>
      <c r="W72" s="39">
        <v>0.25694444444444442</v>
      </c>
      <c r="X72" s="39">
        <v>0.24374999999999999</v>
      </c>
      <c r="Y72" s="39">
        <v>0.26874999999999999</v>
      </c>
      <c r="Z72" s="36" t="s">
        <v>105</v>
      </c>
      <c r="AA72" s="36"/>
      <c r="AB72" s="163">
        <v>46079</v>
      </c>
      <c r="AC72" s="268"/>
    </row>
    <row r="73" spans="1:29" s="28" customFormat="1" x14ac:dyDescent="0.25">
      <c r="A73" s="35">
        <v>45715</v>
      </c>
      <c r="B73" s="36" t="s">
        <v>29</v>
      </c>
      <c r="C73" s="36" t="s">
        <v>39</v>
      </c>
      <c r="D73" s="36">
        <v>44</v>
      </c>
      <c r="E73" s="39">
        <v>0.22916666666666666</v>
      </c>
      <c r="F73" s="39">
        <v>0.23541666666666666</v>
      </c>
      <c r="G73" s="39">
        <v>0.2986111111111111</v>
      </c>
      <c r="H73" s="39">
        <v>0.29652777777777778</v>
      </c>
      <c r="I73" s="4">
        <f t="shared" si="0"/>
        <v>6.1111111111111116E-2</v>
      </c>
      <c r="J73" s="39">
        <v>0</v>
      </c>
      <c r="K73" s="36">
        <v>0</v>
      </c>
      <c r="L73" s="36" t="s">
        <v>33</v>
      </c>
      <c r="M73" s="36">
        <v>11</v>
      </c>
      <c r="N73" s="65">
        <v>0</v>
      </c>
      <c r="O73" s="65">
        <v>0</v>
      </c>
      <c r="P73" s="36">
        <v>0</v>
      </c>
      <c r="Q73" s="36">
        <v>0</v>
      </c>
      <c r="R73" s="39">
        <v>0.23680555555555555</v>
      </c>
      <c r="S73" s="39">
        <v>0.28333333333333333</v>
      </c>
      <c r="T73" s="39">
        <v>0.23819444444444443</v>
      </c>
      <c r="U73" s="39">
        <v>0.2590277777777778</v>
      </c>
      <c r="V73" s="39">
        <v>0.25972222222222224</v>
      </c>
      <c r="W73" s="39">
        <v>0.28194444444444444</v>
      </c>
      <c r="X73" s="39">
        <v>0.25347222222222221</v>
      </c>
      <c r="Y73" s="39">
        <v>0.29444444444444445</v>
      </c>
      <c r="Z73" s="36" t="s">
        <v>101</v>
      </c>
      <c r="AA73" s="36"/>
      <c r="AB73" s="163">
        <v>46080</v>
      </c>
      <c r="AC73" s="268"/>
    </row>
    <row r="74" spans="1:29" s="28" customFormat="1" x14ac:dyDescent="0.25">
      <c r="A74" s="35">
        <v>46081</v>
      </c>
      <c r="B74" s="36" t="s">
        <v>36</v>
      </c>
      <c r="C74" s="36" t="s">
        <v>108</v>
      </c>
      <c r="D74" s="36">
        <v>45</v>
      </c>
      <c r="E74" s="39">
        <v>0.46527777777777779</v>
      </c>
      <c r="F74" s="39">
        <v>0.46180555555555558</v>
      </c>
      <c r="G74" s="39">
        <v>0.54861111111111116</v>
      </c>
      <c r="H74" s="39">
        <v>0.55555555555555558</v>
      </c>
      <c r="I74" s="4">
        <v>9.0277777777777776E-2</v>
      </c>
      <c r="J74" s="39">
        <v>6.9444444444444441E-3</v>
      </c>
      <c r="K74" s="36" t="s">
        <v>85</v>
      </c>
      <c r="L74" s="36" t="s">
        <v>85</v>
      </c>
      <c r="M74" s="36"/>
      <c r="N74" s="65"/>
      <c r="O74" s="65"/>
      <c r="P74" s="36"/>
      <c r="Q74" s="36"/>
      <c r="R74" s="39"/>
      <c r="S74" s="39"/>
      <c r="T74" s="39"/>
      <c r="U74" s="39"/>
      <c r="V74" s="39"/>
      <c r="W74" s="39"/>
      <c r="X74" s="39"/>
      <c r="Y74" s="39"/>
      <c r="Z74" s="36"/>
      <c r="AA74" s="36"/>
      <c r="AB74" s="163"/>
      <c r="AC74" s="268"/>
    </row>
    <row r="75" spans="1:29" s="28" customFormat="1" x14ac:dyDescent="0.25">
      <c r="A75" s="35">
        <v>45716</v>
      </c>
      <c r="B75" s="36" t="s">
        <v>29</v>
      </c>
      <c r="C75" s="36" t="s">
        <v>38</v>
      </c>
      <c r="D75" s="36">
        <v>43</v>
      </c>
      <c r="E75" s="39">
        <v>0.27083333333333331</v>
      </c>
      <c r="F75" s="39">
        <v>0.29375000000000001</v>
      </c>
      <c r="G75" s="39">
        <v>0.33333333333333331</v>
      </c>
      <c r="H75" s="39">
        <v>0.34236111111111112</v>
      </c>
      <c r="I75" s="4">
        <f t="shared" si="0"/>
        <v>4.8611111111111105E-2</v>
      </c>
      <c r="J75" s="36"/>
      <c r="K75" s="36" t="s">
        <v>50</v>
      </c>
      <c r="L75" s="37" t="s">
        <v>80</v>
      </c>
      <c r="M75" s="36">
        <v>11</v>
      </c>
      <c r="N75" s="65">
        <v>0</v>
      </c>
      <c r="O75" s="65">
        <v>0</v>
      </c>
      <c r="P75" s="36">
        <v>0</v>
      </c>
      <c r="Q75" s="36">
        <v>0</v>
      </c>
      <c r="R75" s="39">
        <v>0.29652777777777778</v>
      </c>
      <c r="S75" s="39">
        <v>0.33750000000000002</v>
      </c>
      <c r="T75" s="39">
        <v>0.29791666666666666</v>
      </c>
      <c r="U75" s="39">
        <v>0.30763888888888891</v>
      </c>
      <c r="V75" s="39">
        <v>0.30763888888888891</v>
      </c>
      <c r="W75" s="39">
        <v>0.33750000000000002</v>
      </c>
      <c r="X75" s="39">
        <v>0.31527777777777777</v>
      </c>
      <c r="Y75" s="39">
        <v>0.34236111111111112</v>
      </c>
      <c r="Z75" s="36" t="s">
        <v>90</v>
      </c>
      <c r="AA75" s="37"/>
      <c r="AB75" s="163">
        <v>46081</v>
      </c>
      <c r="AC75" s="268"/>
    </row>
    <row r="76" spans="1:29" s="28" customFormat="1" x14ac:dyDescent="0.25">
      <c r="A76" s="35">
        <v>45717</v>
      </c>
      <c r="B76" s="36" t="s">
        <v>44</v>
      </c>
      <c r="C76" s="36" t="s">
        <v>48</v>
      </c>
      <c r="D76" s="36">
        <v>44</v>
      </c>
      <c r="E76" s="39">
        <v>0.2326388888888889</v>
      </c>
      <c r="F76" s="39">
        <v>0.2326388888888889</v>
      </c>
      <c r="G76" s="39">
        <v>0.2986111111111111</v>
      </c>
      <c r="H76" s="39">
        <v>0.26944444444444443</v>
      </c>
      <c r="I76" s="4">
        <f t="shared" si="0"/>
        <v>3.6805555555555536E-2</v>
      </c>
      <c r="J76" s="36">
        <v>0</v>
      </c>
      <c r="K76" s="36">
        <v>0</v>
      </c>
      <c r="L76" s="36" t="s">
        <v>33</v>
      </c>
      <c r="M76" s="36">
        <v>11</v>
      </c>
      <c r="N76" s="65">
        <v>0</v>
      </c>
      <c r="O76" s="65">
        <v>0</v>
      </c>
      <c r="P76" s="36">
        <v>0</v>
      </c>
      <c r="Q76" s="36">
        <v>0</v>
      </c>
      <c r="R76" s="130">
        <v>0.23472222222222222</v>
      </c>
      <c r="S76" s="39">
        <v>0.27500000000000002</v>
      </c>
      <c r="T76" s="39">
        <v>0.23680555555555555</v>
      </c>
      <c r="U76" s="39">
        <v>0.25555555555555554</v>
      </c>
      <c r="V76" s="39">
        <v>0.25</v>
      </c>
      <c r="W76" s="39">
        <v>0.27500000000000002</v>
      </c>
      <c r="X76" s="39"/>
      <c r="Y76" s="39">
        <v>0.29097222222222224</v>
      </c>
      <c r="Z76" s="36" t="s">
        <v>90</v>
      </c>
      <c r="AA76" s="36"/>
      <c r="AB76" s="163">
        <v>46082</v>
      </c>
      <c r="AC76" s="268"/>
    </row>
    <row r="77" spans="1:29" s="28" customFormat="1" x14ac:dyDescent="0.25">
      <c r="A77" s="35">
        <v>45718</v>
      </c>
      <c r="B77" s="36" t="s">
        <v>29</v>
      </c>
      <c r="C77" s="36" t="s">
        <v>39</v>
      </c>
      <c r="D77" s="36">
        <v>43</v>
      </c>
      <c r="E77" s="39">
        <v>0.1736111111111111</v>
      </c>
      <c r="F77" s="39">
        <v>0.1701388888888889</v>
      </c>
      <c r="G77" s="39">
        <v>0.22916666666666666</v>
      </c>
      <c r="H77" s="39">
        <v>0.22777777777777777</v>
      </c>
      <c r="I77" s="4">
        <f t="shared" si="0"/>
        <v>5.7638888888888878E-2</v>
      </c>
      <c r="J77" s="36">
        <v>0</v>
      </c>
      <c r="K77" s="36">
        <v>0</v>
      </c>
      <c r="L77" s="36" t="s">
        <v>33</v>
      </c>
      <c r="M77" s="36">
        <v>11</v>
      </c>
      <c r="N77" s="37">
        <v>0</v>
      </c>
      <c r="O77" s="37">
        <v>0</v>
      </c>
      <c r="P77" s="36">
        <v>0</v>
      </c>
      <c r="Q77" s="36">
        <v>0</v>
      </c>
      <c r="R77" s="65">
        <v>0.17152777777777778</v>
      </c>
      <c r="S77" s="39">
        <v>0.22152777777777777</v>
      </c>
      <c r="T77" s="39">
        <v>0.17569444444444443</v>
      </c>
      <c r="U77" s="39">
        <v>0.19236111111111112</v>
      </c>
      <c r="V77" s="39">
        <v>0.19375000000000001</v>
      </c>
      <c r="W77" s="39">
        <v>0.22152777777777777</v>
      </c>
      <c r="X77" s="36"/>
      <c r="Y77" s="39">
        <v>0.22777777777777777</v>
      </c>
      <c r="Z77" s="36" t="s">
        <v>97</v>
      </c>
      <c r="AA77" s="37"/>
      <c r="AB77" s="163">
        <v>46083</v>
      </c>
      <c r="AC77" s="268"/>
    </row>
    <row r="78" spans="1:29" s="28" customFormat="1" x14ac:dyDescent="0.25">
      <c r="A78" s="35">
        <v>45719</v>
      </c>
      <c r="B78" s="36" t="s">
        <v>29</v>
      </c>
      <c r="C78" s="36" t="s">
        <v>35</v>
      </c>
      <c r="D78" s="36">
        <v>42</v>
      </c>
      <c r="E78" s="39">
        <v>0.22916666666666666</v>
      </c>
      <c r="F78" s="39">
        <v>0.22847222222222222</v>
      </c>
      <c r="G78" s="39">
        <v>0.2986111111111111</v>
      </c>
      <c r="H78" s="39">
        <v>0.29652777777777778</v>
      </c>
      <c r="I78" s="4">
        <f t="shared" si="0"/>
        <v>6.8055555555555564E-2</v>
      </c>
      <c r="J78" s="36">
        <v>0</v>
      </c>
      <c r="K78" s="36">
        <v>0</v>
      </c>
      <c r="L78" s="36" t="s">
        <v>33</v>
      </c>
      <c r="M78" s="36">
        <v>12</v>
      </c>
      <c r="N78" s="65">
        <v>0</v>
      </c>
      <c r="O78" s="65">
        <v>0</v>
      </c>
      <c r="P78" s="36">
        <v>0</v>
      </c>
      <c r="Q78" s="36">
        <v>0</v>
      </c>
      <c r="R78" s="65">
        <v>0.2298611111111111</v>
      </c>
      <c r="S78" s="39">
        <v>0.27152777777777776</v>
      </c>
      <c r="T78" s="39">
        <v>0.23055555555555557</v>
      </c>
      <c r="U78" s="39">
        <v>0.24791666666666667</v>
      </c>
      <c r="V78" s="39">
        <v>0.25138888888888888</v>
      </c>
      <c r="W78" s="39">
        <v>0.26874999999999999</v>
      </c>
      <c r="X78" s="39">
        <v>0.24722222222222223</v>
      </c>
      <c r="Y78" s="39">
        <v>0.29375000000000001</v>
      </c>
      <c r="Z78" s="36" t="s">
        <v>101</v>
      </c>
      <c r="AA78" s="37"/>
      <c r="AB78" s="163">
        <v>46084</v>
      </c>
      <c r="AC78" s="268"/>
    </row>
    <row r="79" spans="1:29" s="28" customFormat="1" x14ac:dyDescent="0.25">
      <c r="A79" s="35">
        <v>45720</v>
      </c>
      <c r="B79" s="36" t="s">
        <v>29</v>
      </c>
      <c r="C79" s="3" t="s">
        <v>32</v>
      </c>
      <c r="D79" s="36">
        <v>41</v>
      </c>
      <c r="E79" s="39">
        <v>0.22916666666666666</v>
      </c>
      <c r="F79" s="39">
        <v>0.22916666666666666</v>
      </c>
      <c r="G79" s="39">
        <v>0.2986111111111111</v>
      </c>
      <c r="H79" s="39">
        <v>0.28819444444444442</v>
      </c>
      <c r="I79" s="4">
        <f t="shared" si="0"/>
        <v>5.9027777777777762E-2</v>
      </c>
      <c r="J79" s="36">
        <v>0</v>
      </c>
      <c r="K79" s="36">
        <v>0</v>
      </c>
      <c r="L79" s="36" t="s">
        <v>33</v>
      </c>
      <c r="M79" s="36">
        <v>11</v>
      </c>
      <c r="N79" s="65">
        <v>0</v>
      </c>
      <c r="O79" s="65">
        <v>0</v>
      </c>
      <c r="P79" s="36">
        <v>0</v>
      </c>
      <c r="Q79" s="36">
        <v>0</v>
      </c>
      <c r="R79" s="39">
        <v>0.23125000000000001</v>
      </c>
      <c r="S79" s="39">
        <v>0.27361111111111114</v>
      </c>
      <c r="T79" s="39">
        <v>0.23194444444444445</v>
      </c>
      <c r="U79" s="39">
        <v>0.24652777777777779</v>
      </c>
      <c r="V79" s="39">
        <v>0.24722222222222223</v>
      </c>
      <c r="W79" s="39">
        <v>0.2722222222222222</v>
      </c>
      <c r="X79" s="39">
        <v>0.24791666666666667</v>
      </c>
      <c r="Y79" s="39">
        <v>0.28472222222222221</v>
      </c>
      <c r="Z79" s="36" t="s">
        <v>101</v>
      </c>
      <c r="AA79" s="37"/>
      <c r="AB79" s="163">
        <v>46085</v>
      </c>
      <c r="AC79" s="268"/>
    </row>
    <row r="80" spans="1:29" s="28" customFormat="1" x14ac:dyDescent="0.25">
      <c r="A80" s="35">
        <v>45721</v>
      </c>
      <c r="B80" s="36" t="s">
        <v>29</v>
      </c>
      <c r="C80" s="36" t="s">
        <v>48</v>
      </c>
      <c r="D80" s="36">
        <v>44</v>
      </c>
      <c r="E80" s="39">
        <v>0.22916666666666666</v>
      </c>
      <c r="F80" s="39">
        <v>0.20902777777777778</v>
      </c>
      <c r="G80" s="39">
        <v>0.2986111111111111</v>
      </c>
      <c r="H80" s="39">
        <v>0.28749999999999998</v>
      </c>
      <c r="I80" s="4">
        <f t="shared" si="0"/>
        <v>7.8472222222222193E-2</v>
      </c>
      <c r="J80" s="39">
        <v>0</v>
      </c>
      <c r="K80" s="36">
        <v>0</v>
      </c>
      <c r="L80" s="39" t="s">
        <v>33</v>
      </c>
      <c r="M80" s="36">
        <v>11</v>
      </c>
      <c r="N80" s="65">
        <v>0</v>
      </c>
      <c r="O80" s="65">
        <v>0</v>
      </c>
      <c r="P80" s="36">
        <v>0</v>
      </c>
      <c r="Q80" s="36">
        <v>0</v>
      </c>
      <c r="R80" s="39">
        <v>0.21111111111111111</v>
      </c>
      <c r="S80" s="39">
        <v>0.25277777777777777</v>
      </c>
      <c r="T80" s="39">
        <v>0.21319444444444444</v>
      </c>
      <c r="U80" s="39">
        <v>0.23055555555555557</v>
      </c>
      <c r="V80" s="39">
        <v>0.23055555555555557</v>
      </c>
      <c r="W80" s="39">
        <v>0.25277777777777777</v>
      </c>
      <c r="X80" s="39">
        <v>0.24722222222222223</v>
      </c>
      <c r="Y80" s="39">
        <v>0.28333333333333333</v>
      </c>
      <c r="Z80" s="36" t="s">
        <v>97</v>
      </c>
      <c r="AA80" s="36"/>
      <c r="AB80" s="163">
        <v>46086</v>
      </c>
      <c r="AC80" s="268"/>
    </row>
    <row r="81" spans="1:29" s="28" customFormat="1" x14ac:dyDescent="0.25">
      <c r="A81" s="35">
        <v>45722</v>
      </c>
      <c r="B81" s="36" t="s">
        <v>29</v>
      </c>
      <c r="C81" s="36" t="s">
        <v>35</v>
      </c>
      <c r="D81" s="36">
        <v>45</v>
      </c>
      <c r="E81" s="39">
        <v>0.22916666666666666</v>
      </c>
      <c r="F81" s="39">
        <v>0.37777777777777777</v>
      </c>
      <c r="G81" s="39">
        <v>0.2986111111111111</v>
      </c>
      <c r="H81" s="39">
        <v>0.43055555555555558</v>
      </c>
      <c r="I81" s="4">
        <f t="shared" si="0"/>
        <v>5.2777777777777812E-2</v>
      </c>
      <c r="J81" s="39">
        <v>0.13194444444444445</v>
      </c>
      <c r="K81" s="133" t="s">
        <v>82</v>
      </c>
      <c r="L81" s="67" t="s">
        <v>80</v>
      </c>
      <c r="M81" s="36">
        <v>11</v>
      </c>
      <c r="N81" s="65">
        <v>0</v>
      </c>
      <c r="O81" s="65">
        <v>0</v>
      </c>
      <c r="P81" s="36">
        <v>0</v>
      </c>
      <c r="Q81" s="36">
        <v>0</v>
      </c>
      <c r="R81" s="39">
        <v>0.37916666666666665</v>
      </c>
      <c r="S81" s="39">
        <v>0.41875000000000001</v>
      </c>
      <c r="T81" s="39">
        <v>0.37986111111111109</v>
      </c>
      <c r="U81" s="39">
        <v>0.40138888888888891</v>
      </c>
      <c r="V81" s="39">
        <v>0.40208333333333335</v>
      </c>
      <c r="W81" s="39">
        <v>0.41875000000000001</v>
      </c>
      <c r="X81" s="39">
        <v>0.38819444444444445</v>
      </c>
      <c r="Y81" s="39">
        <v>0.42569444444444443</v>
      </c>
      <c r="Z81" s="36" t="s">
        <v>90</v>
      </c>
      <c r="AA81" s="37"/>
      <c r="AB81" s="163">
        <v>46087</v>
      </c>
      <c r="AC81" s="268"/>
    </row>
    <row r="82" spans="1:29" s="28" customFormat="1" x14ac:dyDescent="0.25">
      <c r="A82" s="35">
        <v>45723</v>
      </c>
      <c r="B82" s="36" t="s">
        <v>29</v>
      </c>
      <c r="C82" s="36" t="s">
        <v>48</v>
      </c>
      <c r="D82" s="133">
        <v>44</v>
      </c>
      <c r="E82" s="39">
        <v>0.27083333333333331</v>
      </c>
      <c r="F82" s="39">
        <v>0.23194444444444445</v>
      </c>
      <c r="G82" s="39">
        <v>0.33333333333333331</v>
      </c>
      <c r="H82" s="39">
        <v>0.31388888888888888</v>
      </c>
      <c r="I82" s="4">
        <f t="shared" si="0"/>
        <v>8.1944444444444431E-2</v>
      </c>
      <c r="J82" s="36">
        <v>0</v>
      </c>
      <c r="K82" s="36">
        <v>0</v>
      </c>
      <c r="L82" s="67" t="s">
        <v>33</v>
      </c>
      <c r="M82" s="36">
        <v>11</v>
      </c>
      <c r="N82" s="65">
        <v>0</v>
      </c>
      <c r="O82" s="65">
        <v>0</v>
      </c>
      <c r="P82" s="36">
        <v>0</v>
      </c>
      <c r="Q82" s="36">
        <v>0</v>
      </c>
      <c r="R82" s="39">
        <v>0.23333333333333334</v>
      </c>
      <c r="S82" s="39">
        <v>0.27569444444444446</v>
      </c>
      <c r="T82" s="39">
        <v>0.23472222222222222</v>
      </c>
      <c r="U82" s="39">
        <v>0.25138888888888888</v>
      </c>
      <c r="V82" s="39">
        <v>0.25208333333333333</v>
      </c>
      <c r="W82" s="39">
        <v>0.27291666666666664</v>
      </c>
      <c r="X82" s="39">
        <v>0.25</v>
      </c>
      <c r="Y82" s="39">
        <v>0.31180555555555556</v>
      </c>
      <c r="Z82" s="36" t="s">
        <v>90</v>
      </c>
      <c r="AA82" s="37"/>
      <c r="AB82" s="163">
        <v>46088</v>
      </c>
      <c r="AC82" s="268"/>
    </row>
    <row r="83" spans="1:29" s="28" customFormat="1" x14ac:dyDescent="0.25">
      <c r="A83" s="35">
        <v>45723</v>
      </c>
      <c r="B83" s="36" t="s">
        <v>36</v>
      </c>
      <c r="C83" s="36" t="s">
        <v>109</v>
      </c>
      <c r="D83" s="36">
        <v>45</v>
      </c>
      <c r="E83" s="39">
        <v>0.46527777777777779</v>
      </c>
      <c r="F83" s="39">
        <v>0.44513888888888886</v>
      </c>
      <c r="G83" s="39">
        <v>0.54861111111111116</v>
      </c>
      <c r="H83" s="39"/>
      <c r="I83" s="4">
        <f t="shared" si="0"/>
        <v>-0.44513888888888886</v>
      </c>
      <c r="J83" s="39"/>
      <c r="K83" s="36"/>
      <c r="L83" s="36" t="s">
        <v>85</v>
      </c>
      <c r="M83" s="36"/>
      <c r="N83" s="65"/>
      <c r="O83" s="65"/>
      <c r="P83" s="36"/>
      <c r="Q83" s="36"/>
      <c r="R83" s="39"/>
      <c r="S83" s="39"/>
      <c r="T83" s="39"/>
      <c r="U83" s="39"/>
      <c r="V83" s="39"/>
      <c r="W83" s="39"/>
      <c r="X83" s="39"/>
      <c r="Y83" s="39"/>
      <c r="Z83" s="36"/>
      <c r="AA83" s="36"/>
      <c r="AB83" s="163"/>
      <c r="AC83" s="268"/>
    </row>
    <row r="84" spans="1:29" s="28" customFormat="1" x14ac:dyDescent="0.25">
      <c r="A84" s="35">
        <v>45724</v>
      </c>
      <c r="B84" s="36" t="s">
        <v>44</v>
      </c>
      <c r="C84" s="36" t="s">
        <v>46</v>
      </c>
      <c r="D84" s="36">
        <v>43</v>
      </c>
      <c r="E84" s="39">
        <v>0.2326388888888889</v>
      </c>
      <c r="F84" s="39">
        <v>0.23680555555555555</v>
      </c>
      <c r="G84" s="39">
        <v>0.2986111111111111</v>
      </c>
      <c r="H84" s="39">
        <v>0.29097222222222224</v>
      </c>
      <c r="I84" s="4">
        <f t="shared" si="0"/>
        <v>5.4166666666666696E-2</v>
      </c>
      <c r="J84" s="36">
        <v>0</v>
      </c>
      <c r="K84" s="36">
        <v>0</v>
      </c>
      <c r="L84" s="67" t="s">
        <v>33</v>
      </c>
      <c r="M84" s="36">
        <v>11</v>
      </c>
      <c r="N84" s="65">
        <v>0</v>
      </c>
      <c r="O84" s="65">
        <v>0</v>
      </c>
      <c r="P84" s="36">
        <v>0</v>
      </c>
      <c r="Q84" s="36">
        <v>0</v>
      </c>
      <c r="R84" s="39">
        <v>0.23819444444444443</v>
      </c>
      <c r="S84" s="39">
        <v>0.28263888888888888</v>
      </c>
      <c r="T84" s="39">
        <v>0.24305555555555555</v>
      </c>
      <c r="U84" s="39">
        <v>0.2673611111111111</v>
      </c>
      <c r="V84" s="39">
        <v>0.26805555555555555</v>
      </c>
      <c r="W84" s="39">
        <v>0.28263888888888888</v>
      </c>
      <c r="X84" s="39">
        <v>0.28888888888888886</v>
      </c>
      <c r="Y84" s="39">
        <v>0.28819444444444442</v>
      </c>
      <c r="Z84" s="36" t="s">
        <v>110</v>
      </c>
      <c r="AA84" s="37"/>
      <c r="AB84" s="163">
        <v>46089</v>
      </c>
      <c r="AC84" s="268"/>
    </row>
    <row r="85" spans="1:29" s="28" customFormat="1" x14ac:dyDescent="0.25">
      <c r="A85" s="35">
        <v>45725</v>
      </c>
      <c r="B85" s="36" t="s">
        <v>29</v>
      </c>
      <c r="C85" s="36" t="s">
        <v>48</v>
      </c>
      <c r="D85" s="36">
        <v>43</v>
      </c>
      <c r="E85" s="39">
        <v>0.18055555555555555</v>
      </c>
      <c r="F85" s="39">
        <v>0.16180555555555556</v>
      </c>
      <c r="G85" s="39">
        <v>0.24305555555555555</v>
      </c>
      <c r="H85" s="39">
        <v>0.23194444444444445</v>
      </c>
      <c r="I85" s="4">
        <f t="shared" si="0"/>
        <v>7.013888888888889E-2</v>
      </c>
      <c r="J85" s="39">
        <v>0</v>
      </c>
      <c r="K85" s="36">
        <v>0</v>
      </c>
      <c r="L85" s="36" t="s">
        <v>33</v>
      </c>
      <c r="M85" s="36">
        <v>11</v>
      </c>
      <c r="N85" s="37">
        <v>0</v>
      </c>
      <c r="O85" s="37">
        <v>0</v>
      </c>
      <c r="P85" s="36">
        <v>0</v>
      </c>
      <c r="Q85" s="36">
        <v>0</v>
      </c>
      <c r="R85" s="39">
        <v>0.16458333333333333</v>
      </c>
      <c r="S85" s="39">
        <v>0.20347222222222222</v>
      </c>
      <c r="T85" s="65">
        <v>0.17083333333333334</v>
      </c>
      <c r="U85" s="65">
        <v>0.18055555555555555</v>
      </c>
      <c r="V85" s="39">
        <v>0.18124999999999999</v>
      </c>
      <c r="W85" s="39">
        <v>0.2013888888888889</v>
      </c>
      <c r="X85" s="36"/>
      <c r="Y85" s="39">
        <v>0.22916666666666666</v>
      </c>
      <c r="Z85" s="37" t="s">
        <v>111</v>
      </c>
      <c r="AA85" s="37"/>
      <c r="AB85" s="163">
        <v>46090</v>
      </c>
      <c r="AC85" s="268"/>
    </row>
    <row r="86" spans="1:29" s="28" customFormat="1" x14ac:dyDescent="0.25">
      <c r="A86" s="35">
        <v>45726</v>
      </c>
      <c r="B86" s="36" t="s">
        <v>29</v>
      </c>
      <c r="C86" s="36" t="s">
        <v>35</v>
      </c>
      <c r="D86" s="36">
        <v>45</v>
      </c>
      <c r="E86" s="39">
        <v>0.22916666666666666</v>
      </c>
      <c r="F86" s="39">
        <v>0.21041666666666667</v>
      </c>
      <c r="G86" s="39">
        <v>0.2986111111111111</v>
      </c>
      <c r="H86" s="39">
        <v>0.28819444444444442</v>
      </c>
      <c r="I86" s="4">
        <f t="shared" si="0"/>
        <v>7.7777777777777751E-2</v>
      </c>
      <c r="J86" s="65">
        <v>0</v>
      </c>
      <c r="K86" s="37">
        <v>0</v>
      </c>
      <c r="L86" s="36" t="s">
        <v>33</v>
      </c>
      <c r="M86" s="36">
        <v>11</v>
      </c>
      <c r="N86" s="65">
        <v>0</v>
      </c>
      <c r="O86" s="65">
        <v>0</v>
      </c>
      <c r="P86" s="37">
        <v>0</v>
      </c>
      <c r="Q86" s="37">
        <v>0</v>
      </c>
      <c r="R86" s="65">
        <v>0.21249999999999999</v>
      </c>
      <c r="S86" s="65">
        <v>0.25763888888888886</v>
      </c>
      <c r="T86" s="65">
        <v>0.21458333333333332</v>
      </c>
      <c r="U86" s="65">
        <v>0.23680555555555555</v>
      </c>
      <c r="V86" s="65">
        <v>0.21875</v>
      </c>
      <c r="W86" s="65">
        <v>2.7159722222222222</v>
      </c>
      <c r="X86" s="39">
        <v>0.24583333333333332</v>
      </c>
      <c r="Y86" s="39">
        <v>0.28333333333333333</v>
      </c>
      <c r="Z86" s="37" t="s">
        <v>112</v>
      </c>
      <c r="AA86" s="37"/>
      <c r="AB86" s="163">
        <v>46091</v>
      </c>
      <c r="AC86" s="268"/>
    </row>
    <row r="87" spans="1:29" s="28" customFormat="1" x14ac:dyDescent="0.25">
      <c r="A87" s="35">
        <v>45727</v>
      </c>
      <c r="B87" s="36" t="s">
        <v>29</v>
      </c>
      <c r="C87" s="36" t="s">
        <v>39</v>
      </c>
      <c r="D87" s="36">
        <v>44</v>
      </c>
      <c r="E87" s="39">
        <v>0.22916666666666666</v>
      </c>
      <c r="F87" s="39">
        <v>0.22152777777777777</v>
      </c>
      <c r="G87" s="39">
        <v>0.2986111111111111</v>
      </c>
      <c r="H87" s="39">
        <v>0.28749999999999998</v>
      </c>
      <c r="I87" s="4">
        <f t="shared" ref="I87:I119" si="3">H87-F87</f>
        <v>6.597222222222221E-2</v>
      </c>
      <c r="J87" s="36">
        <v>0</v>
      </c>
      <c r="K87" s="36">
        <v>0</v>
      </c>
      <c r="L87" s="36" t="s">
        <v>33</v>
      </c>
      <c r="M87" s="36">
        <v>11</v>
      </c>
      <c r="N87" s="65">
        <v>0</v>
      </c>
      <c r="O87" s="65">
        <v>0</v>
      </c>
      <c r="P87" s="37">
        <v>0</v>
      </c>
      <c r="Q87" s="37">
        <v>0</v>
      </c>
      <c r="R87" s="65">
        <v>0.22152777777777777</v>
      </c>
      <c r="S87" s="65">
        <v>0.26041666666666669</v>
      </c>
      <c r="T87" s="65">
        <v>0.22222222222222221</v>
      </c>
      <c r="U87" s="65">
        <v>0.24027777777777778</v>
      </c>
      <c r="V87" s="65">
        <v>0.24097222222222223</v>
      </c>
      <c r="W87" s="65">
        <v>0.25972222222222224</v>
      </c>
      <c r="X87" s="39">
        <v>0.24236111111111111</v>
      </c>
      <c r="Y87" s="39">
        <v>0.28611111111111109</v>
      </c>
      <c r="Z87" s="37" t="s">
        <v>113</v>
      </c>
      <c r="AA87" s="37"/>
      <c r="AB87" s="163">
        <v>46092</v>
      </c>
      <c r="AC87" s="268"/>
    </row>
    <row r="88" spans="1:29" s="28" customFormat="1" x14ac:dyDescent="0.25">
      <c r="A88" s="35">
        <v>45728</v>
      </c>
      <c r="B88" s="36" t="s">
        <v>29</v>
      </c>
      <c r="C88" s="36" t="s">
        <v>35</v>
      </c>
      <c r="D88" s="36">
        <v>42</v>
      </c>
      <c r="E88" s="39">
        <v>0.22916666666666666</v>
      </c>
      <c r="F88" s="39">
        <v>0.22083333333333333</v>
      </c>
      <c r="G88" s="39">
        <v>0.2986111111111111</v>
      </c>
      <c r="H88" s="39">
        <v>0.28819444444444442</v>
      </c>
      <c r="I88" s="4">
        <f t="shared" si="3"/>
        <v>6.7361111111111094E-2</v>
      </c>
      <c r="J88" s="36">
        <v>0</v>
      </c>
      <c r="K88" s="36">
        <v>0</v>
      </c>
      <c r="L88" s="36" t="s">
        <v>33</v>
      </c>
      <c r="M88" s="36">
        <v>11</v>
      </c>
      <c r="N88" s="39">
        <v>0</v>
      </c>
      <c r="O88" s="39">
        <v>0</v>
      </c>
      <c r="P88" s="36">
        <v>0</v>
      </c>
      <c r="Q88" s="36">
        <v>0</v>
      </c>
      <c r="R88" s="39">
        <v>0.22222222222222221</v>
      </c>
      <c r="S88" s="39">
        <v>0.27500000000000002</v>
      </c>
      <c r="T88" s="39">
        <v>0.22638888888888889</v>
      </c>
      <c r="U88" s="39">
        <v>0.25</v>
      </c>
      <c r="V88" s="39">
        <v>0.23333333333333334</v>
      </c>
      <c r="W88" s="39">
        <v>0.27361111111111114</v>
      </c>
      <c r="X88" s="39">
        <v>0.24722222222222223</v>
      </c>
      <c r="Y88" s="39">
        <v>0.27847222222222223</v>
      </c>
      <c r="Z88" s="36" t="s">
        <v>105</v>
      </c>
      <c r="AA88" s="37"/>
      <c r="AB88" s="266">
        <v>46093</v>
      </c>
      <c r="AC88" s="268"/>
    </row>
    <row r="89" spans="1:29" s="28" customFormat="1" x14ac:dyDescent="0.25">
      <c r="A89" s="35">
        <v>45729</v>
      </c>
      <c r="B89" s="36" t="s">
        <v>29</v>
      </c>
      <c r="C89" s="36" t="s">
        <v>48</v>
      </c>
      <c r="D89" s="36">
        <v>43</v>
      </c>
      <c r="E89" s="39">
        <v>0.22916666666666666</v>
      </c>
      <c r="F89" s="39">
        <v>0.20624999999999999</v>
      </c>
      <c r="G89" s="39">
        <v>0.2986111111111111</v>
      </c>
      <c r="H89" s="39">
        <v>0.2902777777777778</v>
      </c>
      <c r="I89" s="4">
        <f t="shared" si="3"/>
        <v>8.4027777777777812E-2</v>
      </c>
      <c r="J89" s="39">
        <v>0</v>
      </c>
      <c r="K89" s="36">
        <v>0</v>
      </c>
      <c r="L89" s="36" t="s">
        <v>33</v>
      </c>
      <c r="M89" s="36">
        <v>11</v>
      </c>
      <c r="N89" s="65">
        <v>0</v>
      </c>
      <c r="O89" s="65">
        <v>0</v>
      </c>
      <c r="P89" s="65">
        <v>0</v>
      </c>
      <c r="Q89" s="65">
        <v>0</v>
      </c>
      <c r="R89" s="39">
        <v>0.2</v>
      </c>
      <c r="S89" s="39">
        <v>0.24583333333333332</v>
      </c>
      <c r="T89" s="39">
        <v>0.2048611111111111</v>
      </c>
      <c r="U89" s="39">
        <v>0.2298611111111111</v>
      </c>
      <c r="V89" s="39">
        <v>0.20833333333333334</v>
      </c>
      <c r="W89" s="39">
        <v>0.24583333333333332</v>
      </c>
      <c r="X89" s="39">
        <v>0.22291666666666668</v>
      </c>
      <c r="Y89" s="39">
        <v>0.28749999999999998</v>
      </c>
      <c r="Z89" s="36" t="s">
        <v>114</v>
      </c>
      <c r="AA89" s="37"/>
      <c r="AB89" s="266">
        <v>46094</v>
      </c>
      <c r="AC89" s="268"/>
    </row>
    <row r="90" spans="1:29" s="28" customFormat="1" x14ac:dyDescent="0.25">
      <c r="A90" s="35">
        <v>45730</v>
      </c>
      <c r="B90" s="36" t="s">
        <v>29</v>
      </c>
      <c r="C90" s="36" t="s">
        <v>32</v>
      </c>
      <c r="D90" s="36">
        <v>44</v>
      </c>
      <c r="E90" s="39">
        <v>0.27083333333333331</v>
      </c>
      <c r="F90" s="39">
        <v>0.2590277777777778</v>
      </c>
      <c r="G90" s="39">
        <v>0.33333333333333331</v>
      </c>
      <c r="H90" s="39">
        <v>0.32083333333333336</v>
      </c>
      <c r="I90" s="4">
        <f t="shared" si="3"/>
        <v>6.1805555555555558E-2</v>
      </c>
      <c r="J90" s="36">
        <v>0</v>
      </c>
      <c r="K90" s="36">
        <v>0</v>
      </c>
      <c r="L90" s="36" t="s">
        <v>33</v>
      </c>
      <c r="M90" s="36">
        <v>11</v>
      </c>
      <c r="N90" s="65">
        <v>0</v>
      </c>
      <c r="O90" s="65">
        <v>0</v>
      </c>
      <c r="P90" s="37">
        <v>0</v>
      </c>
      <c r="Q90" s="37">
        <v>0</v>
      </c>
      <c r="R90" s="39">
        <v>0.26111111111111113</v>
      </c>
      <c r="S90" s="39">
        <v>0.3125</v>
      </c>
      <c r="T90" s="39">
        <v>0.26250000000000001</v>
      </c>
      <c r="U90" s="39">
        <v>0.28749999999999998</v>
      </c>
      <c r="V90" s="39">
        <v>0.28819444444444442</v>
      </c>
      <c r="W90" s="39">
        <v>0.3125</v>
      </c>
      <c r="X90" s="39">
        <v>0.26874999999999999</v>
      </c>
      <c r="Y90" s="39">
        <v>0.32083333333333336</v>
      </c>
      <c r="Z90" s="37" t="s">
        <v>45</v>
      </c>
      <c r="AA90" s="37"/>
      <c r="AB90" s="266">
        <v>46095</v>
      </c>
      <c r="AC90" s="268"/>
    </row>
    <row r="91" spans="1:29" s="28" customFormat="1" x14ac:dyDescent="0.25">
      <c r="A91" s="35">
        <v>46095</v>
      </c>
      <c r="B91" s="36" t="s">
        <v>56</v>
      </c>
      <c r="C91" s="36" t="s">
        <v>115</v>
      </c>
      <c r="D91" s="36">
        <v>46</v>
      </c>
      <c r="E91" s="39">
        <v>0.46527777777777779</v>
      </c>
      <c r="F91" s="39">
        <v>0.51111111111111107</v>
      </c>
      <c r="G91" s="39">
        <v>0.54861111111111116</v>
      </c>
      <c r="H91" s="39">
        <v>0.79583333333333328</v>
      </c>
      <c r="I91" s="4"/>
      <c r="J91" s="36">
        <v>356</v>
      </c>
      <c r="K91" s="36" t="s">
        <v>116</v>
      </c>
      <c r="L91" s="36" t="s">
        <v>117</v>
      </c>
      <c r="M91" s="36"/>
      <c r="N91" s="65"/>
      <c r="O91" s="65"/>
      <c r="P91" s="37"/>
      <c r="Q91" s="37"/>
      <c r="R91" s="39"/>
      <c r="S91" s="39"/>
      <c r="T91" s="39"/>
      <c r="U91" s="39"/>
      <c r="V91" s="39"/>
      <c r="W91" s="39"/>
      <c r="X91" s="39"/>
      <c r="Y91" s="39"/>
      <c r="Z91" s="37"/>
      <c r="AA91" s="37"/>
      <c r="AB91" s="266"/>
      <c r="AC91" s="268"/>
    </row>
    <row r="92" spans="1:29" s="28" customFormat="1" x14ac:dyDescent="0.25">
      <c r="A92" s="35">
        <v>45731</v>
      </c>
      <c r="B92" s="36" t="s">
        <v>44</v>
      </c>
      <c r="C92" s="36" t="s">
        <v>46</v>
      </c>
      <c r="D92" s="36">
        <v>44</v>
      </c>
      <c r="E92" s="39">
        <v>0.22916666666666666</v>
      </c>
      <c r="F92" s="39">
        <v>0.23819444444444443</v>
      </c>
      <c r="G92" s="39">
        <v>0.2986111111111111</v>
      </c>
      <c r="H92" s="39">
        <v>0.29097222222222224</v>
      </c>
      <c r="I92" s="4">
        <f t="shared" si="3"/>
        <v>5.2777777777777812E-2</v>
      </c>
      <c r="J92" s="36">
        <v>0</v>
      </c>
      <c r="K92" s="36">
        <v>0</v>
      </c>
      <c r="L92" s="36" t="s">
        <v>33</v>
      </c>
      <c r="M92" s="36">
        <v>11</v>
      </c>
      <c r="N92" s="65">
        <v>0</v>
      </c>
      <c r="O92" s="65">
        <v>0</v>
      </c>
      <c r="P92" s="37">
        <v>0</v>
      </c>
      <c r="Q92" s="37">
        <v>0</v>
      </c>
      <c r="R92" s="65">
        <v>0.24027777777777778</v>
      </c>
      <c r="S92" s="65">
        <v>0.27013888888888887</v>
      </c>
      <c r="T92" s="65">
        <v>0.24166666666666667</v>
      </c>
      <c r="U92" s="65">
        <v>0.25624999999999998</v>
      </c>
      <c r="V92" s="65">
        <v>0.25694444444444442</v>
      </c>
      <c r="W92" s="65">
        <v>0.27013888888888887</v>
      </c>
      <c r="X92" s="65">
        <v>0.2638888888888889</v>
      </c>
      <c r="Y92" s="65">
        <v>0.29097222222222224</v>
      </c>
      <c r="Z92" s="37" t="s">
        <v>45</v>
      </c>
      <c r="AA92" s="37"/>
      <c r="AB92" s="266">
        <v>46096</v>
      </c>
      <c r="AC92" s="268"/>
    </row>
    <row r="93" spans="1:29" s="28" customFormat="1" x14ac:dyDescent="0.25">
      <c r="A93" s="35">
        <v>45732</v>
      </c>
      <c r="B93" s="36" t="s">
        <v>29</v>
      </c>
      <c r="C93" s="36" t="s">
        <v>48</v>
      </c>
      <c r="D93" s="36">
        <v>44</v>
      </c>
      <c r="E93" s="39">
        <v>0.18055555555555555</v>
      </c>
      <c r="F93" s="39">
        <v>0.43125000000000002</v>
      </c>
      <c r="G93" s="39">
        <v>0.24305555555555555</v>
      </c>
      <c r="H93" s="39">
        <v>0.47638888888888886</v>
      </c>
      <c r="I93" s="4">
        <f t="shared" si="3"/>
        <v>4.513888888888884E-2</v>
      </c>
      <c r="J93" s="36" t="s">
        <v>118</v>
      </c>
      <c r="K93" s="36" t="s">
        <v>50</v>
      </c>
      <c r="L93" s="36" t="s">
        <v>80</v>
      </c>
      <c r="M93" s="36">
        <v>11</v>
      </c>
      <c r="N93" s="37">
        <v>0</v>
      </c>
      <c r="O93" s="37">
        <v>0</v>
      </c>
      <c r="P93" s="37">
        <v>0</v>
      </c>
      <c r="Q93" s="37">
        <v>0</v>
      </c>
      <c r="R93" s="65">
        <v>0.42638888888888887</v>
      </c>
      <c r="S93" s="65">
        <v>0.46875</v>
      </c>
      <c r="T93" s="65">
        <v>0.4284722222222222</v>
      </c>
      <c r="U93" s="65">
        <v>0.45694444444444443</v>
      </c>
      <c r="V93" s="65">
        <v>0.43402777777777779</v>
      </c>
      <c r="W93" s="65">
        <v>0.46875</v>
      </c>
      <c r="X93" s="65">
        <v>0.4465277777777778</v>
      </c>
      <c r="Y93" s="65">
        <v>0.47430555555555554</v>
      </c>
      <c r="Z93" s="36" t="s">
        <v>114</v>
      </c>
      <c r="AA93" s="37"/>
      <c r="AB93" s="266">
        <v>46097</v>
      </c>
      <c r="AC93" s="268"/>
    </row>
    <row r="94" spans="1:29" s="28" customFormat="1" x14ac:dyDescent="0.25">
      <c r="A94" s="35">
        <v>45733</v>
      </c>
      <c r="B94" s="36" t="s">
        <v>29</v>
      </c>
      <c r="C94" s="36" t="s">
        <v>39</v>
      </c>
      <c r="D94" s="36">
        <v>43</v>
      </c>
      <c r="E94" s="39">
        <v>0.22916666666666666</v>
      </c>
      <c r="F94" s="39">
        <v>0.22638888888888889</v>
      </c>
      <c r="G94" s="39">
        <v>0.2986111111111111</v>
      </c>
      <c r="H94" s="39">
        <v>0.28819444444444442</v>
      </c>
      <c r="I94" s="4">
        <f t="shared" si="3"/>
        <v>6.180555555555553E-2</v>
      </c>
      <c r="J94" s="39">
        <v>0</v>
      </c>
      <c r="K94" s="36">
        <v>0</v>
      </c>
      <c r="L94" s="36" t="s">
        <v>33</v>
      </c>
      <c r="M94" s="36">
        <v>11</v>
      </c>
      <c r="N94" s="37">
        <v>0</v>
      </c>
      <c r="O94" s="37">
        <v>0</v>
      </c>
      <c r="P94" s="37">
        <v>0</v>
      </c>
      <c r="Q94" s="37">
        <v>0</v>
      </c>
      <c r="R94" s="65">
        <v>0.22708333333333333</v>
      </c>
      <c r="S94" s="65">
        <v>0.26250000000000001</v>
      </c>
      <c r="T94" s="65">
        <v>0.22777777777777777</v>
      </c>
      <c r="U94" s="65">
        <v>0.24513888888888888</v>
      </c>
      <c r="V94" s="65">
        <v>0.24583333333333332</v>
      </c>
      <c r="W94" s="65">
        <v>0.25972222222222224</v>
      </c>
      <c r="X94" s="65">
        <v>0.25</v>
      </c>
      <c r="Y94" s="65">
        <v>0.28541666666666665</v>
      </c>
      <c r="Z94" s="37" t="s">
        <v>91</v>
      </c>
      <c r="AA94" s="37"/>
      <c r="AB94" s="266">
        <v>46098</v>
      </c>
      <c r="AC94" s="268"/>
    </row>
    <row r="95" spans="1:29" s="28" customFormat="1" x14ac:dyDescent="0.25">
      <c r="A95" s="35">
        <v>45734</v>
      </c>
      <c r="B95" s="36"/>
      <c r="C95" s="36"/>
      <c r="D95" s="36"/>
      <c r="E95" s="39"/>
      <c r="F95" s="39"/>
      <c r="G95" s="39"/>
      <c r="H95" s="39"/>
      <c r="I95" s="4">
        <f t="shared" si="3"/>
        <v>0</v>
      </c>
      <c r="J95" s="39"/>
      <c r="K95" s="36"/>
      <c r="L95" s="36"/>
      <c r="M95" s="36"/>
      <c r="N95" s="65"/>
      <c r="O95" s="65"/>
      <c r="P95" s="37"/>
      <c r="Q95" s="37"/>
      <c r="R95" s="65"/>
      <c r="S95" s="65"/>
      <c r="T95" s="65"/>
      <c r="U95" s="65"/>
      <c r="V95" s="65"/>
      <c r="W95" s="65"/>
      <c r="X95" s="65"/>
      <c r="Y95" s="65"/>
      <c r="Z95" s="37"/>
      <c r="AA95" s="37"/>
      <c r="AB95" s="266"/>
      <c r="AC95" s="268"/>
    </row>
    <row r="96" spans="1:29" s="28" customFormat="1" x14ac:dyDescent="0.25">
      <c r="A96" s="35">
        <v>45735</v>
      </c>
      <c r="B96" s="36"/>
      <c r="C96" s="36"/>
      <c r="D96" s="36"/>
      <c r="E96" s="39"/>
      <c r="F96" s="39"/>
      <c r="G96" s="39"/>
      <c r="H96" s="39"/>
      <c r="I96" s="4">
        <f t="shared" si="3"/>
        <v>0</v>
      </c>
      <c r="J96" s="36"/>
      <c r="K96" s="36"/>
      <c r="L96" s="36"/>
      <c r="M96" s="36"/>
      <c r="N96" s="65"/>
      <c r="O96" s="65"/>
      <c r="P96" s="37"/>
      <c r="Q96" s="37"/>
      <c r="R96" s="65"/>
      <c r="S96" s="65"/>
      <c r="T96" s="65"/>
      <c r="U96" s="65"/>
      <c r="V96" s="65"/>
      <c r="W96" s="65"/>
      <c r="X96" s="65"/>
      <c r="Y96" s="65"/>
      <c r="Z96" s="37"/>
      <c r="AA96" s="37"/>
      <c r="AB96" s="266"/>
      <c r="AC96" s="268"/>
    </row>
    <row r="97" spans="1:29" s="28" customFormat="1" x14ac:dyDescent="0.25">
      <c r="A97" s="35">
        <v>45736</v>
      </c>
      <c r="B97" s="36"/>
      <c r="C97" s="36"/>
      <c r="D97" s="36"/>
      <c r="E97" s="39"/>
      <c r="F97" s="39"/>
      <c r="G97" s="39"/>
      <c r="H97" s="39"/>
      <c r="I97" s="4">
        <f t="shared" si="3"/>
        <v>0</v>
      </c>
      <c r="J97" s="36"/>
      <c r="K97" s="36"/>
      <c r="L97" s="36"/>
      <c r="M97" s="36"/>
      <c r="N97" s="65"/>
      <c r="O97" s="65"/>
      <c r="P97" s="37"/>
      <c r="Q97" s="37"/>
      <c r="R97" s="65"/>
      <c r="S97" s="65"/>
      <c r="T97" s="65"/>
      <c r="U97" s="65"/>
      <c r="V97" s="65"/>
      <c r="W97" s="65"/>
      <c r="X97" s="65"/>
      <c r="Y97" s="65"/>
      <c r="Z97" s="37"/>
      <c r="AA97" s="37"/>
      <c r="AB97" s="266"/>
      <c r="AC97" s="268"/>
    </row>
    <row r="98" spans="1:29" s="28" customFormat="1" x14ac:dyDescent="0.25">
      <c r="A98" s="35">
        <v>45737</v>
      </c>
      <c r="B98" s="36"/>
      <c r="C98" s="36"/>
      <c r="D98" s="36"/>
      <c r="E98" s="39"/>
      <c r="F98" s="39"/>
      <c r="G98" s="39"/>
      <c r="H98" s="39"/>
      <c r="I98" s="4">
        <f t="shared" si="3"/>
        <v>0</v>
      </c>
      <c r="J98" s="39"/>
      <c r="K98" s="36"/>
      <c r="L98" s="36"/>
      <c r="M98" s="36"/>
      <c r="N98" s="65"/>
      <c r="O98" s="65"/>
      <c r="P98" s="37"/>
      <c r="Q98" s="37"/>
      <c r="R98" s="65"/>
      <c r="S98" s="65"/>
      <c r="T98" s="65"/>
      <c r="U98" s="65"/>
      <c r="V98" s="65"/>
      <c r="W98" s="65"/>
      <c r="X98" s="65"/>
      <c r="Y98" s="65"/>
      <c r="Z98" s="37"/>
      <c r="AA98" s="37"/>
      <c r="AB98" s="266"/>
      <c r="AC98" s="268"/>
    </row>
    <row r="99" spans="1:29" s="28" customFormat="1" x14ac:dyDescent="0.25">
      <c r="A99" s="35">
        <v>45738</v>
      </c>
      <c r="B99" s="36"/>
      <c r="C99" s="36"/>
      <c r="D99" s="36"/>
      <c r="E99" s="65"/>
      <c r="F99" s="65"/>
      <c r="G99" s="65"/>
      <c r="H99" s="65"/>
      <c r="I99" s="4">
        <f t="shared" si="3"/>
        <v>0</v>
      </c>
      <c r="J99" s="36"/>
      <c r="K99" s="36"/>
      <c r="L99" s="36"/>
      <c r="M99" s="36"/>
      <c r="N99" s="65"/>
      <c r="O99" s="65"/>
      <c r="P99" s="37"/>
      <c r="Q99" s="37"/>
      <c r="R99" s="65"/>
      <c r="S99" s="65"/>
      <c r="T99" s="65"/>
      <c r="U99" s="65"/>
      <c r="V99" s="65"/>
      <c r="W99" s="65"/>
      <c r="X99" s="65"/>
      <c r="Y99" s="65"/>
      <c r="Z99" s="37"/>
      <c r="AA99" s="37"/>
      <c r="AB99" s="266"/>
      <c r="AC99" s="268"/>
    </row>
    <row r="100" spans="1:29" s="28" customFormat="1" x14ac:dyDescent="0.25">
      <c r="A100" s="35">
        <v>45739</v>
      </c>
      <c r="B100" s="48"/>
      <c r="I100" s="4">
        <f t="shared" si="3"/>
        <v>0</v>
      </c>
      <c r="AB100" s="42"/>
      <c r="AC100" s="268"/>
    </row>
    <row r="101" spans="1:29" s="28" customFormat="1" x14ac:dyDescent="0.25">
      <c r="A101" s="35">
        <v>45740</v>
      </c>
      <c r="B101" s="36"/>
      <c r="C101" s="36"/>
      <c r="D101" s="36"/>
      <c r="E101" s="65"/>
      <c r="F101" s="65"/>
      <c r="G101" s="65"/>
      <c r="H101" s="65"/>
      <c r="I101" s="4">
        <f t="shared" si="3"/>
        <v>0</v>
      </c>
      <c r="J101" s="39"/>
      <c r="K101" s="36"/>
      <c r="L101" s="36"/>
      <c r="M101" s="36"/>
      <c r="N101" s="65"/>
      <c r="O101" s="65"/>
      <c r="P101" s="37"/>
      <c r="Q101" s="37"/>
      <c r="R101" s="65"/>
      <c r="S101" s="65"/>
      <c r="T101" s="65"/>
      <c r="U101" s="65"/>
      <c r="V101" s="65"/>
      <c r="W101" s="65"/>
      <c r="X101" s="65"/>
      <c r="Y101" s="65"/>
      <c r="Z101" s="37"/>
      <c r="AA101" s="37"/>
      <c r="AB101" s="266"/>
      <c r="AC101" s="268"/>
    </row>
    <row r="102" spans="1:29" s="28" customFormat="1" x14ac:dyDescent="0.25">
      <c r="A102" s="35">
        <v>45741</v>
      </c>
      <c r="B102" s="36"/>
      <c r="C102" s="36"/>
      <c r="D102" s="36"/>
      <c r="E102" s="65"/>
      <c r="F102" s="65"/>
      <c r="G102" s="65"/>
      <c r="H102" s="65"/>
      <c r="I102" s="4">
        <f t="shared" si="3"/>
        <v>0</v>
      </c>
      <c r="J102" s="36"/>
      <c r="K102" s="36"/>
      <c r="L102" s="37"/>
      <c r="M102" s="36"/>
      <c r="N102" s="65"/>
      <c r="O102" s="65"/>
      <c r="P102" s="37"/>
      <c r="Q102" s="37"/>
      <c r="R102" s="65"/>
      <c r="S102" s="65"/>
      <c r="T102" s="65"/>
      <c r="U102" s="65"/>
      <c r="V102" s="65"/>
      <c r="W102" s="65"/>
      <c r="X102" s="65"/>
      <c r="Y102" s="65"/>
      <c r="Z102" s="37"/>
      <c r="AA102" s="37"/>
      <c r="AB102" s="266"/>
      <c r="AC102" s="268"/>
    </row>
    <row r="103" spans="1:29" s="28" customFormat="1" x14ac:dyDescent="0.25">
      <c r="A103" s="35">
        <v>45742</v>
      </c>
      <c r="B103" s="36"/>
      <c r="C103" s="36"/>
      <c r="D103" s="36"/>
      <c r="E103" s="65"/>
      <c r="F103" s="65"/>
      <c r="G103" s="65"/>
      <c r="H103" s="65"/>
      <c r="I103" s="4">
        <f t="shared" si="3"/>
        <v>0</v>
      </c>
      <c r="J103" s="39"/>
      <c r="K103" s="36"/>
      <c r="L103" s="37"/>
      <c r="M103" s="36"/>
      <c r="N103" s="65"/>
      <c r="O103" s="65"/>
      <c r="P103" s="37"/>
      <c r="Q103" s="37"/>
      <c r="R103" s="65"/>
      <c r="S103" s="65"/>
      <c r="T103" s="65"/>
      <c r="U103" s="65"/>
      <c r="V103" s="65"/>
      <c r="W103" s="65"/>
      <c r="X103" s="65"/>
      <c r="Y103" s="65"/>
      <c r="Z103" s="37"/>
      <c r="AA103" s="37"/>
      <c r="AB103" s="266"/>
      <c r="AC103" s="268"/>
    </row>
    <row r="104" spans="1:29" s="28" customFormat="1" x14ac:dyDescent="0.25">
      <c r="A104" s="35">
        <v>45743</v>
      </c>
      <c r="B104" s="36"/>
      <c r="C104" s="36"/>
      <c r="D104" s="36"/>
      <c r="E104" s="65"/>
      <c r="F104" s="65"/>
      <c r="G104" s="65"/>
      <c r="H104" s="65"/>
      <c r="I104" s="4">
        <f t="shared" si="3"/>
        <v>0</v>
      </c>
      <c r="J104" s="39"/>
      <c r="K104" s="36"/>
      <c r="L104" s="36"/>
      <c r="M104" s="36"/>
      <c r="N104" s="65"/>
      <c r="O104" s="65"/>
      <c r="P104" s="37"/>
      <c r="Q104" s="37"/>
      <c r="R104" s="65"/>
      <c r="S104" s="65"/>
      <c r="T104" s="65"/>
      <c r="U104" s="65"/>
      <c r="V104" s="65"/>
      <c r="W104" s="65"/>
      <c r="X104" s="65"/>
      <c r="Y104" s="65"/>
      <c r="Z104" s="37"/>
      <c r="AA104" s="37"/>
      <c r="AB104" s="266"/>
      <c r="AC104" s="268"/>
    </row>
    <row r="105" spans="1:29" s="28" customFormat="1" x14ac:dyDescent="0.25">
      <c r="A105" s="35">
        <v>45744</v>
      </c>
      <c r="B105" s="36"/>
      <c r="C105" s="36"/>
      <c r="D105" s="36"/>
      <c r="E105" s="65"/>
      <c r="F105" s="65"/>
      <c r="G105" s="65"/>
      <c r="H105" s="65"/>
      <c r="I105" s="4">
        <f t="shared" si="3"/>
        <v>0</v>
      </c>
      <c r="J105" s="39"/>
      <c r="K105" s="36"/>
      <c r="L105" s="36"/>
      <c r="M105" s="36"/>
      <c r="N105" s="37"/>
      <c r="O105" s="37"/>
      <c r="P105" s="37"/>
      <c r="Q105" s="37"/>
      <c r="R105" s="65"/>
      <c r="S105" s="65"/>
      <c r="T105" s="65"/>
      <c r="U105" s="65"/>
      <c r="V105" s="65"/>
      <c r="W105" s="65"/>
      <c r="X105" s="65"/>
      <c r="Y105" s="65"/>
      <c r="Z105" s="37"/>
      <c r="AA105" s="37"/>
      <c r="AB105" s="266"/>
      <c r="AC105" s="268"/>
    </row>
    <row r="106" spans="1:29" s="28" customFormat="1" x14ac:dyDescent="0.25">
      <c r="A106" s="35">
        <v>45745</v>
      </c>
      <c r="B106" s="36"/>
      <c r="C106" s="36"/>
      <c r="D106" s="36"/>
      <c r="E106" s="177"/>
      <c r="F106" s="65"/>
      <c r="G106" s="65"/>
      <c r="H106" s="65"/>
      <c r="I106" s="4">
        <f t="shared" si="3"/>
        <v>0</v>
      </c>
      <c r="J106" s="65"/>
      <c r="K106" s="37"/>
      <c r="L106" s="37"/>
      <c r="M106" s="36"/>
      <c r="N106" s="65"/>
      <c r="O106" s="65"/>
      <c r="P106" s="37"/>
      <c r="Q106" s="37"/>
      <c r="R106" s="65"/>
      <c r="S106" s="65"/>
      <c r="T106" s="65"/>
      <c r="U106" s="65"/>
      <c r="V106" s="65"/>
      <c r="W106" s="65"/>
      <c r="X106" s="65"/>
      <c r="Y106" s="65"/>
      <c r="Z106" s="37"/>
      <c r="AA106" s="37"/>
      <c r="AB106" s="266"/>
      <c r="AC106" s="268"/>
    </row>
    <row r="107" spans="1:29" s="28" customFormat="1" x14ac:dyDescent="0.25">
      <c r="A107" s="35">
        <v>45746</v>
      </c>
      <c r="B107" s="36"/>
      <c r="C107" s="36"/>
      <c r="D107" s="36"/>
      <c r="E107" s="37"/>
      <c r="F107" s="37"/>
      <c r="G107" s="37"/>
      <c r="H107" s="37"/>
      <c r="I107" s="4">
        <f t="shared" si="3"/>
        <v>0</v>
      </c>
      <c r="J107" s="37"/>
      <c r="K107" s="37"/>
      <c r="L107" s="37"/>
      <c r="M107" s="36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42"/>
      <c r="AC107" s="268"/>
    </row>
    <row r="108" spans="1:29" s="28" customFormat="1" x14ac:dyDescent="0.25">
      <c r="A108" s="35">
        <v>45747</v>
      </c>
      <c r="B108" s="36"/>
      <c r="C108" s="36"/>
      <c r="D108" s="36"/>
      <c r="E108" s="65"/>
      <c r="F108" s="65"/>
      <c r="G108" s="65"/>
      <c r="H108" s="65"/>
      <c r="I108" s="4">
        <f t="shared" si="3"/>
        <v>0</v>
      </c>
      <c r="J108" s="39"/>
      <c r="K108" s="36"/>
      <c r="L108" s="37"/>
      <c r="M108" s="36"/>
      <c r="N108" s="65"/>
      <c r="O108" s="65"/>
      <c r="P108" s="37"/>
      <c r="Q108" s="37"/>
      <c r="R108" s="65"/>
      <c r="S108" s="65"/>
      <c r="T108" s="65"/>
      <c r="U108" s="65"/>
      <c r="V108" s="65"/>
      <c r="W108" s="65"/>
      <c r="X108" s="65"/>
      <c r="Y108" s="65"/>
      <c r="Z108" s="37"/>
      <c r="AA108" s="37"/>
      <c r="AB108" s="266"/>
      <c r="AC108" s="268"/>
    </row>
    <row r="109" spans="1:29" s="28" customFormat="1" x14ac:dyDescent="0.25">
      <c r="A109" s="35">
        <v>45748</v>
      </c>
      <c r="B109" s="36"/>
      <c r="C109" s="36"/>
      <c r="D109" s="36"/>
      <c r="E109" s="65"/>
      <c r="F109" s="65"/>
      <c r="G109" s="65"/>
      <c r="H109" s="65"/>
      <c r="I109" s="4">
        <f t="shared" si="3"/>
        <v>0</v>
      </c>
      <c r="J109" s="39"/>
      <c r="K109" s="36"/>
      <c r="L109" s="37"/>
      <c r="M109" s="36"/>
      <c r="N109" s="65"/>
      <c r="O109" s="65"/>
      <c r="P109" s="37"/>
      <c r="Q109" s="37"/>
      <c r="R109" s="65"/>
      <c r="S109" s="65"/>
      <c r="T109" s="65"/>
      <c r="U109" s="65"/>
      <c r="V109" s="65"/>
      <c r="W109" s="65"/>
      <c r="X109" s="65"/>
      <c r="Y109" s="65"/>
      <c r="Z109" s="37"/>
      <c r="AA109" s="37"/>
      <c r="AB109" s="266"/>
      <c r="AC109" s="268"/>
    </row>
    <row r="110" spans="1:29" s="28" customFormat="1" x14ac:dyDescent="0.25">
      <c r="A110" s="35">
        <v>45749</v>
      </c>
      <c r="B110" s="36"/>
      <c r="C110" s="36"/>
      <c r="D110" s="36"/>
      <c r="E110" s="65"/>
      <c r="F110" s="65"/>
      <c r="G110" s="65"/>
      <c r="H110" s="65"/>
      <c r="I110" s="4">
        <f t="shared" si="3"/>
        <v>0</v>
      </c>
      <c r="J110" s="39"/>
      <c r="K110" s="36"/>
      <c r="L110" s="37"/>
      <c r="M110" s="36"/>
      <c r="N110" s="65"/>
      <c r="O110" s="65"/>
      <c r="P110" s="37"/>
      <c r="Q110" s="37"/>
      <c r="R110" s="65"/>
      <c r="S110" s="65"/>
      <c r="T110" s="65"/>
      <c r="U110" s="65"/>
      <c r="V110" s="65"/>
      <c r="W110" s="65"/>
      <c r="X110" s="65"/>
      <c r="Y110" s="65"/>
      <c r="Z110" s="37"/>
      <c r="AA110" s="37"/>
      <c r="AB110" s="266"/>
      <c r="AC110" s="268"/>
    </row>
    <row r="111" spans="1:29" s="28" customFormat="1" x14ac:dyDescent="0.25">
      <c r="A111" s="35">
        <v>45750</v>
      </c>
      <c r="B111" s="36"/>
      <c r="C111" s="36"/>
      <c r="D111" s="36"/>
      <c r="E111" s="65"/>
      <c r="F111" s="65"/>
      <c r="G111" s="65"/>
      <c r="H111" s="65"/>
      <c r="I111" s="4">
        <f t="shared" si="3"/>
        <v>0</v>
      </c>
      <c r="J111" s="36"/>
      <c r="K111" s="36"/>
      <c r="L111" s="37"/>
      <c r="M111" s="36"/>
      <c r="N111" s="65"/>
      <c r="O111" s="65"/>
      <c r="P111" s="37"/>
      <c r="Q111" s="37"/>
      <c r="R111" s="65"/>
      <c r="S111" s="65"/>
      <c r="T111" s="65"/>
      <c r="U111" s="65"/>
      <c r="V111" s="65"/>
      <c r="W111" s="65"/>
      <c r="X111" s="65"/>
      <c r="Y111" s="65"/>
      <c r="Z111" s="37"/>
      <c r="AA111" s="37"/>
      <c r="AB111" s="266"/>
      <c r="AC111" s="268"/>
    </row>
    <row r="112" spans="1:29" s="28" customFormat="1" x14ac:dyDescent="0.25">
      <c r="A112" s="35">
        <v>45751</v>
      </c>
      <c r="B112" s="36"/>
      <c r="C112" s="36"/>
      <c r="D112" s="36"/>
      <c r="E112" s="65"/>
      <c r="F112" s="65"/>
      <c r="G112" s="65"/>
      <c r="H112" s="65"/>
      <c r="I112" s="4">
        <f t="shared" si="3"/>
        <v>0</v>
      </c>
      <c r="J112" s="36"/>
      <c r="K112" s="36"/>
      <c r="L112" s="37"/>
      <c r="M112" s="36"/>
      <c r="N112" s="65"/>
      <c r="O112" s="65"/>
      <c r="P112" s="37"/>
      <c r="Q112" s="37"/>
      <c r="R112" s="65"/>
      <c r="S112" s="65"/>
      <c r="T112" s="65"/>
      <c r="U112" s="65"/>
      <c r="V112" s="65"/>
      <c r="W112" s="65"/>
      <c r="X112" s="65"/>
      <c r="Y112" s="65"/>
      <c r="Z112" s="37"/>
      <c r="AA112" s="37"/>
      <c r="AB112" s="266"/>
      <c r="AC112" s="268"/>
    </row>
    <row r="113" spans="1:29" s="28" customFormat="1" x14ac:dyDescent="0.25">
      <c r="A113" s="35">
        <v>45752</v>
      </c>
      <c r="B113" s="36"/>
      <c r="C113" s="36"/>
      <c r="D113" s="36"/>
      <c r="E113" s="39"/>
      <c r="F113" s="39"/>
      <c r="G113" s="39"/>
      <c r="H113" s="39"/>
      <c r="I113" s="4">
        <f t="shared" si="3"/>
        <v>0</v>
      </c>
      <c r="J113" s="39"/>
      <c r="K113" s="36"/>
      <c r="L113" s="37"/>
      <c r="M113" s="36"/>
      <c r="N113" s="37"/>
      <c r="O113" s="37"/>
      <c r="P113" s="37"/>
      <c r="Q113" s="37"/>
      <c r="R113" s="65"/>
      <c r="S113" s="65"/>
      <c r="T113" s="65"/>
      <c r="U113" s="65"/>
      <c r="V113" s="37"/>
      <c r="W113" s="37"/>
      <c r="X113" s="65"/>
      <c r="Y113" s="65"/>
      <c r="Z113" s="37"/>
      <c r="AA113" s="37"/>
      <c r="AB113" s="266"/>
      <c r="AC113" s="268"/>
    </row>
    <row r="114" spans="1:29" s="28" customFormat="1" x14ac:dyDescent="0.25">
      <c r="A114" s="35">
        <v>45753</v>
      </c>
      <c r="B114" s="36"/>
      <c r="C114" s="36"/>
      <c r="D114" s="36"/>
      <c r="E114" s="37"/>
      <c r="F114" s="37"/>
      <c r="G114" s="65"/>
      <c r="H114" s="65"/>
      <c r="I114" s="4">
        <f t="shared" si="3"/>
        <v>0</v>
      </c>
      <c r="J114" s="39"/>
      <c r="K114" s="36"/>
      <c r="L114" s="37"/>
      <c r="M114" s="36"/>
      <c r="N114" s="65"/>
      <c r="O114" s="65"/>
      <c r="P114" s="37"/>
      <c r="Q114" s="37"/>
      <c r="R114" s="65"/>
      <c r="S114" s="65"/>
      <c r="T114" s="65"/>
      <c r="U114" s="65"/>
      <c r="V114" s="65"/>
      <c r="W114" s="65"/>
      <c r="X114" s="37"/>
      <c r="Y114" s="37"/>
      <c r="Z114" s="37"/>
      <c r="AA114" s="37"/>
      <c r="AB114" s="266"/>
      <c r="AC114" s="268"/>
    </row>
    <row r="115" spans="1:29" s="28" customFormat="1" x14ac:dyDescent="0.25">
      <c r="A115" s="35">
        <v>45754</v>
      </c>
      <c r="B115" s="36"/>
      <c r="C115" s="36"/>
      <c r="D115" s="36"/>
      <c r="E115" s="65"/>
      <c r="F115" s="65"/>
      <c r="G115" s="65"/>
      <c r="H115" s="65"/>
      <c r="I115" s="4">
        <f t="shared" si="3"/>
        <v>0</v>
      </c>
      <c r="J115" s="39"/>
      <c r="K115" s="36"/>
      <c r="L115" s="37"/>
      <c r="M115" s="36"/>
      <c r="N115" s="37"/>
      <c r="O115" s="37"/>
      <c r="P115" s="37"/>
      <c r="Q115" s="37"/>
      <c r="R115" s="65"/>
      <c r="S115" s="65"/>
      <c r="T115" s="65"/>
      <c r="U115" s="65"/>
      <c r="V115" s="65"/>
      <c r="W115" s="65"/>
      <c r="X115" s="65"/>
      <c r="Y115" s="65"/>
      <c r="Z115" s="37"/>
      <c r="AA115" s="37"/>
      <c r="AB115" s="266"/>
      <c r="AC115" s="268"/>
    </row>
    <row r="116" spans="1:29" s="28" customFormat="1" x14ac:dyDescent="0.25">
      <c r="A116" s="35">
        <v>45755</v>
      </c>
      <c r="B116" s="36"/>
      <c r="C116" s="36"/>
      <c r="D116" s="36"/>
      <c r="E116" s="65"/>
      <c r="F116" s="65"/>
      <c r="G116" s="65"/>
      <c r="H116" s="65"/>
      <c r="I116" s="4">
        <f t="shared" si="3"/>
        <v>0</v>
      </c>
      <c r="J116" s="36"/>
      <c r="K116" s="36"/>
      <c r="L116" s="37"/>
      <c r="M116" s="36"/>
      <c r="N116" s="65"/>
      <c r="O116" s="65"/>
      <c r="P116" s="37"/>
      <c r="Q116" s="37"/>
      <c r="R116" s="65"/>
      <c r="S116" s="65"/>
      <c r="T116" s="65"/>
      <c r="U116" s="65"/>
      <c r="V116" s="65"/>
      <c r="W116" s="65"/>
      <c r="X116" s="65"/>
      <c r="Y116" s="65"/>
      <c r="Z116" s="37"/>
      <c r="AA116" s="37"/>
      <c r="AB116" s="266"/>
      <c r="AC116" s="268"/>
    </row>
    <row r="117" spans="1:29" s="28" customFormat="1" x14ac:dyDescent="0.25">
      <c r="A117" s="35">
        <v>45756</v>
      </c>
      <c r="B117" s="36"/>
      <c r="C117" s="36"/>
      <c r="D117" s="36"/>
      <c r="E117" s="65"/>
      <c r="F117" s="65"/>
      <c r="G117" s="65"/>
      <c r="H117" s="65"/>
      <c r="I117" s="4">
        <f t="shared" si="3"/>
        <v>0</v>
      </c>
      <c r="J117" s="39"/>
      <c r="K117" s="36"/>
      <c r="L117" s="37"/>
      <c r="M117" s="36"/>
      <c r="N117" s="37"/>
      <c r="O117" s="37"/>
      <c r="P117" s="37"/>
      <c r="Q117" s="37"/>
      <c r="R117" s="65"/>
      <c r="S117" s="65"/>
      <c r="T117" s="65"/>
      <c r="U117" s="65"/>
      <c r="V117" s="65"/>
      <c r="W117" s="65"/>
      <c r="X117" s="65"/>
      <c r="Y117" s="65"/>
      <c r="Z117" s="37"/>
      <c r="AA117" s="37"/>
      <c r="AB117" s="266"/>
      <c r="AC117" s="268"/>
    </row>
    <row r="118" spans="1:29" s="28" customFormat="1" x14ac:dyDescent="0.25">
      <c r="A118" s="35">
        <v>45756</v>
      </c>
      <c r="B118" s="36"/>
      <c r="C118" s="36"/>
      <c r="D118" s="36"/>
      <c r="E118" s="65"/>
      <c r="F118" s="65"/>
      <c r="G118" s="65"/>
      <c r="H118" s="65"/>
      <c r="I118" s="4">
        <f t="shared" si="3"/>
        <v>0</v>
      </c>
      <c r="J118" s="36"/>
      <c r="K118" s="36"/>
      <c r="L118" s="37"/>
      <c r="M118" s="36"/>
      <c r="N118" s="37"/>
      <c r="O118" s="37"/>
      <c r="P118" s="37"/>
      <c r="Q118" s="37"/>
      <c r="R118" s="65"/>
      <c r="S118" s="65"/>
      <c r="T118" s="65"/>
      <c r="U118" s="65"/>
      <c r="V118" s="65"/>
      <c r="W118" s="65"/>
      <c r="X118" s="65"/>
      <c r="Y118" s="65"/>
      <c r="Z118" s="37"/>
      <c r="AA118" s="37"/>
      <c r="AB118" s="266"/>
      <c r="AC118" s="268"/>
    </row>
    <row r="119" spans="1:29" s="28" customFormat="1" x14ac:dyDescent="0.25">
      <c r="A119" s="35">
        <v>45757</v>
      </c>
      <c r="B119" s="36"/>
      <c r="C119" s="36"/>
      <c r="D119" s="36"/>
      <c r="E119" s="65"/>
      <c r="F119" s="65"/>
      <c r="G119" s="65"/>
      <c r="H119" s="65"/>
      <c r="I119" s="4">
        <f t="shared" si="3"/>
        <v>0</v>
      </c>
      <c r="J119" s="36"/>
      <c r="K119" s="36"/>
      <c r="L119" s="37"/>
      <c r="M119" s="36"/>
      <c r="N119" s="37"/>
      <c r="O119" s="37"/>
      <c r="P119" s="37"/>
      <c r="Q119" s="37"/>
      <c r="R119" s="65"/>
      <c r="S119" s="65"/>
      <c r="T119" s="65"/>
      <c r="U119" s="65"/>
      <c r="V119" s="65"/>
      <c r="W119" s="65"/>
      <c r="X119" s="65"/>
      <c r="Y119" s="65"/>
      <c r="Z119" s="37"/>
      <c r="AA119" s="37"/>
      <c r="AB119" s="266"/>
      <c r="AC119" s="268"/>
    </row>
    <row r="120" spans="1:29" s="28" customFormat="1" x14ac:dyDescent="0.25">
      <c r="A120" s="35">
        <v>45757</v>
      </c>
      <c r="B120" s="36"/>
      <c r="C120" s="36"/>
      <c r="D120" s="36"/>
      <c r="E120" s="65"/>
      <c r="F120" s="65"/>
      <c r="G120" s="248"/>
      <c r="H120" s="248"/>
      <c r="I120" s="38"/>
      <c r="J120" s="36"/>
      <c r="K120" s="36"/>
      <c r="L120" s="37"/>
      <c r="M120" s="36"/>
      <c r="N120" s="65"/>
      <c r="O120" s="65"/>
      <c r="P120" s="37"/>
      <c r="Q120" s="37"/>
      <c r="R120" s="65"/>
      <c r="S120" s="65"/>
      <c r="T120" s="65"/>
      <c r="U120" s="65"/>
      <c r="V120" s="65"/>
      <c r="W120" s="65"/>
      <c r="X120" s="65"/>
      <c r="Y120" s="65"/>
      <c r="Z120" s="37"/>
      <c r="AA120" s="37"/>
      <c r="AB120" s="266"/>
      <c r="AC120" s="268"/>
    </row>
    <row r="121" spans="1:29" s="28" customFormat="1" x14ac:dyDescent="0.25">
      <c r="A121" s="35">
        <v>45758</v>
      </c>
      <c r="B121" s="36"/>
      <c r="C121" s="36"/>
      <c r="D121" s="36"/>
      <c r="E121" s="37"/>
      <c r="F121" s="37"/>
      <c r="G121" s="65"/>
      <c r="H121" s="65"/>
      <c r="I121" s="38"/>
      <c r="J121" s="37"/>
      <c r="K121" s="37"/>
      <c r="L121" s="37"/>
      <c r="M121" s="36"/>
      <c r="N121" s="37"/>
      <c r="O121" s="37"/>
      <c r="P121" s="37"/>
      <c r="Q121" s="37"/>
      <c r="R121" s="37"/>
      <c r="S121" s="37"/>
      <c r="T121" s="37"/>
      <c r="U121" s="37"/>
      <c r="V121" s="65"/>
      <c r="W121" s="65"/>
      <c r="X121" s="37"/>
      <c r="Y121" s="65"/>
      <c r="Z121" s="37"/>
      <c r="AA121" s="37"/>
      <c r="AB121" s="42"/>
      <c r="AC121" s="268"/>
    </row>
    <row r="122" spans="1:29" s="28" customFormat="1" x14ac:dyDescent="0.25">
      <c r="A122" s="35">
        <v>45759</v>
      </c>
      <c r="B122" s="36"/>
      <c r="C122" s="37"/>
      <c r="D122" s="36"/>
      <c r="E122" s="65"/>
      <c r="F122" s="65"/>
      <c r="G122" s="65"/>
      <c r="H122" s="65"/>
      <c r="I122" s="38"/>
      <c r="J122" s="65"/>
      <c r="K122" s="37"/>
      <c r="L122" s="37"/>
      <c r="M122" s="37"/>
      <c r="N122" s="37"/>
      <c r="O122" s="37"/>
      <c r="P122" s="37"/>
      <c r="Q122" s="37"/>
      <c r="R122" s="65"/>
      <c r="S122" s="65"/>
      <c r="T122" s="65"/>
      <c r="U122" s="65"/>
      <c r="V122" s="65"/>
      <c r="W122" s="65"/>
      <c r="X122" s="65"/>
      <c r="Y122" s="65"/>
      <c r="Z122" s="37"/>
      <c r="AA122" s="37"/>
      <c r="AB122" s="266"/>
      <c r="AC122" s="268"/>
    </row>
    <row r="123" spans="1:29" s="28" customFormat="1" x14ac:dyDescent="0.25">
      <c r="A123" s="35">
        <v>45760</v>
      </c>
      <c r="B123" s="36"/>
      <c r="C123" s="37"/>
      <c r="D123" s="36"/>
      <c r="E123" s="37"/>
      <c r="F123" s="37"/>
      <c r="G123" s="37"/>
      <c r="H123" s="37"/>
      <c r="I123" s="38"/>
      <c r="J123" s="37"/>
      <c r="K123" s="37"/>
      <c r="L123" s="37"/>
      <c r="M123" s="37"/>
      <c r="N123" s="37"/>
      <c r="O123" s="37"/>
      <c r="P123" s="37"/>
      <c r="Q123" s="37"/>
      <c r="R123" s="65"/>
      <c r="S123" s="65"/>
      <c r="T123" s="37"/>
      <c r="U123" s="37"/>
      <c r="V123" s="37"/>
      <c r="W123" s="37"/>
      <c r="X123" s="37"/>
      <c r="Y123" s="37"/>
      <c r="Z123" s="37"/>
      <c r="AA123" s="37"/>
      <c r="AB123" s="42"/>
      <c r="AC123" s="268"/>
    </row>
    <row r="124" spans="1:29" s="28" customFormat="1" x14ac:dyDescent="0.25">
      <c r="A124" s="35">
        <v>45761</v>
      </c>
      <c r="B124" s="36"/>
      <c r="C124" s="37"/>
      <c r="D124" s="36"/>
      <c r="E124" s="65"/>
      <c r="F124" s="65"/>
      <c r="G124" s="65"/>
      <c r="H124" s="65"/>
      <c r="I124" s="38"/>
      <c r="J124" s="37"/>
      <c r="K124" s="37"/>
      <c r="L124" s="37"/>
      <c r="M124" s="37"/>
      <c r="N124" s="37"/>
      <c r="O124" s="37"/>
      <c r="P124" s="37"/>
      <c r="Q124" s="37"/>
      <c r="R124" s="65"/>
      <c r="S124" s="65"/>
      <c r="T124" s="65"/>
      <c r="U124" s="65"/>
      <c r="V124" s="65"/>
      <c r="W124" s="65"/>
      <c r="X124" s="65"/>
      <c r="Y124" s="65"/>
      <c r="Z124" s="37"/>
      <c r="AA124" s="37"/>
      <c r="AB124" s="266"/>
      <c r="AC124" s="268"/>
    </row>
    <row r="125" spans="1:29" s="28" customFormat="1" x14ac:dyDescent="0.25">
      <c r="A125" s="35">
        <v>45762</v>
      </c>
      <c r="B125" s="36"/>
      <c r="C125" s="37"/>
      <c r="D125" s="36"/>
      <c r="E125" s="65"/>
      <c r="F125" s="65"/>
      <c r="G125" s="65"/>
      <c r="H125" s="65"/>
      <c r="I125" s="38"/>
      <c r="J125" s="65"/>
      <c r="K125" s="37"/>
      <c r="L125" s="37"/>
      <c r="M125" s="37"/>
      <c r="N125" s="37"/>
      <c r="O125" s="37"/>
      <c r="P125" s="37"/>
      <c r="Q125" s="37"/>
      <c r="R125" s="65"/>
      <c r="S125" s="65"/>
      <c r="T125" s="65"/>
      <c r="U125" s="65"/>
      <c r="V125" s="65"/>
      <c r="W125" s="65"/>
      <c r="X125" s="65"/>
      <c r="Y125" s="65"/>
      <c r="Z125" s="37"/>
      <c r="AA125" s="37"/>
      <c r="AB125" s="266"/>
      <c r="AC125" s="268"/>
    </row>
    <row r="126" spans="1:29" s="28" customFormat="1" x14ac:dyDescent="0.25">
      <c r="A126" s="35">
        <v>45763</v>
      </c>
      <c r="B126" s="36"/>
      <c r="C126" s="37"/>
      <c r="D126" s="36"/>
      <c r="E126" s="65"/>
      <c r="F126" s="65"/>
      <c r="G126" s="65"/>
      <c r="H126" s="65"/>
      <c r="I126" s="38"/>
      <c r="J126" s="37"/>
      <c r="K126" s="37"/>
      <c r="L126" s="37"/>
      <c r="M126" s="37"/>
      <c r="N126" s="65"/>
      <c r="O126" s="65"/>
      <c r="P126" s="37"/>
      <c r="Q126" s="37"/>
      <c r="R126" s="65"/>
      <c r="S126" s="65"/>
      <c r="T126" s="65"/>
      <c r="U126" s="65"/>
      <c r="V126" s="65"/>
      <c r="W126" s="65"/>
      <c r="X126" s="65"/>
      <c r="Y126" s="65"/>
      <c r="Z126" s="37"/>
      <c r="AA126" s="37"/>
      <c r="AB126" s="266"/>
      <c r="AC126" s="268"/>
    </row>
    <row r="127" spans="1:29" s="28" customFormat="1" x14ac:dyDescent="0.25">
      <c r="A127" s="35">
        <v>45764</v>
      </c>
      <c r="B127" s="36"/>
      <c r="C127" s="37"/>
      <c r="D127" s="36"/>
      <c r="E127" s="65"/>
      <c r="F127" s="65"/>
      <c r="G127" s="65"/>
      <c r="H127" s="65"/>
      <c r="I127" s="38"/>
      <c r="J127" s="37"/>
      <c r="K127" s="37"/>
      <c r="L127" s="37"/>
      <c r="M127" s="37"/>
      <c r="N127" s="37"/>
      <c r="O127" s="37"/>
      <c r="P127" s="37"/>
      <c r="Q127" s="37"/>
      <c r="R127" s="65"/>
      <c r="S127" s="65"/>
      <c r="T127" s="65"/>
      <c r="U127" s="65"/>
      <c r="V127" s="65"/>
      <c r="W127" s="65"/>
      <c r="X127" s="65"/>
      <c r="Y127" s="65"/>
      <c r="Z127" s="37"/>
      <c r="AA127" s="37"/>
      <c r="AB127" s="266"/>
      <c r="AC127" s="268"/>
    </row>
    <row r="128" spans="1:29" s="28" customFormat="1" x14ac:dyDescent="0.25">
      <c r="A128" s="35">
        <v>45765</v>
      </c>
      <c r="B128" s="36"/>
      <c r="C128" s="37"/>
      <c r="D128" s="36"/>
      <c r="E128" s="65"/>
      <c r="F128" s="65"/>
      <c r="G128" s="65"/>
      <c r="H128" s="65"/>
      <c r="I128" s="38"/>
      <c r="J128" s="37"/>
      <c r="K128" s="37"/>
      <c r="L128" s="37"/>
      <c r="M128" s="37"/>
      <c r="N128" s="37"/>
      <c r="O128" s="37"/>
      <c r="P128" s="37"/>
      <c r="Q128" s="37"/>
      <c r="R128" s="65"/>
      <c r="S128" s="65"/>
      <c r="T128" s="65"/>
      <c r="U128" s="65"/>
      <c r="V128" s="65"/>
      <c r="W128" s="65"/>
      <c r="X128" s="65"/>
      <c r="Y128" s="65"/>
      <c r="Z128" s="37"/>
      <c r="AA128" s="37"/>
      <c r="AB128" s="266"/>
      <c r="AC128" s="268"/>
    </row>
    <row r="129" spans="1:29" s="28" customFormat="1" x14ac:dyDescent="0.25">
      <c r="A129" s="35">
        <v>45766</v>
      </c>
      <c r="B129" s="36"/>
      <c r="C129" s="37"/>
      <c r="D129" s="36"/>
      <c r="E129" s="65"/>
      <c r="F129" s="65"/>
      <c r="G129" s="65"/>
      <c r="H129" s="65"/>
      <c r="I129" s="38"/>
      <c r="J129" s="37"/>
      <c r="K129" s="37"/>
      <c r="L129" s="37"/>
      <c r="M129" s="37"/>
      <c r="N129" s="37"/>
      <c r="O129" s="37"/>
      <c r="P129" s="37"/>
      <c r="Q129" s="37"/>
      <c r="R129" s="65"/>
      <c r="S129" s="65"/>
      <c r="T129" s="65"/>
      <c r="U129" s="65"/>
      <c r="V129" s="65"/>
      <c r="W129" s="65"/>
      <c r="X129" s="65"/>
      <c r="Y129" s="65"/>
      <c r="Z129" s="37"/>
      <c r="AA129" s="37"/>
      <c r="AB129" s="266"/>
      <c r="AC129" s="268"/>
    </row>
    <row r="130" spans="1:29" s="28" customFormat="1" x14ac:dyDescent="0.25">
      <c r="A130" s="35">
        <v>45767</v>
      </c>
      <c r="B130" s="36"/>
      <c r="C130" s="37"/>
      <c r="D130" s="36"/>
      <c r="E130" s="37"/>
      <c r="F130" s="37"/>
      <c r="G130" s="37"/>
      <c r="H130" s="37"/>
      <c r="I130" s="38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42"/>
      <c r="AC130" s="268"/>
    </row>
    <row r="131" spans="1:29" s="28" customFormat="1" x14ac:dyDescent="0.25">
      <c r="A131" s="35">
        <v>45768</v>
      </c>
      <c r="B131" s="36"/>
      <c r="C131" s="37"/>
      <c r="D131" s="36"/>
      <c r="E131" s="65"/>
      <c r="F131" s="65"/>
      <c r="G131" s="65"/>
      <c r="H131" s="65"/>
      <c r="I131" s="38"/>
      <c r="J131" s="37"/>
      <c r="K131" s="37"/>
      <c r="L131" s="37"/>
      <c r="M131" s="37"/>
      <c r="N131" s="37"/>
      <c r="O131" s="37"/>
      <c r="P131" s="37"/>
      <c r="Q131" s="37"/>
      <c r="R131" s="65"/>
      <c r="S131" s="65"/>
      <c r="T131" s="65"/>
      <c r="U131" s="65"/>
      <c r="V131" s="65"/>
      <c r="W131" s="65"/>
      <c r="X131" s="65"/>
      <c r="Y131" s="65"/>
      <c r="Z131" s="37"/>
      <c r="AA131" s="37"/>
      <c r="AB131" s="266"/>
      <c r="AC131" s="268"/>
    </row>
    <row r="132" spans="1:29" s="28" customFormat="1" x14ac:dyDescent="0.25">
      <c r="A132" s="35">
        <v>45769</v>
      </c>
      <c r="B132" s="36"/>
      <c r="C132" s="37"/>
      <c r="D132" s="36"/>
      <c r="E132" s="65"/>
      <c r="F132" s="65"/>
      <c r="G132" s="65"/>
      <c r="H132" s="65"/>
      <c r="I132" s="38"/>
      <c r="J132" s="37"/>
      <c r="K132" s="37"/>
      <c r="L132" s="37"/>
      <c r="M132" s="37"/>
      <c r="N132" s="37"/>
      <c r="O132" s="37"/>
      <c r="P132" s="37"/>
      <c r="Q132" s="37"/>
      <c r="R132" s="65"/>
      <c r="S132" s="65"/>
      <c r="T132" s="65"/>
      <c r="U132" s="65"/>
      <c r="V132" s="65"/>
      <c r="W132" s="65"/>
      <c r="X132" s="65"/>
      <c r="Y132" s="65"/>
      <c r="Z132" s="37"/>
      <c r="AA132" s="37"/>
      <c r="AB132" s="266"/>
      <c r="AC132" s="268"/>
    </row>
    <row r="133" spans="1:29" s="28" customFormat="1" x14ac:dyDescent="0.25">
      <c r="A133" s="35">
        <v>45770</v>
      </c>
      <c r="B133" s="36"/>
      <c r="C133" s="37"/>
      <c r="D133" s="36"/>
      <c r="E133" s="65"/>
      <c r="F133" s="65"/>
      <c r="G133" s="65"/>
      <c r="H133" s="65"/>
      <c r="I133" s="38"/>
      <c r="J133" s="37"/>
      <c r="K133" s="37"/>
      <c r="L133" s="37"/>
      <c r="M133" s="37"/>
      <c r="N133" s="65"/>
      <c r="O133" s="65"/>
      <c r="P133" s="37"/>
      <c r="Q133" s="37"/>
      <c r="R133" s="65"/>
      <c r="S133" s="65"/>
      <c r="T133" s="65"/>
      <c r="U133" s="65"/>
      <c r="V133" s="65"/>
      <c r="W133" s="65"/>
      <c r="X133" s="65"/>
      <c r="Y133" s="65"/>
      <c r="Z133" s="37"/>
      <c r="AA133" s="37"/>
      <c r="AB133" s="266"/>
      <c r="AC133" s="268"/>
    </row>
    <row r="134" spans="1:29" s="28" customFormat="1" x14ac:dyDescent="0.25">
      <c r="A134" s="35">
        <v>45771</v>
      </c>
      <c r="B134" s="36"/>
      <c r="C134" s="37"/>
      <c r="D134" s="36"/>
      <c r="E134" s="65"/>
      <c r="F134" s="65"/>
      <c r="G134" s="65"/>
      <c r="H134" s="65"/>
      <c r="I134" s="38"/>
      <c r="J134" s="65"/>
      <c r="K134" s="37"/>
      <c r="L134" s="37"/>
      <c r="M134" s="37"/>
      <c r="N134" s="65"/>
      <c r="O134" s="65"/>
      <c r="P134" s="37"/>
      <c r="Q134" s="37"/>
      <c r="R134" s="65"/>
      <c r="S134" s="65"/>
      <c r="T134" s="65"/>
      <c r="U134" s="65"/>
      <c r="V134" s="65"/>
      <c r="W134" s="65"/>
      <c r="X134" s="65"/>
      <c r="Y134" s="65"/>
      <c r="Z134" s="37"/>
      <c r="AA134" s="37"/>
      <c r="AB134" s="266"/>
      <c r="AC134" s="268"/>
    </row>
    <row r="135" spans="1:29" s="28" customFormat="1" x14ac:dyDescent="0.25">
      <c r="A135" s="35">
        <v>45772</v>
      </c>
      <c r="B135" s="36"/>
      <c r="C135" s="37"/>
      <c r="D135" s="36"/>
      <c r="E135" s="65"/>
      <c r="F135" s="65"/>
      <c r="G135" s="65"/>
      <c r="H135" s="65"/>
      <c r="I135" s="38"/>
      <c r="J135" s="65"/>
      <c r="K135" s="37"/>
      <c r="L135" s="37"/>
      <c r="M135" s="37"/>
      <c r="N135" s="37"/>
      <c r="O135" s="37"/>
      <c r="P135" s="37"/>
      <c r="Q135" s="37"/>
      <c r="R135" s="65"/>
      <c r="S135" s="65"/>
      <c r="T135" s="65"/>
      <c r="U135" s="65"/>
      <c r="V135" s="65"/>
      <c r="W135" s="65"/>
      <c r="X135" s="65"/>
      <c r="Y135" s="65"/>
      <c r="Z135" s="37"/>
      <c r="AA135" s="37"/>
      <c r="AB135" s="266"/>
      <c r="AC135" s="268"/>
    </row>
    <row r="136" spans="1:29" s="28" customFormat="1" x14ac:dyDescent="0.25">
      <c r="A136" s="35">
        <v>45773</v>
      </c>
      <c r="B136" s="36"/>
      <c r="C136" s="37"/>
      <c r="D136" s="36"/>
      <c r="E136" s="65"/>
      <c r="F136" s="65"/>
      <c r="G136" s="65"/>
      <c r="H136" s="65"/>
      <c r="I136" s="38"/>
      <c r="J136" s="65"/>
      <c r="K136" s="37"/>
      <c r="L136" s="37"/>
      <c r="M136" s="37"/>
      <c r="N136" s="37"/>
      <c r="O136" s="37"/>
      <c r="P136" s="37"/>
      <c r="Q136" s="37"/>
      <c r="R136" s="65"/>
      <c r="S136" s="65"/>
      <c r="T136" s="65"/>
      <c r="U136" s="65"/>
      <c r="V136" s="65"/>
      <c r="W136" s="65"/>
      <c r="X136" s="65"/>
      <c r="Y136" s="65"/>
      <c r="Z136" s="37"/>
      <c r="AA136" s="37"/>
      <c r="AB136" s="266"/>
      <c r="AC136" s="268"/>
    </row>
    <row r="137" spans="1:29" s="28" customFormat="1" x14ac:dyDescent="0.25">
      <c r="A137" s="35">
        <v>45774</v>
      </c>
      <c r="B137" s="36"/>
      <c r="C137" s="37"/>
      <c r="D137" s="36"/>
      <c r="E137" s="37"/>
      <c r="F137" s="37"/>
      <c r="G137" s="37"/>
      <c r="H137" s="37"/>
      <c r="I137" s="38"/>
      <c r="J137" s="65"/>
      <c r="K137" s="37"/>
      <c r="L137" s="37"/>
      <c r="M137" s="37"/>
      <c r="N137" s="65"/>
      <c r="O137" s="65"/>
      <c r="P137" s="37"/>
      <c r="Q137" s="37"/>
      <c r="R137" s="65"/>
      <c r="S137" s="65"/>
      <c r="T137" s="65"/>
      <c r="U137" s="65"/>
      <c r="V137" s="65"/>
      <c r="W137" s="65"/>
      <c r="X137" s="65"/>
      <c r="Y137" s="37"/>
      <c r="Z137" s="37"/>
      <c r="AA137" s="37"/>
      <c r="AB137" s="266"/>
      <c r="AC137" s="268"/>
    </row>
    <row r="138" spans="1:29" s="28" customFormat="1" x14ac:dyDescent="0.25">
      <c r="A138" s="35">
        <v>45775</v>
      </c>
      <c r="B138" s="36"/>
      <c r="C138" s="37"/>
      <c r="D138" s="36"/>
      <c r="E138" s="65"/>
      <c r="F138" s="65"/>
      <c r="G138" s="65"/>
      <c r="H138" s="65"/>
      <c r="I138" s="38"/>
      <c r="J138" s="65"/>
      <c r="K138" s="37"/>
      <c r="L138" s="37"/>
      <c r="M138" s="37"/>
      <c r="N138" s="65"/>
      <c r="O138" s="65"/>
      <c r="P138" s="37"/>
      <c r="Q138" s="37"/>
      <c r="R138" s="65"/>
      <c r="S138" s="65"/>
      <c r="T138" s="65"/>
      <c r="U138" s="65"/>
      <c r="V138" s="65"/>
      <c r="W138" s="65"/>
      <c r="X138" s="65"/>
      <c r="Y138" s="65"/>
      <c r="Z138" s="37"/>
      <c r="AA138" s="37"/>
      <c r="AB138" s="266"/>
      <c r="AC138" s="268"/>
    </row>
    <row r="139" spans="1:29" s="28" customFormat="1" x14ac:dyDescent="0.25">
      <c r="A139" s="35">
        <v>45776</v>
      </c>
      <c r="B139" s="36"/>
      <c r="C139" s="37"/>
      <c r="D139" s="36"/>
      <c r="E139" s="65"/>
      <c r="F139" s="65"/>
      <c r="G139" s="65"/>
      <c r="H139" s="65"/>
      <c r="I139" s="38"/>
      <c r="J139" s="65"/>
      <c r="K139" s="37"/>
      <c r="L139" s="37"/>
      <c r="M139" s="37"/>
      <c r="N139" s="37"/>
      <c r="O139" s="37"/>
      <c r="P139" s="37"/>
      <c r="Q139" s="37"/>
      <c r="R139" s="65"/>
      <c r="S139" s="65"/>
      <c r="T139" s="65"/>
      <c r="U139" s="65"/>
      <c r="V139" s="65"/>
      <c r="W139" s="65"/>
      <c r="X139" s="65"/>
      <c r="Y139" s="65"/>
      <c r="Z139" s="37"/>
      <c r="AA139" s="37"/>
      <c r="AB139" s="266"/>
      <c r="AC139" s="268"/>
    </row>
    <row r="140" spans="1:29" s="28" customFormat="1" x14ac:dyDescent="0.25">
      <c r="A140" s="35">
        <v>45777</v>
      </c>
      <c r="B140" s="36"/>
      <c r="C140" s="37"/>
      <c r="D140" s="36"/>
      <c r="E140" s="65"/>
      <c r="F140" s="65"/>
      <c r="G140" s="65"/>
      <c r="H140" s="65"/>
      <c r="I140" s="38"/>
      <c r="J140" s="65"/>
      <c r="K140" s="65"/>
      <c r="L140" s="37"/>
      <c r="M140" s="37"/>
      <c r="N140" s="37"/>
      <c r="O140" s="37"/>
      <c r="P140" s="37"/>
      <c r="Q140" s="37"/>
      <c r="R140" s="65"/>
      <c r="S140" s="65"/>
      <c r="T140" s="65"/>
      <c r="U140" s="65"/>
      <c r="V140" s="65"/>
      <c r="W140" s="65"/>
      <c r="X140" s="65"/>
      <c r="Y140" s="65"/>
      <c r="Z140" s="37"/>
      <c r="AA140" s="37"/>
      <c r="AB140" s="266"/>
      <c r="AC140" s="268"/>
    </row>
    <row r="141" spans="1:29" s="28" customFormat="1" x14ac:dyDescent="0.25">
      <c r="A141" s="35">
        <v>45778</v>
      </c>
      <c r="B141" s="36"/>
      <c r="C141" s="37"/>
      <c r="D141" s="36"/>
      <c r="E141" s="65"/>
      <c r="F141" s="65"/>
      <c r="G141" s="65"/>
      <c r="H141" s="65"/>
      <c r="I141" s="38"/>
      <c r="J141" s="37"/>
      <c r="K141" s="37"/>
      <c r="L141" s="37"/>
      <c r="M141" s="37"/>
      <c r="N141" s="37"/>
      <c r="O141" s="37"/>
      <c r="P141" s="37"/>
      <c r="Q141" s="37"/>
      <c r="R141" s="65"/>
      <c r="S141" s="65"/>
      <c r="T141" s="65"/>
      <c r="U141" s="65"/>
      <c r="V141" s="65"/>
      <c r="W141" s="65"/>
      <c r="X141" s="65"/>
      <c r="Y141" s="65"/>
      <c r="Z141" s="37"/>
      <c r="AA141" s="37"/>
      <c r="AB141" s="266"/>
      <c r="AC141" s="268"/>
    </row>
    <row r="142" spans="1:29" s="28" customFormat="1" x14ac:dyDescent="0.25">
      <c r="A142" s="35">
        <v>45779</v>
      </c>
      <c r="B142" s="36"/>
      <c r="C142" s="37"/>
      <c r="D142" s="36"/>
      <c r="E142" s="65"/>
      <c r="F142" s="65"/>
      <c r="G142" s="65"/>
      <c r="H142" s="65"/>
      <c r="I142" s="38"/>
      <c r="J142" s="37"/>
      <c r="K142" s="37"/>
      <c r="L142" s="37"/>
      <c r="M142" s="37"/>
      <c r="N142" s="37"/>
      <c r="O142" s="37"/>
      <c r="P142" s="37"/>
      <c r="Q142" s="37"/>
      <c r="R142" s="65"/>
      <c r="S142" s="65"/>
      <c r="T142" s="65"/>
      <c r="U142" s="65"/>
      <c r="V142" s="65"/>
      <c r="W142" s="65"/>
      <c r="X142" s="65"/>
      <c r="Y142" s="65"/>
      <c r="Z142" s="37"/>
      <c r="AA142" s="37"/>
      <c r="AB142" s="266"/>
      <c r="AC142" s="268"/>
    </row>
    <row r="143" spans="1:29" s="28" customFormat="1" x14ac:dyDescent="0.25">
      <c r="A143" s="35">
        <v>45780</v>
      </c>
      <c r="B143" s="36"/>
      <c r="C143" s="37"/>
      <c r="D143" s="36"/>
      <c r="E143" s="65"/>
      <c r="F143" s="65"/>
      <c r="G143" s="65"/>
      <c r="H143" s="65"/>
      <c r="I143" s="38"/>
      <c r="J143" s="37"/>
      <c r="K143" s="37"/>
      <c r="L143" s="37"/>
      <c r="M143" s="37"/>
      <c r="N143" s="37"/>
      <c r="O143" s="37"/>
      <c r="P143" s="37"/>
      <c r="Q143" s="37"/>
      <c r="R143" s="65"/>
      <c r="S143" s="65"/>
      <c r="T143" s="65"/>
      <c r="U143" s="65"/>
      <c r="V143" s="65"/>
      <c r="W143" s="65"/>
      <c r="X143" s="65"/>
      <c r="Y143" s="65"/>
      <c r="Z143" s="37"/>
      <c r="AA143" s="37"/>
      <c r="AB143" s="266"/>
      <c r="AC143" s="268"/>
    </row>
    <row r="144" spans="1:29" s="28" customFormat="1" x14ac:dyDescent="0.25">
      <c r="A144" s="35">
        <v>45781</v>
      </c>
      <c r="B144" s="36"/>
      <c r="C144" s="37"/>
      <c r="D144" s="36"/>
      <c r="E144" s="65"/>
      <c r="F144" s="65"/>
      <c r="G144" s="65"/>
      <c r="H144" s="65"/>
      <c r="I144" s="38"/>
      <c r="J144" s="65"/>
      <c r="K144" s="37"/>
      <c r="L144" s="37"/>
      <c r="M144" s="37"/>
      <c r="N144" s="37"/>
      <c r="O144" s="37"/>
      <c r="P144" s="37"/>
      <c r="Q144" s="37"/>
      <c r="R144" s="65"/>
      <c r="S144" s="65"/>
      <c r="T144" s="65"/>
      <c r="U144" s="65"/>
      <c r="V144" s="65"/>
      <c r="W144" s="65"/>
      <c r="X144" s="65"/>
      <c r="Y144" s="65"/>
      <c r="Z144" s="37"/>
      <c r="AA144" s="37"/>
      <c r="AB144" s="266"/>
      <c r="AC144" s="268"/>
    </row>
    <row r="145" spans="1:92" s="28" customFormat="1" x14ac:dyDescent="0.25">
      <c r="A145" s="35">
        <v>45782</v>
      </c>
      <c r="B145" s="36"/>
      <c r="C145" s="37"/>
      <c r="D145" s="36"/>
      <c r="E145" s="65"/>
      <c r="F145" s="65"/>
      <c r="G145" s="65"/>
      <c r="H145" s="65"/>
      <c r="I145" s="38"/>
      <c r="J145" s="65"/>
      <c r="K145" s="37"/>
      <c r="L145" s="37"/>
      <c r="M145" s="37"/>
      <c r="N145" s="37"/>
      <c r="O145" s="37"/>
      <c r="P145" s="37"/>
      <c r="Q145" s="37"/>
      <c r="R145" s="65"/>
      <c r="S145" s="65"/>
      <c r="T145" s="65"/>
      <c r="U145" s="65"/>
      <c r="V145" s="65"/>
      <c r="W145" s="65"/>
      <c r="X145" s="65"/>
      <c r="Y145" s="65"/>
      <c r="Z145" s="37"/>
      <c r="AA145" s="37"/>
      <c r="AB145" s="266"/>
      <c r="AC145" s="268"/>
    </row>
    <row r="146" spans="1:92" s="28" customFormat="1" x14ac:dyDescent="0.25">
      <c r="A146" s="35">
        <v>45783</v>
      </c>
      <c r="B146" s="36"/>
      <c r="C146" s="37"/>
      <c r="D146" s="36"/>
      <c r="E146" s="65"/>
      <c r="F146" s="65"/>
      <c r="G146" s="65"/>
      <c r="H146" s="65"/>
      <c r="I146" s="38"/>
      <c r="J146" s="37"/>
      <c r="K146" s="37"/>
      <c r="L146" s="37"/>
      <c r="M146" s="37"/>
      <c r="N146" s="37"/>
      <c r="O146" s="37"/>
      <c r="P146" s="37"/>
      <c r="Q146" s="37"/>
      <c r="R146" s="65"/>
      <c r="S146" s="65"/>
      <c r="T146" s="65"/>
      <c r="U146" s="65"/>
      <c r="V146" s="65"/>
      <c r="W146" s="65"/>
      <c r="X146" s="65"/>
      <c r="Y146" s="65"/>
      <c r="Z146" s="37"/>
      <c r="AA146" s="37"/>
      <c r="AB146" s="266"/>
      <c r="AC146" s="268"/>
    </row>
    <row r="147" spans="1:92" s="28" customFormat="1" x14ac:dyDescent="0.25">
      <c r="A147" s="35">
        <v>45784</v>
      </c>
      <c r="B147" s="36"/>
      <c r="C147" s="37"/>
      <c r="D147" s="36"/>
      <c r="E147" s="65"/>
      <c r="F147" s="65"/>
      <c r="G147" s="65"/>
      <c r="H147" s="65"/>
      <c r="I147" s="38"/>
      <c r="J147" s="65"/>
      <c r="K147" s="37"/>
      <c r="L147" s="37"/>
      <c r="M147" s="37"/>
      <c r="N147" s="37"/>
      <c r="O147" s="37"/>
      <c r="P147" s="37"/>
      <c r="Q147" s="37"/>
      <c r="R147" s="65"/>
      <c r="S147" s="65"/>
      <c r="T147" s="65"/>
      <c r="U147" s="65"/>
      <c r="V147" s="65"/>
      <c r="W147" s="65"/>
      <c r="X147" s="65"/>
      <c r="Y147" s="65"/>
      <c r="Z147" s="37"/>
      <c r="AA147" s="37"/>
      <c r="AB147" s="266"/>
      <c r="AC147" s="268"/>
    </row>
    <row r="148" spans="1:92" s="28" customFormat="1" x14ac:dyDescent="0.25">
      <c r="A148" s="35">
        <v>45785</v>
      </c>
      <c r="B148" s="36"/>
      <c r="C148" s="37"/>
      <c r="D148" s="36"/>
      <c r="E148" s="65"/>
      <c r="F148" s="65"/>
      <c r="G148" s="65"/>
      <c r="H148" s="65"/>
      <c r="I148" s="38"/>
      <c r="J148" s="65"/>
      <c r="K148" s="37"/>
      <c r="L148" s="37"/>
      <c r="M148" s="37"/>
      <c r="N148" s="37"/>
      <c r="O148" s="37"/>
      <c r="P148" s="37"/>
      <c r="Q148" s="37"/>
      <c r="R148" s="65"/>
      <c r="S148" s="65"/>
      <c r="T148" s="65"/>
      <c r="U148" s="65"/>
      <c r="V148" s="65"/>
      <c r="W148" s="65"/>
      <c r="X148" s="65"/>
      <c r="Y148" s="65"/>
      <c r="Z148" s="65"/>
      <c r="AA148" s="37"/>
      <c r="AB148" s="266"/>
      <c r="AC148" s="268"/>
    </row>
    <row r="149" spans="1:92" s="28" customFormat="1" x14ac:dyDescent="0.25">
      <c r="A149" s="35">
        <v>45786</v>
      </c>
      <c r="B149" s="36"/>
      <c r="C149" s="37"/>
      <c r="D149" s="36"/>
      <c r="E149" s="65"/>
      <c r="F149" s="65"/>
      <c r="G149" s="65"/>
      <c r="H149" s="130"/>
      <c r="I149" s="38"/>
      <c r="J149" s="37"/>
      <c r="K149" s="37"/>
      <c r="L149" s="37"/>
      <c r="M149" s="37"/>
      <c r="N149" s="37"/>
      <c r="O149" s="37"/>
      <c r="P149" s="37"/>
      <c r="Q149" s="37"/>
      <c r="R149" s="65"/>
      <c r="S149" s="65"/>
      <c r="T149" s="65"/>
      <c r="U149" s="65"/>
      <c r="V149" s="37"/>
      <c r="W149" s="37"/>
      <c r="X149" s="37"/>
      <c r="Y149" s="37"/>
      <c r="Z149" s="37"/>
      <c r="AA149" s="37"/>
      <c r="AB149" s="266"/>
      <c r="AC149" s="268"/>
    </row>
    <row r="150" spans="1:92" s="28" customFormat="1" x14ac:dyDescent="0.25">
      <c r="A150" s="35">
        <v>45787</v>
      </c>
      <c r="B150" s="36"/>
      <c r="C150" s="37"/>
      <c r="D150" s="36"/>
      <c r="E150" s="65"/>
      <c r="F150" s="65"/>
      <c r="G150" s="65"/>
      <c r="H150" s="65"/>
      <c r="I150" s="38"/>
      <c r="J150" s="130"/>
      <c r="K150" s="37"/>
      <c r="L150" s="37"/>
      <c r="M150" s="37"/>
      <c r="N150" s="37"/>
      <c r="O150" s="37"/>
      <c r="P150" s="37"/>
      <c r="Q150" s="37"/>
      <c r="R150" s="65"/>
      <c r="S150" s="65"/>
      <c r="T150" s="37"/>
      <c r="U150" s="37"/>
      <c r="V150" s="65"/>
      <c r="W150" s="65"/>
      <c r="X150" s="37"/>
      <c r="Y150" s="65"/>
      <c r="Z150" s="37"/>
      <c r="AA150" s="37"/>
      <c r="AB150" s="266"/>
      <c r="AC150" s="268"/>
    </row>
    <row r="151" spans="1:92" s="28" customFormat="1" x14ac:dyDescent="0.25">
      <c r="A151" s="35">
        <v>45787</v>
      </c>
      <c r="B151" s="36"/>
      <c r="C151" s="37"/>
      <c r="D151" s="37"/>
      <c r="E151" s="65"/>
      <c r="F151" s="65"/>
      <c r="G151" s="65"/>
      <c r="H151" s="65"/>
      <c r="I151" s="38"/>
      <c r="J151" s="37"/>
      <c r="K151" s="37"/>
      <c r="L151" s="37"/>
      <c r="M151" s="37"/>
      <c r="N151" s="37"/>
      <c r="O151" s="37"/>
      <c r="P151" s="37"/>
      <c r="Q151" s="37"/>
      <c r="R151" s="65"/>
      <c r="S151" s="65"/>
      <c r="T151" s="65"/>
      <c r="U151" s="65"/>
      <c r="V151" s="65"/>
      <c r="W151" s="65"/>
      <c r="X151" s="65"/>
      <c r="Y151" s="65"/>
      <c r="Z151" s="37"/>
      <c r="AA151" s="37"/>
      <c r="AB151" s="266"/>
      <c r="AC151" s="268"/>
    </row>
    <row r="152" spans="1:92" s="28" customFormat="1" x14ac:dyDescent="0.25">
      <c r="A152" s="35">
        <v>45788</v>
      </c>
      <c r="B152" s="36"/>
      <c r="C152" s="37"/>
      <c r="D152" s="37"/>
      <c r="E152" s="37"/>
      <c r="F152" s="37"/>
      <c r="G152" s="37"/>
      <c r="H152" s="37"/>
      <c r="I152" s="38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42"/>
      <c r="AC152" s="268"/>
    </row>
    <row r="153" spans="1:92" s="28" customFormat="1" x14ac:dyDescent="0.25">
      <c r="A153" s="35">
        <v>45789</v>
      </c>
      <c r="B153" s="36"/>
      <c r="C153" s="37"/>
      <c r="D153" s="37"/>
      <c r="E153" s="65"/>
      <c r="F153" s="65"/>
      <c r="G153" s="65"/>
      <c r="H153" s="65"/>
      <c r="I153" s="38"/>
      <c r="J153" s="37"/>
      <c r="K153" s="37"/>
      <c r="L153" s="37"/>
      <c r="M153" s="37"/>
      <c r="N153" s="37"/>
      <c r="O153" s="37"/>
      <c r="P153" s="37"/>
      <c r="Q153" s="37"/>
      <c r="R153" s="65"/>
      <c r="S153" s="65"/>
      <c r="T153" s="65"/>
      <c r="U153" s="65"/>
      <c r="V153" s="65"/>
      <c r="W153" s="65"/>
      <c r="X153" s="65"/>
      <c r="Y153" s="65"/>
      <c r="Z153" s="37"/>
      <c r="AA153" s="37"/>
      <c r="AB153" s="266"/>
      <c r="AC153" s="268"/>
    </row>
    <row r="154" spans="1:92" s="28" customFormat="1" x14ac:dyDescent="0.25">
      <c r="A154" s="35">
        <v>45790</v>
      </c>
      <c r="B154" s="36"/>
      <c r="C154" s="37"/>
      <c r="D154" s="37"/>
      <c r="E154" s="65"/>
      <c r="F154" s="65"/>
      <c r="G154" s="65"/>
      <c r="H154" s="65"/>
      <c r="I154" s="38"/>
      <c r="J154" s="37"/>
      <c r="K154" s="37"/>
      <c r="L154" s="37"/>
      <c r="M154" s="37"/>
      <c r="N154" s="37"/>
      <c r="O154" s="37"/>
      <c r="P154" s="37"/>
      <c r="Q154" s="37"/>
      <c r="R154" s="65"/>
      <c r="S154" s="65"/>
      <c r="T154" s="65"/>
      <c r="U154" s="65"/>
      <c r="V154" s="65"/>
      <c r="W154" s="65"/>
      <c r="X154" s="65"/>
      <c r="Y154" s="65"/>
      <c r="Z154" s="37"/>
      <c r="AA154" s="37"/>
      <c r="AB154" s="266"/>
      <c r="AC154" s="268"/>
    </row>
    <row r="155" spans="1:92" s="28" customFormat="1" x14ac:dyDescent="0.25">
      <c r="A155" s="35">
        <v>45791</v>
      </c>
      <c r="B155" s="36"/>
      <c r="C155" s="37"/>
      <c r="D155" s="37"/>
      <c r="E155" s="65"/>
      <c r="F155" s="65"/>
      <c r="G155" s="65"/>
      <c r="H155" s="65"/>
      <c r="I155" s="38"/>
      <c r="J155" s="37"/>
      <c r="K155" s="37"/>
      <c r="L155" s="37"/>
      <c r="M155" s="37"/>
      <c r="N155" s="65"/>
      <c r="O155" s="65"/>
      <c r="P155" s="37"/>
      <c r="Q155" s="37"/>
      <c r="R155" s="65"/>
      <c r="S155" s="65"/>
      <c r="T155" s="65"/>
      <c r="U155" s="65"/>
      <c r="V155" s="65"/>
      <c r="W155" s="65"/>
      <c r="X155" s="65"/>
      <c r="Y155" s="65"/>
      <c r="Z155" s="37"/>
      <c r="AA155" s="37"/>
      <c r="AB155" s="266"/>
      <c r="AC155" s="268"/>
    </row>
    <row r="156" spans="1:92" s="28" customFormat="1" x14ac:dyDescent="0.25">
      <c r="A156" s="35">
        <v>45792</v>
      </c>
      <c r="B156" s="36"/>
      <c r="C156" s="37"/>
      <c r="D156" s="37"/>
      <c r="E156" s="65"/>
      <c r="F156" s="65"/>
      <c r="G156" s="65"/>
      <c r="H156" s="65"/>
      <c r="I156" s="38"/>
      <c r="J156" s="37"/>
      <c r="K156" s="37"/>
      <c r="L156" s="37"/>
      <c r="M156" s="37"/>
      <c r="N156" s="37"/>
      <c r="O156" s="37"/>
      <c r="P156" s="37"/>
      <c r="Q156" s="37"/>
      <c r="R156" s="65"/>
      <c r="S156" s="65"/>
      <c r="T156" s="65"/>
      <c r="U156" s="65"/>
      <c r="V156" s="65"/>
      <c r="W156" s="65"/>
      <c r="X156" s="65"/>
      <c r="Y156" s="65"/>
      <c r="Z156" s="37"/>
      <c r="AA156" s="37"/>
      <c r="AB156" s="266"/>
      <c r="AC156" s="268"/>
      <c r="CN156" s="135">
        <v>0.21527777777777779</v>
      </c>
    </row>
    <row r="157" spans="1:92" s="28" customFormat="1" x14ac:dyDescent="0.25">
      <c r="A157" s="35">
        <v>45793</v>
      </c>
      <c r="B157" s="36"/>
      <c r="C157" s="37"/>
      <c r="D157" s="37"/>
      <c r="E157" s="65"/>
      <c r="F157" s="65"/>
      <c r="G157" s="65"/>
      <c r="H157" s="65"/>
      <c r="I157" s="38"/>
      <c r="J157" s="65"/>
      <c r="K157" s="37"/>
      <c r="L157" s="37"/>
      <c r="M157" s="37"/>
      <c r="N157" s="37"/>
      <c r="O157" s="37"/>
      <c r="P157" s="37"/>
      <c r="Q157" s="37"/>
      <c r="R157" s="65"/>
      <c r="S157" s="65"/>
      <c r="T157" s="65"/>
      <c r="U157" s="65"/>
      <c r="V157" s="65"/>
      <c r="W157" s="65"/>
      <c r="X157" s="65"/>
      <c r="Y157" s="65"/>
      <c r="Z157" s="37"/>
      <c r="AA157" s="37"/>
      <c r="AB157" s="266"/>
      <c r="AC157" s="268"/>
    </row>
    <row r="158" spans="1:92" s="28" customFormat="1" x14ac:dyDescent="0.25">
      <c r="A158" s="35">
        <v>45794</v>
      </c>
      <c r="B158" s="36"/>
      <c r="C158" s="37"/>
      <c r="D158" s="37"/>
      <c r="E158" s="65"/>
      <c r="F158" s="65"/>
      <c r="G158" s="65"/>
      <c r="H158" s="65"/>
      <c r="I158" s="38"/>
      <c r="J158" s="37"/>
      <c r="K158" s="37"/>
      <c r="L158" s="37"/>
      <c r="M158" s="37"/>
      <c r="N158" s="37"/>
      <c r="O158" s="37"/>
      <c r="P158" s="37"/>
      <c r="Q158" s="37"/>
      <c r="R158" s="65"/>
      <c r="S158" s="65"/>
      <c r="T158" s="65"/>
      <c r="U158" s="65"/>
      <c r="V158" s="65"/>
      <c r="W158" s="65"/>
      <c r="X158" s="65"/>
      <c r="Y158" s="65"/>
      <c r="Z158" s="37"/>
      <c r="AA158" s="37"/>
      <c r="AB158" s="266"/>
      <c r="AC158" s="268"/>
    </row>
    <row r="159" spans="1:92" s="28" customFormat="1" x14ac:dyDescent="0.25">
      <c r="A159" s="35">
        <v>45795</v>
      </c>
      <c r="B159" s="36"/>
      <c r="C159" s="37"/>
      <c r="D159" s="37"/>
      <c r="E159" s="37"/>
      <c r="F159" s="37"/>
      <c r="G159" s="37"/>
      <c r="H159" s="37"/>
      <c r="I159" s="38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266"/>
      <c r="AC159" s="268"/>
    </row>
    <row r="160" spans="1:92" s="28" customFormat="1" x14ac:dyDescent="0.25">
      <c r="A160" s="35">
        <v>45796</v>
      </c>
      <c r="B160" s="36"/>
      <c r="C160" s="37"/>
      <c r="D160" s="37"/>
      <c r="E160" s="65"/>
      <c r="F160" s="65"/>
      <c r="G160" s="65"/>
      <c r="H160" s="65"/>
      <c r="I160" s="38"/>
      <c r="J160" s="65"/>
      <c r="K160" s="37"/>
      <c r="L160" s="37"/>
      <c r="M160" s="37"/>
      <c r="N160" s="37"/>
      <c r="O160" s="37"/>
      <c r="P160" s="37"/>
      <c r="Q160" s="37"/>
      <c r="R160" s="65"/>
      <c r="S160" s="65"/>
      <c r="T160" s="65"/>
      <c r="U160" s="65"/>
      <c r="V160" s="65"/>
      <c r="W160" s="65"/>
      <c r="X160" s="65"/>
      <c r="Y160" s="65"/>
      <c r="Z160" s="37"/>
      <c r="AA160" s="37"/>
      <c r="AB160" s="266"/>
      <c r="AC160" s="268"/>
    </row>
    <row r="161" spans="1:29" s="28" customFormat="1" x14ac:dyDescent="0.25">
      <c r="A161" s="35">
        <v>45797</v>
      </c>
      <c r="B161" s="36"/>
      <c r="C161" s="37"/>
      <c r="D161" s="37"/>
      <c r="E161" s="65"/>
      <c r="F161" s="65"/>
      <c r="G161" s="65"/>
      <c r="H161" s="65"/>
      <c r="I161" s="38"/>
      <c r="J161" s="37"/>
      <c r="K161" s="37"/>
      <c r="L161" s="37"/>
      <c r="M161" s="37"/>
      <c r="N161" s="37"/>
      <c r="O161" s="37"/>
      <c r="P161" s="37"/>
      <c r="Q161" s="37"/>
      <c r="R161" s="65"/>
      <c r="S161" s="65"/>
      <c r="T161" s="65"/>
      <c r="U161" s="65"/>
      <c r="V161" s="65"/>
      <c r="W161" s="65"/>
      <c r="X161" s="65"/>
      <c r="Y161" s="65"/>
      <c r="Z161" s="37"/>
      <c r="AA161" s="37"/>
      <c r="AB161" s="266"/>
      <c r="AC161" s="268"/>
    </row>
    <row r="162" spans="1:29" s="28" customFormat="1" x14ac:dyDescent="0.25">
      <c r="A162" s="35">
        <v>45798</v>
      </c>
      <c r="B162" s="36"/>
      <c r="C162" s="37"/>
      <c r="D162" s="37"/>
      <c r="E162" s="65"/>
      <c r="F162" s="65"/>
      <c r="G162" s="65"/>
      <c r="H162" s="65"/>
      <c r="I162" s="38"/>
      <c r="J162" s="37"/>
      <c r="K162" s="37"/>
      <c r="L162" s="37"/>
      <c r="M162" s="37"/>
      <c r="N162" s="37"/>
      <c r="O162" s="37"/>
      <c r="P162" s="37"/>
      <c r="Q162" s="37"/>
      <c r="R162" s="65"/>
      <c r="S162" s="65"/>
      <c r="T162" s="65"/>
      <c r="U162" s="65"/>
      <c r="V162" s="65"/>
      <c r="W162" s="65"/>
      <c r="X162" s="65"/>
      <c r="Y162" s="65"/>
      <c r="Z162" s="37"/>
      <c r="AA162" s="37"/>
      <c r="AB162" s="266"/>
      <c r="AC162" s="268"/>
    </row>
    <row r="163" spans="1:29" s="28" customFormat="1" x14ac:dyDescent="0.25">
      <c r="A163" s="35">
        <v>45799</v>
      </c>
      <c r="B163" s="36"/>
      <c r="C163" s="37"/>
      <c r="D163" s="37"/>
      <c r="E163" s="65"/>
      <c r="F163" s="65"/>
      <c r="G163" s="65"/>
      <c r="H163" s="65"/>
      <c r="I163" s="38"/>
      <c r="J163" s="37"/>
      <c r="K163" s="37"/>
      <c r="L163" s="37"/>
      <c r="M163" s="37"/>
      <c r="N163" s="37"/>
      <c r="O163" s="37"/>
      <c r="P163" s="37"/>
      <c r="Q163" s="37"/>
      <c r="R163" s="65"/>
      <c r="S163" s="65"/>
      <c r="T163" s="65"/>
      <c r="U163" s="65"/>
      <c r="V163" s="65"/>
      <c r="W163" s="65"/>
      <c r="X163" s="65"/>
      <c r="Y163" s="65"/>
      <c r="Z163" s="37"/>
      <c r="AA163" s="37"/>
      <c r="AB163" s="266"/>
      <c r="AC163" s="268"/>
    </row>
    <row r="164" spans="1:29" s="28" customFormat="1" x14ac:dyDescent="0.25">
      <c r="A164" s="35">
        <v>45800</v>
      </c>
      <c r="B164" s="36"/>
      <c r="C164" s="37"/>
      <c r="D164" s="37"/>
      <c r="E164" s="65"/>
      <c r="F164" s="65"/>
      <c r="G164" s="65"/>
      <c r="H164" s="65"/>
      <c r="I164" s="38"/>
      <c r="J164" s="37"/>
      <c r="K164" s="37"/>
      <c r="L164" s="37"/>
      <c r="M164" s="37"/>
      <c r="N164" s="37"/>
      <c r="O164" s="37"/>
      <c r="P164" s="37"/>
      <c r="Q164" s="37"/>
      <c r="R164" s="65"/>
      <c r="S164" s="65"/>
      <c r="T164" s="65"/>
      <c r="U164" s="65"/>
      <c r="V164" s="65"/>
      <c r="W164" s="65"/>
      <c r="X164" s="65"/>
      <c r="Y164" s="65"/>
      <c r="Z164" s="37"/>
      <c r="AA164" s="37"/>
      <c r="AB164" s="266"/>
      <c r="AC164" s="268" t="s">
        <v>119</v>
      </c>
    </row>
    <row r="165" spans="1:29" s="28" customFormat="1" x14ac:dyDescent="0.25">
      <c r="A165" s="35">
        <v>45801</v>
      </c>
      <c r="B165" s="36"/>
      <c r="C165" s="37"/>
      <c r="D165" s="37"/>
      <c r="E165" s="65"/>
      <c r="F165" s="65"/>
      <c r="G165" s="65"/>
      <c r="H165" s="65"/>
      <c r="I165" s="38"/>
      <c r="J165" s="37"/>
      <c r="K165" s="37"/>
      <c r="L165" s="37"/>
      <c r="M165" s="37"/>
      <c r="N165" s="37"/>
      <c r="O165" s="37"/>
      <c r="P165" s="37"/>
      <c r="Q165" s="37"/>
      <c r="R165" s="65"/>
      <c r="S165" s="65"/>
      <c r="T165" s="65"/>
      <c r="U165" s="65"/>
      <c r="V165" s="65"/>
      <c r="W165" s="65"/>
      <c r="X165" s="65"/>
      <c r="Y165" s="65"/>
      <c r="Z165" s="37"/>
      <c r="AA165" s="37"/>
      <c r="AB165" s="266"/>
      <c r="AC165" s="268"/>
    </row>
    <row r="166" spans="1:29" s="28" customFormat="1" x14ac:dyDescent="0.25">
      <c r="A166" s="35">
        <v>45802</v>
      </c>
      <c r="B166" s="36"/>
      <c r="C166" s="37"/>
      <c r="D166" s="37"/>
      <c r="E166" s="37"/>
      <c r="F166" s="37"/>
      <c r="G166" s="37"/>
      <c r="H166" s="37"/>
      <c r="I166" s="38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42"/>
      <c r="AC166" s="268"/>
    </row>
    <row r="167" spans="1:29" s="28" customFormat="1" x14ac:dyDescent="0.25">
      <c r="A167" s="35">
        <v>45803</v>
      </c>
      <c r="B167" s="36"/>
      <c r="C167" s="37"/>
      <c r="D167" s="37"/>
      <c r="E167" s="65"/>
      <c r="F167" s="65"/>
      <c r="G167" s="65"/>
      <c r="H167" s="65"/>
      <c r="I167" s="38"/>
      <c r="J167" s="37"/>
      <c r="K167" s="37"/>
      <c r="L167" s="37"/>
      <c r="M167" s="37"/>
      <c r="N167" s="37"/>
      <c r="O167" s="37"/>
      <c r="P167" s="37"/>
      <c r="Q167" s="37"/>
      <c r="R167" s="65"/>
      <c r="S167" s="65"/>
      <c r="T167" s="65"/>
      <c r="U167" s="65"/>
      <c r="V167" s="65"/>
      <c r="W167" s="65"/>
      <c r="X167" s="65"/>
      <c r="Y167" s="65"/>
      <c r="Z167" s="37"/>
      <c r="AA167" s="37"/>
      <c r="AB167" s="266"/>
      <c r="AC167" s="268"/>
    </row>
    <row r="168" spans="1:29" s="28" customFormat="1" x14ac:dyDescent="0.25">
      <c r="A168" s="35">
        <v>45804</v>
      </c>
      <c r="B168" s="36"/>
      <c r="C168" s="37"/>
      <c r="D168" s="37"/>
      <c r="E168" s="65"/>
      <c r="F168" s="65"/>
      <c r="G168" s="65"/>
      <c r="H168" s="65"/>
      <c r="I168" s="38"/>
      <c r="J168" s="65"/>
      <c r="K168" s="37"/>
      <c r="L168" s="37"/>
      <c r="M168" s="37"/>
      <c r="N168" s="37"/>
      <c r="O168" s="37"/>
      <c r="P168" s="37"/>
      <c r="Q168" s="37"/>
      <c r="R168" s="65"/>
      <c r="S168" s="65"/>
      <c r="T168" s="65"/>
      <c r="U168" s="65"/>
      <c r="V168" s="65"/>
      <c r="W168" s="65"/>
      <c r="X168" s="65"/>
      <c r="Y168" s="65"/>
      <c r="Z168" s="37"/>
      <c r="AA168" s="37"/>
      <c r="AB168" s="266"/>
      <c r="AC168" s="268"/>
    </row>
    <row r="169" spans="1:29" s="28" customFormat="1" x14ac:dyDescent="0.25">
      <c r="A169" s="35">
        <v>45805</v>
      </c>
      <c r="B169" s="36"/>
      <c r="C169" s="37"/>
      <c r="D169" s="37"/>
      <c r="E169" s="65"/>
      <c r="F169" s="65"/>
      <c r="G169" s="65"/>
      <c r="H169" s="65"/>
      <c r="I169" s="38"/>
      <c r="J169" s="65"/>
      <c r="K169" s="37"/>
      <c r="L169" s="37"/>
      <c r="M169" s="37"/>
      <c r="N169" s="37"/>
      <c r="O169" s="37"/>
      <c r="P169" s="37"/>
      <c r="Q169" s="37"/>
      <c r="R169" s="65"/>
      <c r="S169" s="65"/>
      <c r="T169" s="65"/>
      <c r="U169" s="65"/>
      <c r="V169" s="65"/>
      <c r="W169" s="65"/>
      <c r="X169" s="65"/>
      <c r="Y169" s="65"/>
      <c r="Z169" s="37"/>
      <c r="AA169" s="37"/>
      <c r="AB169" s="266"/>
      <c r="AC169" s="268"/>
    </row>
    <row r="170" spans="1:29" s="28" customFormat="1" x14ac:dyDescent="0.25">
      <c r="A170" s="35">
        <v>45806</v>
      </c>
      <c r="B170" s="36"/>
      <c r="C170" s="37"/>
      <c r="D170" s="37"/>
      <c r="E170" s="65"/>
      <c r="F170" s="65"/>
      <c r="G170" s="65"/>
      <c r="H170" s="65"/>
      <c r="I170" s="38"/>
      <c r="J170" s="37"/>
      <c r="K170" s="37"/>
      <c r="L170" s="37"/>
      <c r="M170" s="37"/>
      <c r="N170" s="37"/>
      <c r="O170" s="37"/>
      <c r="P170" s="37"/>
      <c r="Q170" s="37"/>
      <c r="R170" s="65"/>
      <c r="S170" s="65"/>
      <c r="T170" s="65"/>
      <c r="U170" s="65"/>
      <c r="V170" s="65"/>
      <c r="W170" s="65"/>
      <c r="X170" s="65"/>
      <c r="Y170" s="65"/>
      <c r="Z170" s="37"/>
      <c r="AA170" s="37"/>
      <c r="AB170" s="266"/>
      <c r="AC170" s="268"/>
    </row>
    <row r="171" spans="1:29" s="28" customFormat="1" x14ac:dyDescent="0.25">
      <c r="A171" s="35">
        <v>45807</v>
      </c>
      <c r="B171" s="36"/>
      <c r="C171" s="37"/>
      <c r="D171" s="37"/>
      <c r="E171" s="65"/>
      <c r="F171" s="65"/>
      <c r="G171" s="65"/>
      <c r="H171" s="65"/>
      <c r="I171" s="38"/>
      <c r="J171" s="37"/>
      <c r="K171" s="37"/>
      <c r="L171" s="37"/>
      <c r="M171" s="37"/>
      <c r="N171" s="37"/>
      <c r="O171" s="37"/>
      <c r="P171" s="37"/>
      <c r="Q171" s="37"/>
      <c r="R171" s="65"/>
      <c r="S171" s="65"/>
      <c r="T171" s="65"/>
      <c r="U171" s="65"/>
      <c r="V171" s="65"/>
      <c r="W171" s="65"/>
      <c r="X171" s="65"/>
      <c r="Y171" s="65"/>
      <c r="Z171" s="37"/>
      <c r="AA171" s="37"/>
      <c r="AB171" s="266"/>
      <c r="AC171" s="268"/>
    </row>
    <row r="172" spans="1:29" s="28" customFormat="1" x14ac:dyDescent="0.25">
      <c r="A172" s="35">
        <v>45808</v>
      </c>
      <c r="B172" s="36"/>
      <c r="C172" s="37"/>
      <c r="D172" s="37"/>
      <c r="E172" s="65"/>
      <c r="F172" s="65"/>
      <c r="G172" s="65"/>
      <c r="H172" s="65"/>
      <c r="I172" s="38"/>
      <c r="J172" s="37"/>
      <c r="K172" s="37"/>
      <c r="L172" s="37"/>
      <c r="M172" s="37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37"/>
      <c r="AA172" s="37"/>
      <c r="AB172" s="266"/>
      <c r="AC172" s="268"/>
    </row>
    <row r="173" spans="1:29" s="28" customFormat="1" x14ac:dyDescent="0.25">
      <c r="A173" s="35">
        <v>45809</v>
      </c>
      <c r="B173" s="36"/>
      <c r="C173" s="37"/>
      <c r="D173" s="37"/>
      <c r="E173" s="65"/>
      <c r="F173" s="65"/>
      <c r="G173" s="65"/>
      <c r="H173" s="65"/>
      <c r="I173" s="38"/>
      <c r="J173" s="65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266"/>
      <c r="AC173" s="268"/>
    </row>
    <row r="174" spans="1:29" s="28" customFormat="1" x14ac:dyDescent="0.25">
      <c r="A174" s="35">
        <v>45810</v>
      </c>
      <c r="B174" s="36"/>
      <c r="C174" s="37"/>
      <c r="D174" s="37"/>
      <c r="E174" s="65"/>
      <c r="F174" s="65"/>
      <c r="G174" s="65"/>
      <c r="H174" s="65"/>
      <c r="I174" s="38"/>
      <c r="J174" s="65"/>
      <c r="K174" s="37"/>
      <c r="L174" s="37"/>
      <c r="M174" s="37"/>
      <c r="N174" s="37"/>
      <c r="O174" s="37"/>
      <c r="P174" s="37"/>
      <c r="Q174" s="37"/>
      <c r="R174" s="65"/>
      <c r="S174" s="65"/>
      <c r="T174" s="65"/>
      <c r="U174" s="65"/>
      <c r="V174" s="65"/>
      <c r="W174" s="65"/>
      <c r="X174" s="65"/>
      <c r="Y174" s="65"/>
      <c r="Z174" s="37"/>
      <c r="AA174" s="37"/>
      <c r="AB174" s="266"/>
      <c r="AC174" s="268"/>
    </row>
    <row r="175" spans="1:29" s="28" customFormat="1" x14ac:dyDescent="0.25">
      <c r="A175" s="35">
        <v>45811</v>
      </c>
      <c r="B175" s="36"/>
      <c r="C175" s="37"/>
      <c r="D175" s="37"/>
      <c r="E175" s="65"/>
      <c r="F175" s="65"/>
      <c r="G175" s="65"/>
      <c r="H175" s="65"/>
      <c r="I175" s="38"/>
      <c r="J175" s="65"/>
      <c r="K175" s="37"/>
      <c r="L175" s="37"/>
      <c r="M175" s="37"/>
      <c r="N175" s="37"/>
      <c r="O175" s="37"/>
      <c r="P175" s="37"/>
      <c r="Q175" s="37"/>
      <c r="R175" s="65"/>
      <c r="S175" s="65"/>
      <c r="T175" s="65"/>
      <c r="U175" s="65"/>
      <c r="V175" s="65"/>
      <c r="W175" s="65"/>
      <c r="X175" s="65"/>
      <c r="Y175" s="65"/>
      <c r="Z175" s="37"/>
      <c r="AA175" s="37"/>
      <c r="AB175" s="266"/>
      <c r="AC175" s="268"/>
    </row>
    <row r="176" spans="1:29" s="28" customFormat="1" x14ac:dyDescent="0.25">
      <c r="A176" s="35">
        <v>45812</v>
      </c>
      <c r="B176" s="36"/>
      <c r="C176" s="37"/>
      <c r="D176" s="37"/>
      <c r="E176" s="65"/>
      <c r="F176" s="65"/>
      <c r="G176" s="65"/>
      <c r="H176" s="65"/>
      <c r="I176" s="38"/>
      <c r="J176" s="65"/>
      <c r="K176" s="37"/>
      <c r="L176" s="37"/>
      <c r="M176" s="37"/>
      <c r="N176" s="37"/>
      <c r="O176" s="37"/>
      <c r="P176" s="37"/>
      <c r="Q176" s="37"/>
      <c r="R176" s="65"/>
      <c r="S176" s="65"/>
      <c r="T176" s="65"/>
      <c r="U176" s="65"/>
      <c r="V176" s="65"/>
      <c r="W176" s="65"/>
      <c r="X176" s="65"/>
      <c r="Y176" s="65"/>
      <c r="Z176" s="37"/>
      <c r="AA176" s="37"/>
      <c r="AB176" s="266"/>
      <c r="AC176" s="268"/>
    </row>
    <row r="177" spans="1:29" s="28" customFormat="1" x14ac:dyDescent="0.25">
      <c r="A177" s="35">
        <v>45813</v>
      </c>
      <c r="B177" s="36"/>
      <c r="C177" s="37"/>
      <c r="D177" s="37"/>
      <c r="E177" s="65"/>
      <c r="F177" s="65"/>
      <c r="G177" s="65"/>
      <c r="H177" s="65"/>
      <c r="I177" s="38"/>
      <c r="J177" s="65"/>
      <c r="K177" s="37"/>
      <c r="L177" s="37"/>
      <c r="M177" s="37"/>
      <c r="N177" s="37"/>
      <c r="O177" s="37"/>
      <c r="P177" s="37"/>
      <c r="Q177" s="37"/>
      <c r="R177" s="65"/>
      <c r="S177" s="65"/>
      <c r="T177" s="65"/>
      <c r="U177" s="65"/>
      <c r="V177" s="65"/>
      <c r="W177" s="65"/>
      <c r="X177" s="65"/>
      <c r="Y177" s="65"/>
      <c r="Z177" s="37"/>
      <c r="AA177" s="37"/>
      <c r="AB177" s="266"/>
      <c r="AC177" s="268"/>
    </row>
    <row r="178" spans="1:29" s="28" customFormat="1" x14ac:dyDescent="0.25">
      <c r="A178" s="35">
        <v>45814</v>
      </c>
      <c r="B178" s="36"/>
      <c r="C178" s="37"/>
      <c r="D178" s="37"/>
      <c r="E178" s="65"/>
      <c r="F178" s="65"/>
      <c r="G178" s="65"/>
      <c r="H178" s="65"/>
      <c r="I178" s="38"/>
      <c r="J178" s="65"/>
      <c r="K178" s="37"/>
      <c r="L178" s="37"/>
      <c r="M178" s="37"/>
      <c r="N178" s="37"/>
      <c r="O178" s="37"/>
      <c r="P178" s="37"/>
      <c r="Q178" s="37"/>
      <c r="R178" s="65"/>
      <c r="S178" s="65"/>
      <c r="T178" s="65"/>
      <c r="U178" s="65"/>
      <c r="V178" s="65"/>
      <c r="W178" s="65"/>
      <c r="X178" s="65"/>
      <c r="Y178" s="65"/>
      <c r="Z178" s="37"/>
      <c r="AA178" s="37"/>
      <c r="AB178" s="266"/>
      <c r="AC178" s="268"/>
    </row>
    <row r="179" spans="1:29" s="28" customFormat="1" x14ac:dyDescent="0.25">
      <c r="A179" s="35">
        <v>45815</v>
      </c>
      <c r="B179" s="36"/>
      <c r="C179" s="37"/>
      <c r="D179" s="37"/>
      <c r="E179" s="65"/>
      <c r="F179" s="65"/>
      <c r="G179" s="65"/>
      <c r="H179" s="65"/>
      <c r="I179" s="38"/>
      <c r="J179" s="65"/>
      <c r="K179" s="37"/>
      <c r="L179" s="37"/>
      <c r="M179" s="37"/>
      <c r="N179" s="37"/>
      <c r="O179" s="37"/>
      <c r="P179" s="37"/>
      <c r="Q179" s="37"/>
      <c r="R179" s="65"/>
      <c r="S179" s="65"/>
      <c r="T179" s="65"/>
      <c r="U179" s="65"/>
      <c r="V179" s="65"/>
      <c r="W179" s="65"/>
      <c r="X179" s="65"/>
      <c r="Y179" s="65"/>
      <c r="Z179" s="37"/>
      <c r="AA179" s="37"/>
      <c r="AB179" s="266"/>
      <c r="AC179" s="268"/>
    </row>
    <row r="180" spans="1:29" s="28" customFormat="1" x14ac:dyDescent="0.25">
      <c r="A180" s="35">
        <v>45816</v>
      </c>
      <c r="B180" s="36"/>
      <c r="C180" s="37"/>
      <c r="D180" s="37"/>
      <c r="E180" s="65"/>
      <c r="F180" s="37"/>
      <c r="G180" s="65"/>
      <c r="H180" s="37"/>
      <c r="I180" s="38"/>
      <c r="J180" s="65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42"/>
      <c r="AC180" s="268"/>
    </row>
    <row r="181" spans="1:29" s="28" customFormat="1" x14ac:dyDescent="0.25">
      <c r="A181" s="35">
        <v>45817</v>
      </c>
      <c r="B181" s="36"/>
      <c r="C181" s="37"/>
      <c r="D181" s="37"/>
      <c r="E181" s="65"/>
      <c r="F181" s="65"/>
      <c r="G181" s="65"/>
      <c r="H181" s="65"/>
      <c r="I181" s="38"/>
      <c r="J181" s="65"/>
      <c r="K181" s="37"/>
      <c r="L181" s="37"/>
      <c r="M181" s="37"/>
      <c r="N181" s="37"/>
      <c r="O181" s="37"/>
      <c r="P181" s="37"/>
      <c r="Q181" s="37"/>
      <c r="R181" s="65"/>
      <c r="S181" s="65"/>
      <c r="T181" s="65"/>
      <c r="U181" s="65"/>
      <c r="V181" s="65"/>
      <c r="W181" s="65"/>
      <c r="X181" s="65"/>
      <c r="Y181" s="65"/>
      <c r="Z181" s="37"/>
      <c r="AA181" s="37"/>
      <c r="AB181" s="266"/>
      <c r="AC181" s="268"/>
    </row>
    <row r="182" spans="1:29" s="28" customFormat="1" x14ac:dyDescent="0.25">
      <c r="A182" s="35">
        <v>45818</v>
      </c>
      <c r="B182" s="36"/>
      <c r="C182" s="37"/>
      <c r="D182" s="37"/>
      <c r="E182" s="65"/>
      <c r="F182" s="65"/>
      <c r="G182" s="65"/>
      <c r="H182" s="65"/>
      <c r="I182" s="38"/>
      <c r="J182" s="37"/>
      <c r="K182" s="37"/>
      <c r="L182" s="37"/>
      <c r="M182" s="37"/>
      <c r="N182" s="37"/>
      <c r="O182" s="37"/>
      <c r="P182" s="37"/>
      <c r="Q182" s="37"/>
      <c r="R182" s="65"/>
      <c r="S182" s="65"/>
      <c r="T182" s="65"/>
      <c r="U182" s="65"/>
      <c r="V182" s="65"/>
      <c r="W182" s="65"/>
      <c r="X182" s="65"/>
      <c r="Y182" s="65"/>
      <c r="Z182" s="37"/>
      <c r="AA182" s="37"/>
      <c r="AB182" s="266"/>
      <c r="AC182" s="268"/>
    </row>
    <row r="183" spans="1:29" s="28" customFormat="1" x14ac:dyDescent="0.25">
      <c r="A183" s="35">
        <v>45819</v>
      </c>
      <c r="B183" s="36"/>
      <c r="C183" s="37"/>
      <c r="D183" s="37"/>
      <c r="E183" s="65"/>
      <c r="F183" s="65"/>
      <c r="G183" s="65"/>
      <c r="H183" s="65"/>
      <c r="I183" s="38"/>
      <c r="J183" s="65"/>
      <c r="K183" s="37"/>
      <c r="L183" s="37"/>
      <c r="M183" s="37"/>
      <c r="N183" s="37"/>
      <c r="O183" s="37"/>
      <c r="P183" s="37"/>
      <c r="Q183" s="37"/>
      <c r="R183" s="65"/>
      <c r="S183" s="65"/>
      <c r="T183" s="65"/>
      <c r="U183" s="65"/>
      <c r="V183" s="65"/>
      <c r="W183" s="65"/>
      <c r="X183" s="65"/>
      <c r="Y183" s="65"/>
      <c r="Z183" s="37"/>
      <c r="AA183" s="37"/>
      <c r="AB183" s="266"/>
      <c r="AC183" s="268"/>
    </row>
    <row r="184" spans="1:29" s="28" customFormat="1" x14ac:dyDescent="0.25">
      <c r="A184" s="35">
        <v>45820</v>
      </c>
      <c r="B184" s="36"/>
      <c r="C184" s="37"/>
      <c r="D184" s="37"/>
      <c r="E184" s="65"/>
      <c r="F184" s="65"/>
      <c r="G184" s="65"/>
      <c r="H184" s="65"/>
      <c r="I184" s="38"/>
      <c r="J184" s="37"/>
      <c r="K184" s="37"/>
      <c r="L184" s="37"/>
      <c r="M184" s="37"/>
      <c r="N184" s="37"/>
      <c r="O184" s="37"/>
      <c r="P184" s="37"/>
      <c r="Q184" s="37"/>
      <c r="R184" s="65"/>
      <c r="S184" s="65"/>
      <c r="T184" s="65"/>
      <c r="U184" s="65"/>
      <c r="V184" s="65"/>
      <c r="W184" s="65"/>
      <c r="X184" s="65"/>
      <c r="Y184" s="65"/>
      <c r="Z184" s="37"/>
      <c r="AA184" s="37"/>
      <c r="AB184" s="266"/>
      <c r="AC184" s="268"/>
    </row>
    <row r="185" spans="1:29" s="28" customFormat="1" x14ac:dyDescent="0.25">
      <c r="A185" s="35">
        <v>45821</v>
      </c>
      <c r="B185" s="36"/>
      <c r="C185" s="37"/>
      <c r="D185" s="37"/>
      <c r="E185" s="65"/>
      <c r="F185" s="65"/>
      <c r="G185" s="65"/>
      <c r="H185" s="65"/>
      <c r="I185" s="38"/>
      <c r="J185" s="37"/>
      <c r="K185" s="37"/>
      <c r="L185" s="37"/>
      <c r="M185" s="37"/>
      <c r="N185" s="37"/>
      <c r="O185" s="37"/>
      <c r="P185" s="37"/>
      <c r="Q185" s="37"/>
      <c r="R185" s="65"/>
      <c r="S185" s="65"/>
      <c r="T185" s="65"/>
      <c r="U185" s="65"/>
      <c r="V185" s="65"/>
      <c r="W185" s="65"/>
      <c r="X185" s="65"/>
      <c r="Y185" s="65"/>
      <c r="Z185" s="37"/>
      <c r="AA185" s="37"/>
      <c r="AB185" s="266"/>
      <c r="AC185" s="268"/>
    </row>
    <row r="186" spans="1:29" s="28" customFormat="1" x14ac:dyDescent="0.25">
      <c r="A186" s="35">
        <v>45822</v>
      </c>
      <c r="B186" s="36"/>
      <c r="C186" s="37"/>
      <c r="D186" s="37"/>
      <c r="E186" s="65"/>
      <c r="F186" s="65"/>
      <c r="G186" s="65"/>
      <c r="H186" s="65"/>
      <c r="I186" s="38"/>
      <c r="J186" s="37"/>
      <c r="K186" s="37"/>
      <c r="L186" s="37"/>
      <c r="M186" s="37"/>
      <c r="N186" s="37"/>
      <c r="O186" s="37"/>
      <c r="P186" s="37"/>
      <c r="Q186" s="37"/>
      <c r="R186" s="65"/>
      <c r="S186" s="65"/>
      <c r="T186" s="65"/>
      <c r="U186" s="65"/>
      <c r="V186" s="65"/>
      <c r="W186" s="65"/>
      <c r="X186" s="65"/>
      <c r="Y186" s="65"/>
      <c r="Z186" s="37"/>
      <c r="AA186" s="37"/>
      <c r="AB186" s="267"/>
      <c r="AC186" s="268"/>
    </row>
    <row r="187" spans="1:29" s="28" customFormat="1" x14ac:dyDescent="0.25">
      <c r="A187" s="269">
        <v>45823</v>
      </c>
      <c r="B187" s="254"/>
      <c r="C187" s="270"/>
      <c r="D187" s="270"/>
      <c r="E187" s="270"/>
      <c r="F187" s="270"/>
      <c r="G187" s="270"/>
      <c r="H187" s="270"/>
      <c r="I187" s="271"/>
      <c r="J187" s="270"/>
      <c r="K187" s="270"/>
      <c r="L187" s="270"/>
      <c r="M187" s="270"/>
      <c r="N187" s="270"/>
      <c r="O187" s="270"/>
      <c r="P187" s="270"/>
      <c r="Q187" s="270"/>
      <c r="R187" s="270"/>
      <c r="S187" s="270"/>
      <c r="T187" s="270"/>
      <c r="U187" s="270"/>
      <c r="V187" s="270"/>
      <c r="W187" s="270"/>
      <c r="X187" s="270"/>
      <c r="Y187" s="270"/>
      <c r="Z187" s="270"/>
      <c r="AA187" s="270"/>
      <c r="AB187" s="272"/>
    </row>
    <row r="188" spans="1:29" s="28" customFormat="1" x14ac:dyDescent="0.25">
      <c r="A188" s="35">
        <v>45824</v>
      </c>
      <c r="B188" s="36"/>
      <c r="C188" s="37"/>
      <c r="D188" s="37"/>
      <c r="E188" s="65"/>
      <c r="F188" s="65"/>
      <c r="G188" s="65"/>
      <c r="H188" s="65"/>
      <c r="I188" s="38"/>
      <c r="J188" s="65"/>
      <c r="K188" s="37"/>
      <c r="L188" s="37"/>
      <c r="M188" s="37"/>
      <c r="N188" s="37"/>
      <c r="O188" s="37"/>
      <c r="P188" s="37"/>
      <c r="Q188" s="37"/>
      <c r="R188" s="65"/>
      <c r="S188" s="65"/>
      <c r="T188" s="65"/>
      <c r="U188" s="65"/>
      <c r="V188" s="65"/>
      <c r="W188" s="65"/>
      <c r="X188" s="65"/>
      <c r="Y188" s="65"/>
      <c r="Z188" s="37"/>
      <c r="AA188" s="37"/>
      <c r="AB188" s="167"/>
    </row>
    <row r="189" spans="1:29" s="28" customFormat="1" x14ac:dyDescent="0.25">
      <c r="A189" s="35">
        <v>45825</v>
      </c>
      <c r="B189" s="36"/>
      <c r="C189" s="37"/>
      <c r="D189" s="37"/>
      <c r="E189" s="65"/>
      <c r="F189" s="65"/>
      <c r="G189" s="65"/>
      <c r="H189" s="65"/>
      <c r="I189" s="38"/>
      <c r="J189" s="37"/>
      <c r="K189" s="37"/>
      <c r="L189" s="37"/>
      <c r="M189" s="37"/>
      <c r="N189" s="37"/>
      <c r="O189" s="37"/>
      <c r="P189" s="37"/>
      <c r="Q189" s="37"/>
      <c r="R189" s="65"/>
      <c r="S189" s="65"/>
      <c r="T189" s="65"/>
      <c r="U189" s="65"/>
      <c r="V189" s="65"/>
      <c r="W189" s="65"/>
      <c r="X189" s="65"/>
      <c r="Y189" s="65"/>
      <c r="Z189" s="37"/>
      <c r="AA189" s="37"/>
      <c r="AB189" s="167"/>
    </row>
    <row r="190" spans="1:29" s="28" customFormat="1" x14ac:dyDescent="0.25">
      <c r="A190" s="35">
        <v>45826</v>
      </c>
      <c r="B190" s="36"/>
      <c r="C190" s="37"/>
      <c r="D190" s="37"/>
      <c r="E190" s="65"/>
      <c r="F190" s="65"/>
      <c r="G190" s="65"/>
      <c r="H190" s="65"/>
      <c r="I190" s="38"/>
      <c r="J190" s="37"/>
      <c r="K190" s="37"/>
      <c r="L190" s="37"/>
      <c r="M190" s="37"/>
      <c r="N190" s="37"/>
      <c r="O190" s="37"/>
      <c r="P190" s="37"/>
      <c r="Q190" s="37"/>
      <c r="R190" s="65"/>
      <c r="S190" s="65"/>
      <c r="T190" s="65"/>
      <c r="U190" s="65"/>
      <c r="V190" s="65"/>
      <c r="W190" s="65"/>
      <c r="X190" s="65"/>
      <c r="Y190" s="37"/>
      <c r="Z190" s="37"/>
      <c r="AA190" s="37"/>
      <c r="AB190" s="167"/>
    </row>
    <row r="191" spans="1:29" s="28" customFormat="1" x14ac:dyDescent="0.25">
      <c r="A191" s="35">
        <v>45827</v>
      </c>
      <c r="B191" s="36"/>
      <c r="C191" s="37"/>
      <c r="D191" s="37"/>
      <c r="E191" s="65"/>
      <c r="F191" s="65"/>
      <c r="G191" s="65"/>
      <c r="H191" s="65"/>
      <c r="I191" s="38"/>
      <c r="J191" s="37"/>
      <c r="K191" s="37"/>
      <c r="L191" s="37"/>
      <c r="M191" s="37"/>
      <c r="N191" s="37"/>
      <c r="O191" s="37"/>
      <c r="P191" s="37"/>
      <c r="Q191" s="37"/>
      <c r="R191" s="65"/>
      <c r="S191" s="65"/>
      <c r="T191" s="65"/>
      <c r="U191" s="65"/>
      <c r="V191" s="65"/>
      <c r="W191" s="65"/>
      <c r="X191" s="65"/>
      <c r="Y191" s="65"/>
      <c r="Z191" s="37"/>
      <c r="AA191" s="37"/>
      <c r="AB191" s="167"/>
    </row>
    <row r="192" spans="1:29" s="28" customFormat="1" x14ac:dyDescent="0.25">
      <c r="A192" s="35">
        <v>45828</v>
      </c>
      <c r="B192" s="36"/>
      <c r="C192" s="37"/>
      <c r="D192" s="37"/>
      <c r="E192" s="65"/>
      <c r="F192" s="65"/>
      <c r="G192" s="65"/>
      <c r="H192" s="65"/>
      <c r="I192" s="38"/>
      <c r="J192" s="37"/>
      <c r="K192" s="37"/>
      <c r="L192" s="37"/>
      <c r="M192" s="37"/>
      <c r="N192" s="37"/>
      <c r="O192" s="37"/>
      <c r="P192" s="37"/>
      <c r="Q192" s="37"/>
      <c r="R192" s="65"/>
      <c r="S192" s="65"/>
      <c r="T192" s="65"/>
      <c r="U192" s="65"/>
      <c r="V192" s="65"/>
      <c r="W192" s="65"/>
      <c r="X192" s="65"/>
      <c r="Y192" s="65"/>
      <c r="Z192" s="37"/>
      <c r="AA192" s="37"/>
      <c r="AB192" s="167"/>
    </row>
    <row r="193" spans="1:28" s="28" customFormat="1" x14ac:dyDescent="0.25">
      <c r="A193" s="35">
        <v>45829</v>
      </c>
      <c r="B193" s="36"/>
      <c r="C193" s="37"/>
      <c r="D193" s="37"/>
      <c r="E193" s="65"/>
      <c r="F193" s="65"/>
      <c r="G193" s="65"/>
      <c r="H193" s="65"/>
      <c r="I193" s="38"/>
      <c r="J193" s="37"/>
      <c r="K193" s="37"/>
      <c r="L193" s="37"/>
      <c r="M193" s="37"/>
      <c r="N193" s="37"/>
      <c r="O193" s="37"/>
      <c r="P193" s="37"/>
      <c r="Q193" s="37"/>
      <c r="R193" s="65"/>
      <c r="S193" s="65"/>
      <c r="T193" s="65"/>
      <c r="U193" s="65"/>
      <c r="V193" s="65"/>
      <c r="W193" s="65"/>
      <c r="X193" s="65"/>
      <c r="Y193" s="65"/>
      <c r="Z193" s="37"/>
      <c r="AA193" s="37"/>
      <c r="AB193" s="167"/>
    </row>
    <row r="194" spans="1:28" s="28" customFormat="1" x14ac:dyDescent="0.25">
      <c r="A194" s="35">
        <v>45830</v>
      </c>
      <c r="B194" s="36"/>
      <c r="C194" s="37"/>
      <c r="D194" s="37"/>
      <c r="E194" s="37"/>
      <c r="F194" s="37"/>
      <c r="G194" s="37"/>
      <c r="H194" s="37"/>
      <c r="I194" s="38"/>
      <c r="J194" s="37"/>
      <c r="K194" s="37"/>
      <c r="L194" s="37"/>
      <c r="M194" s="37"/>
      <c r="N194" s="37"/>
      <c r="O194" s="37"/>
      <c r="P194" s="37"/>
      <c r="Q194" s="37"/>
      <c r="R194" s="37"/>
      <c r="S194" s="65"/>
      <c r="T194" s="65"/>
      <c r="U194" s="65"/>
      <c r="V194" s="65"/>
      <c r="W194" s="65"/>
      <c r="X194" s="65"/>
      <c r="Y194" s="65"/>
      <c r="Z194" s="37"/>
      <c r="AA194" s="37"/>
    </row>
    <row r="195" spans="1:28" s="28" customFormat="1" x14ac:dyDescent="0.25">
      <c r="A195" s="35">
        <v>45831</v>
      </c>
      <c r="B195" s="36"/>
      <c r="C195" s="37"/>
      <c r="D195" s="37"/>
      <c r="E195" s="65"/>
      <c r="F195" s="65"/>
      <c r="G195" s="65"/>
      <c r="H195" s="65"/>
      <c r="I195" s="38"/>
      <c r="J195" s="65"/>
      <c r="K195" s="37"/>
      <c r="L195" s="37"/>
      <c r="M195" s="37"/>
      <c r="N195" s="37"/>
      <c r="O195" s="37"/>
      <c r="P195" s="37"/>
      <c r="Q195" s="37"/>
      <c r="R195" s="65"/>
      <c r="S195" s="65"/>
      <c r="T195" s="65"/>
      <c r="U195" s="65"/>
      <c r="V195" s="65"/>
      <c r="W195" s="65"/>
      <c r="X195" s="65"/>
      <c r="Y195" s="65"/>
      <c r="Z195" s="37"/>
      <c r="AA195" s="37"/>
      <c r="AB195" s="167"/>
    </row>
    <row r="196" spans="1:28" s="28" customFormat="1" x14ac:dyDescent="0.25">
      <c r="A196" s="35">
        <v>45832</v>
      </c>
      <c r="B196" s="36"/>
      <c r="C196" s="37"/>
      <c r="D196" s="37"/>
      <c r="E196" s="65"/>
      <c r="F196" s="65"/>
      <c r="G196" s="65"/>
      <c r="H196" s="65"/>
      <c r="I196" s="38"/>
      <c r="J196" s="37"/>
      <c r="K196" s="37"/>
      <c r="L196" s="37"/>
      <c r="M196" s="37"/>
      <c r="N196" s="37"/>
      <c r="O196" s="37"/>
      <c r="P196" s="37"/>
      <c r="Q196" s="37"/>
      <c r="R196" s="65"/>
      <c r="S196" s="65"/>
      <c r="T196" s="65"/>
      <c r="U196" s="65"/>
      <c r="V196" s="65"/>
      <c r="W196" s="65"/>
      <c r="X196" s="65"/>
      <c r="Y196" s="65"/>
      <c r="Z196" s="37"/>
      <c r="AA196" s="37"/>
      <c r="AB196" s="167"/>
    </row>
    <row r="197" spans="1:28" s="28" customFormat="1" x14ac:dyDescent="0.25">
      <c r="A197" s="35">
        <v>45833</v>
      </c>
      <c r="B197" s="36"/>
      <c r="C197" s="37"/>
      <c r="D197" s="37"/>
      <c r="E197" s="65"/>
      <c r="F197" s="65"/>
      <c r="G197" s="65"/>
      <c r="H197" s="65"/>
      <c r="I197" s="38"/>
      <c r="J197" s="65"/>
      <c r="K197" s="37"/>
      <c r="L197" s="37"/>
      <c r="M197" s="37"/>
      <c r="N197" s="37"/>
      <c r="O197" s="37"/>
      <c r="P197" s="37"/>
      <c r="Q197" s="37"/>
      <c r="R197" s="65"/>
      <c r="S197" s="65"/>
      <c r="T197" s="65"/>
      <c r="U197" s="65"/>
      <c r="V197" s="65"/>
      <c r="W197" s="65"/>
      <c r="X197" s="65"/>
      <c r="Y197" s="65"/>
      <c r="Z197" s="37"/>
      <c r="AA197" s="37"/>
      <c r="AB197" s="167"/>
    </row>
    <row r="198" spans="1:28" s="28" customFormat="1" x14ac:dyDescent="0.25">
      <c r="A198" s="35">
        <v>45834</v>
      </c>
      <c r="B198" s="36"/>
      <c r="C198" s="37"/>
      <c r="D198" s="37"/>
      <c r="E198" s="65"/>
      <c r="F198" s="65"/>
      <c r="G198" s="65"/>
      <c r="H198" s="65"/>
      <c r="I198" s="38"/>
      <c r="J198" s="37"/>
      <c r="K198" s="37"/>
      <c r="L198" s="37"/>
      <c r="M198" s="37"/>
      <c r="N198" s="37"/>
      <c r="O198" s="37"/>
      <c r="P198" s="37"/>
      <c r="Q198" s="37"/>
      <c r="R198" s="65"/>
      <c r="S198" s="65"/>
      <c r="T198" s="65"/>
      <c r="U198" s="65"/>
      <c r="V198" s="65"/>
      <c r="W198" s="65"/>
      <c r="X198" s="65"/>
      <c r="Y198" s="65"/>
      <c r="Z198" s="37"/>
      <c r="AA198" s="37"/>
      <c r="AB198" s="167"/>
    </row>
    <row r="199" spans="1:28" s="28" customFormat="1" x14ac:dyDescent="0.25">
      <c r="A199" s="35">
        <v>45835</v>
      </c>
      <c r="B199" s="36"/>
      <c r="C199" s="37"/>
      <c r="D199" s="37"/>
      <c r="E199" s="65"/>
      <c r="F199" s="65"/>
      <c r="G199" s="65"/>
      <c r="H199" s="65"/>
      <c r="I199" s="38"/>
      <c r="J199" s="37"/>
      <c r="K199" s="37"/>
      <c r="L199" s="37"/>
      <c r="M199" s="37"/>
      <c r="N199" s="37"/>
      <c r="O199" s="37"/>
      <c r="P199" s="37"/>
      <c r="Q199" s="37"/>
      <c r="R199" s="65"/>
      <c r="S199" s="65"/>
      <c r="T199" s="65"/>
      <c r="U199" s="65"/>
      <c r="V199" s="65"/>
      <c r="W199" s="65"/>
      <c r="X199" s="65"/>
      <c r="Y199" s="65"/>
      <c r="Z199" s="37"/>
      <c r="AA199" s="37"/>
      <c r="AB199" s="167"/>
    </row>
    <row r="200" spans="1:28" s="28" customFormat="1" x14ac:dyDescent="0.25">
      <c r="A200" s="35">
        <v>45836</v>
      </c>
      <c r="B200" s="36"/>
      <c r="C200" s="37"/>
      <c r="D200" s="37"/>
      <c r="E200" s="65"/>
      <c r="F200" s="65"/>
      <c r="G200" s="65"/>
      <c r="H200" s="65"/>
      <c r="I200" s="38"/>
      <c r="J200" s="37"/>
      <c r="K200" s="37"/>
      <c r="L200" s="37"/>
      <c r="M200" s="37"/>
      <c r="N200" s="37"/>
      <c r="O200" s="37"/>
      <c r="P200" s="37"/>
      <c r="Q200" s="37"/>
      <c r="R200" s="65"/>
      <c r="S200" s="65"/>
      <c r="T200" s="65"/>
      <c r="U200" s="65"/>
      <c r="V200" s="65"/>
      <c r="W200" s="65"/>
      <c r="X200" s="65"/>
      <c r="Y200" s="65"/>
      <c r="Z200" s="37"/>
      <c r="AA200" s="37"/>
      <c r="AB200" s="167"/>
    </row>
    <row r="201" spans="1:28" s="28" customFormat="1" x14ac:dyDescent="0.25">
      <c r="A201" s="35">
        <v>45837</v>
      </c>
      <c r="B201" s="36"/>
      <c r="C201" s="37"/>
      <c r="D201" s="37"/>
      <c r="E201" s="65"/>
      <c r="F201" s="65"/>
      <c r="G201" s="65"/>
      <c r="H201" s="65"/>
      <c r="I201" s="38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</row>
    <row r="202" spans="1:28" s="28" customFormat="1" x14ac:dyDescent="0.25">
      <c r="A202" s="35">
        <v>45838</v>
      </c>
      <c r="B202" s="36"/>
      <c r="C202" s="37"/>
      <c r="D202" s="37"/>
      <c r="E202" s="65"/>
      <c r="F202" s="65"/>
      <c r="G202" s="65"/>
      <c r="H202" s="65"/>
      <c r="I202" s="38"/>
      <c r="J202" s="37"/>
      <c r="K202" s="37"/>
      <c r="L202" s="37"/>
      <c r="M202" s="37"/>
      <c r="N202" s="37"/>
      <c r="O202" s="37"/>
      <c r="P202" s="37"/>
      <c r="Q202" s="37"/>
      <c r="R202" s="65"/>
      <c r="S202" s="37"/>
      <c r="T202" s="65"/>
      <c r="U202" s="65"/>
      <c r="V202" s="65"/>
      <c r="W202" s="65"/>
      <c r="X202" s="65"/>
      <c r="Y202" s="65"/>
      <c r="Z202" s="37"/>
      <c r="AA202" s="37"/>
      <c r="AB202" s="167"/>
    </row>
    <row r="203" spans="1:28" s="28" customFormat="1" x14ac:dyDescent="0.25">
      <c r="A203" s="35">
        <v>45839</v>
      </c>
      <c r="B203" s="36"/>
      <c r="C203" s="37"/>
      <c r="D203" s="37"/>
      <c r="E203" s="65"/>
      <c r="F203" s="65"/>
      <c r="G203" s="65"/>
      <c r="H203" s="65"/>
      <c r="I203" s="38"/>
      <c r="J203" s="65"/>
      <c r="K203" s="37"/>
      <c r="L203" s="37"/>
      <c r="M203" s="37"/>
      <c r="N203" s="37"/>
      <c r="O203" s="37"/>
      <c r="P203" s="37"/>
      <c r="Q203" s="37"/>
      <c r="R203" s="65"/>
      <c r="S203" s="65"/>
      <c r="T203" s="65"/>
      <c r="U203" s="65"/>
      <c r="V203" s="65"/>
      <c r="W203" s="65"/>
      <c r="X203" s="65"/>
      <c r="Y203" s="65"/>
      <c r="Z203" s="37"/>
      <c r="AA203" s="37"/>
      <c r="AB203" s="167"/>
    </row>
    <row r="204" spans="1:28" s="28" customFormat="1" x14ac:dyDescent="0.25">
      <c r="A204" s="35">
        <v>45840</v>
      </c>
      <c r="B204" s="36"/>
      <c r="C204" s="37"/>
      <c r="D204" s="37"/>
      <c r="E204" s="65"/>
      <c r="F204" s="65"/>
      <c r="G204" s="65"/>
      <c r="H204" s="65"/>
      <c r="I204" s="38"/>
      <c r="J204" s="65"/>
      <c r="K204" s="37"/>
      <c r="L204" s="37"/>
      <c r="M204" s="37"/>
      <c r="N204" s="37"/>
      <c r="O204" s="37"/>
      <c r="P204" s="37"/>
      <c r="Q204" s="37"/>
      <c r="R204" s="65"/>
      <c r="S204" s="65"/>
      <c r="T204" s="65"/>
      <c r="U204" s="65"/>
      <c r="V204" s="65"/>
      <c r="W204" s="65"/>
      <c r="X204" s="65"/>
      <c r="Y204" s="65"/>
      <c r="Z204" s="37"/>
      <c r="AA204" s="37"/>
      <c r="AB204" s="167"/>
    </row>
    <row r="205" spans="1:28" s="28" customFormat="1" x14ac:dyDescent="0.25">
      <c r="A205" s="35">
        <v>45841</v>
      </c>
      <c r="B205" s="36"/>
      <c r="C205" s="37"/>
      <c r="D205" s="37"/>
      <c r="E205" s="65"/>
      <c r="F205" s="65"/>
      <c r="G205" s="65"/>
      <c r="H205" s="65"/>
      <c r="I205" s="38"/>
      <c r="J205" s="65"/>
      <c r="K205" s="37"/>
      <c r="L205" s="37"/>
      <c r="M205" s="37"/>
      <c r="N205" s="37"/>
      <c r="O205" s="37"/>
      <c r="P205" s="37"/>
      <c r="Q205" s="37"/>
      <c r="R205" s="65"/>
      <c r="S205" s="65"/>
      <c r="T205" s="65"/>
      <c r="U205" s="65"/>
      <c r="V205" s="65"/>
      <c r="W205" s="65"/>
      <c r="X205" s="65"/>
      <c r="Y205" s="65"/>
      <c r="Z205" s="37"/>
      <c r="AA205" s="37"/>
      <c r="AB205" s="167"/>
    </row>
    <row r="206" spans="1:28" s="28" customFormat="1" x14ac:dyDescent="0.25">
      <c r="A206" s="35">
        <v>45842</v>
      </c>
      <c r="B206" s="36"/>
      <c r="C206" s="37"/>
      <c r="D206" s="37"/>
      <c r="E206" s="65"/>
      <c r="F206" s="65"/>
      <c r="G206" s="65"/>
      <c r="H206" s="65"/>
      <c r="I206" s="38"/>
      <c r="J206" s="65"/>
      <c r="K206" s="37"/>
      <c r="L206" s="65"/>
      <c r="M206" s="37"/>
      <c r="N206" s="37"/>
      <c r="O206" s="37"/>
      <c r="P206" s="37"/>
      <c r="Q206" s="37"/>
      <c r="R206" s="65"/>
      <c r="S206" s="65"/>
      <c r="T206" s="65"/>
      <c r="U206" s="65"/>
      <c r="V206" s="65"/>
      <c r="W206" s="65"/>
      <c r="X206" s="65"/>
      <c r="Y206" s="65"/>
      <c r="Z206" s="37"/>
      <c r="AA206" s="37"/>
      <c r="AB206" s="167"/>
    </row>
    <row r="207" spans="1:28" s="28" customFormat="1" x14ac:dyDescent="0.25">
      <c r="A207" s="35">
        <v>45843</v>
      </c>
      <c r="B207" s="36"/>
      <c r="C207" s="37"/>
      <c r="D207" s="37"/>
      <c r="E207" s="65"/>
      <c r="F207" s="65"/>
      <c r="G207" s="65"/>
      <c r="H207" s="65"/>
      <c r="I207" s="38"/>
      <c r="J207" s="65"/>
      <c r="K207" s="37"/>
      <c r="L207" s="37"/>
      <c r="M207" s="37"/>
      <c r="N207" s="37"/>
      <c r="O207" s="37"/>
      <c r="P207" s="37"/>
      <c r="Q207" s="37"/>
      <c r="R207" s="65"/>
      <c r="S207" s="65"/>
      <c r="T207" s="65"/>
      <c r="U207" s="65"/>
      <c r="V207" s="65"/>
      <c r="W207" s="65"/>
      <c r="X207" s="130"/>
      <c r="Y207" s="65"/>
      <c r="Z207" s="37"/>
      <c r="AA207" s="37"/>
      <c r="AB207" s="167"/>
    </row>
    <row r="208" spans="1:28" s="28" customFormat="1" x14ac:dyDescent="0.25">
      <c r="A208" s="35">
        <v>45844</v>
      </c>
      <c r="B208" s="36"/>
      <c r="C208" s="37"/>
      <c r="D208" s="37"/>
      <c r="E208" s="37"/>
      <c r="F208" s="37"/>
      <c r="G208" s="37"/>
      <c r="H208" s="37"/>
      <c r="I208" s="38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167"/>
    </row>
    <row r="209" spans="1:28" s="28" customFormat="1" x14ac:dyDescent="0.25">
      <c r="A209" s="35">
        <v>45845</v>
      </c>
      <c r="B209" s="36"/>
      <c r="C209" s="37"/>
      <c r="D209" s="37"/>
      <c r="E209" s="65"/>
      <c r="F209" s="65"/>
      <c r="G209" s="65"/>
      <c r="H209" s="65"/>
      <c r="I209" s="38"/>
      <c r="J209" s="65"/>
      <c r="K209" s="37"/>
      <c r="L209" s="37"/>
      <c r="M209" s="37"/>
      <c r="N209" s="37"/>
      <c r="O209" s="37"/>
      <c r="P209" s="37"/>
      <c r="Q209" s="37"/>
      <c r="R209" s="65"/>
      <c r="S209" s="65"/>
      <c r="T209" s="65"/>
      <c r="U209" s="65"/>
      <c r="V209" s="65"/>
      <c r="W209" s="65"/>
      <c r="X209" s="65"/>
      <c r="Y209" s="65"/>
      <c r="Z209" s="37"/>
      <c r="AA209" s="37"/>
      <c r="AB209" s="167"/>
    </row>
    <row r="210" spans="1:28" s="28" customFormat="1" x14ac:dyDescent="0.25">
      <c r="A210" s="35">
        <v>45846</v>
      </c>
      <c r="B210" s="36"/>
      <c r="C210" s="37"/>
      <c r="D210" s="37"/>
      <c r="E210" s="65"/>
      <c r="F210" s="65"/>
      <c r="G210" s="65"/>
      <c r="H210" s="65"/>
      <c r="I210" s="38"/>
      <c r="J210" s="37"/>
      <c r="K210" s="37"/>
      <c r="L210" s="37"/>
      <c r="M210" s="37"/>
      <c r="N210" s="37"/>
      <c r="O210" s="37"/>
      <c r="P210" s="37"/>
      <c r="Q210" s="37"/>
      <c r="R210" s="65"/>
      <c r="S210" s="65"/>
      <c r="T210" s="65"/>
      <c r="U210" s="65"/>
      <c r="V210" s="65"/>
      <c r="W210" s="65"/>
      <c r="X210" s="65"/>
      <c r="Y210" s="65"/>
      <c r="Z210" s="37"/>
      <c r="AA210" s="37"/>
      <c r="AB210" s="167"/>
    </row>
    <row r="211" spans="1:28" s="28" customFormat="1" x14ac:dyDescent="0.25">
      <c r="A211" s="35">
        <v>45847</v>
      </c>
      <c r="B211" s="36"/>
      <c r="C211" s="37"/>
      <c r="D211" s="37"/>
      <c r="E211" s="65"/>
      <c r="F211" s="65"/>
      <c r="G211" s="65"/>
      <c r="H211" s="65"/>
      <c r="I211" s="38"/>
      <c r="J211" s="65"/>
      <c r="K211" s="37"/>
      <c r="L211" s="37"/>
      <c r="M211" s="37"/>
      <c r="N211" s="37"/>
      <c r="O211" s="37"/>
      <c r="P211" s="37"/>
      <c r="Q211" s="37"/>
      <c r="R211" s="65"/>
      <c r="S211" s="65"/>
      <c r="T211" s="65"/>
      <c r="U211" s="65"/>
      <c r="V211" s="65"/>
      <c r="W211" s="65"/>
      <c r="X211" s="65"/>
      <c r="Y211" s="65"/>
      <c r="Z211" s="37"/>
      <c r="AA211" s="37"/>
      <c r="AB211" s="167"/>
    </row>
    <row r="212" spans="1:28" s="28" customFormat="1" x14ac:dyDescent="0.25">
      <c r="A212" s="35">
        <v>45848</v>
      </c>
      <c r="B212" s="36"/>
      <c r="C212" s="37"/>
      <c r="D212" s="37"/>
      <c r="E212" s="65"/>
      <c r="F212" s="65"/>
      <c r="G212" s="65"/>
      <c r="H212" s="65"/>
      <c r="I212" s="38"/>
      <c r="J212" s="37"/>
      <c r="K212" s="37"/>
      <c r="L212" s="37"/>
      <c r="M212" s="37"/>
      <c r="N212" s="37"/>
      <c r="O212" s="37"/>
      <c r="P212" s="37"/>
      <c r="Q212" s="37"/>
      <c r="R212" s="65"/>
      <c r="S212" s="65"/>
      <c r="T212" s="65"/>
      <c r="U212" s="65"/>
      <c r="V212" s="65"/>
      <c r="W212" s="65"/>
      <c r="X212" s="65"/>
      <c r="Y212" s="65"/>
      <c r="Z212" s="37"/>
      <c r="AA212" s="37"/>
      <c r="AB212" s="167"/>
    </row>
    <row r="213" spans="1:28" s="28" customFormat="1" x14ac:dyDescent="0.25">
      <c r="A213" s="35">
        <v>45849</v>
      </c>
      <c r="B213" s="36"/>
      <c r="C213" s="37"/>
      <c r="D213" s="37"/>
      <c r="E213" s="65"/>
      <c r="F213" s="65"/>
      <c r="G213" s="65"/>
      <c r="H213" s="65"/>
      <c r="I213" s="38"/>
      <c r="J213" s="37"/>
      <c r="K213" s="37"/>
      <c r="L213" s="37"/>
      <c r="M213" s="37"/>
      <c r="N213" s="37"/>
      <c r="O213" s="37"/>
      <c r="P213" s="37"/>
      <c r="Q213" s="37"/>
      <c r="R213" s="65"/>
      <c r="S213" s="65"/>
      <c r="T213" s="65"/>
      <c r="U213" s="65"/>
      <c r="V213" s="65"/>
      <c r="W213" s="65"/>
      <c r="X213" s="65"/>
      <c r="Y213" s="65"/>
      <c r="Z213" s="37"/>
      <c r="AA213" s="37"/>
      <c r="AB213" s="167"/>
    </row>
    <row r="214" spans="1:28" s="28" customFormat="1" x14ac:dyDescent="0.25">
      <c r="A214" s="35">
        <v>45850</v>
      </c>
      <c r="B214" s="36"/>
      <c r="C214" s="37"/>
      <c r="D214" s="37"/>
      <c r="E214" s="65"/>
      <c r="F214" s="65"/>
      <c r="G214" s="65"/>
      <c r="H214" s="65"/>
      <c r="I214" s="38"/>
      <c r="J214" s="65"/>
      <c r="K214" s="37"/>
      <c r="L214" s="37"/>
      <c r="M214" s="37"/>
      <c r="N214" s="65"/>
      <c r="O214" s="65"/>
      <c r="P214" s="37"/>
      <c r="Q214" s="37"/>
      <c r="R214" s="65"/>
      <c r="S214" s="65"/>
      <c r="T214" s="65"/>
      <c r="U214" s="65"/>
      <c r="V214" s="65"/>
      <c r="W214" s="65"/>
      <c r="X214" s="65"/>
      <c r="Y214" s="65"/>
      <c r="Z214" s="37"/>
      <c r="AA214" s="37"/>
      <c r="AB214" s="167"/>
    </row>
    <row r="215" spans="1:28" s="28" customFormat="1" x14ac:dyDescent="0.25">
      <c r="A215" s="35">
        <v>45851</v>
      </c>
      <c r="B215" s="36"/>
      <c r="C215" s="37"/>
      <c r="D215" s="37"/>
      <c r="E215" s="65"/>
      <c r="F215" s="65"/>
      <c r="G215" s="65"/>
      <c r="H215" s="65"/>
      <c r="I215" s="38"/>
      <c r="J215" s="65"/>
      <c r="K215" s="37"/>
      <c r="L215" s="37"/>
      <c r="M215" s="37"/>
      <c r="N215" s="37"/>
      <c r="O215" s="37"/>
      <c r="P215" s="37"/>
      <c r="Q215" s="37"/>
      <c r="R215" s="65"/>
      <c r="S215" s="65"/>
      <c r="T215" s="65"/>
      <c r="U215" s="65"/>
      <c r="V215" s="65"/>
      <c r="W215" s="65"/>
      <c r="X215" s="65"/>
      <c r="Y215" s="65"/>
      <c r="Z215" s="37"/>
      <c r="AA215" s="37"/>
      <c r="AB215" s="167"/>
    </row>
    <row r="216" spans="1:28" s="28" customFormat="1" x14ac:dyDescent="0.25">
      <c r="A216" s="35">
        <v>45852</v>
      </c>
      <c r="B216" s="36"/>
      <c r="C216" s="37"/>
      <c r="D216" s="37"/>
      <c r="E216" s="65"/>
      <c r="F216" s="65"/>
      <c r="G216" s="65"/>
      <c r="H216" s="65"/>
      <c r="I216" s="38"/>
      <c r="J216" s="65"/>
      <c r="K216" s="37"/>
      <c r="L216" s="37"/>
      <c r="M216" s="37"/>
      <c r="N216" s="37"/>
      <c r="O216" s="37"/>
      <c r="P216" s="37"/>
      <c r="Q216" s="37"/>
      <c r="R216" s="65"/>
      <c r="S216" s="65"/>
      <c r="T216" s="65"/>
      <c r="U216" s="65"/>
      <c r="V216" s="65"/>
      <c r="W216" s="65"/>
      <c r="X216" s="65"/>
      <c r="Y216" s="65"/>
      <c r="Z216" s="37"/>
      <c r="AA216" s="37"/>
      <c r="AB216" s="167"/>
    </row>
    <row r="217" spans="1:28" s="28" customFormat="1" x14ac:dyDescent="0.25">
      <c r="A217" s="35">
        <v>45853</v>
      </c>
      <c r="B217" s="36"/>
      <c r="C217" s="37"/>
      <c r="D217" s="37"/>
      <c r="E217" s="65"/>
      <c r="F217" s="65"/>
      <c r="G217" s="65"/>
      <c r="H217" s="65"/>
      <c r="I217" s="38"/>
      <c r="J217" s="65"/>
      <c r="K217" s="37"/>
      <c r="L217" s="37"/>
      <c r="M217" s="37"/>
      <c r="N217" s="37"/>
      <c r="O217" s="37"/>
      <c r="P217" s="37"/>
      <c r="Q217" s="37"/>
      <c r="R217" s="65"/>
      <c r="S217" s="65"/>
      <c r="T217" s="65"/>
      <c r="U217" s="65"/>
      <c r="V217" s="65"/>
      <c r="W217" s="65"/>
      <c r="X217" s="65"/>
      <c r="Y217" s="37"/>
      <c r="Z217" s="37"/>
      <c r="AA217" s="37"/>
      <c r="AB217" s="167"/>
    </row>
    <row r="218" spans="1:28" s="28" customFormat="1" x14ac:dyDescent="0.25">
      <c r="A218" s="35">
        <v>45854</v>
      </c>
      <c r="B218" s="36"/>
      <c r="C218" s="37"/>
      <c r="D218" s="37"/>
      <c r="E218" s="65"/>
      <c r="F218" s="65"/>
      <c r="G218" s="65"/>
      <c r="H218" s="65"/>
      <c r="I218" s="38"/>
      <c r="J218" s="65"/>
      <c r="K218" s="37"/>
      <c r="L218" s="37"/>
      <c r="M218" s="37"/>
      <c r="N218" s="37"/>
      <c r="O218" s="37"/>
      <c r="P218" s="37"/>
      <c r="Q218" s="37"/>
      <c r="R218" s="65"/>
      <c r="S218" s="65"/>
      <c r="T218" s="65"/>
      <c r="U218" s="65"/>
      <c r="V218" s="65"/>
      <c r="W218" s="65"/>
      <c r="X218" s="65"/>
      <c r="Y218" s="65"/>
      <c r="Z218" s="37"/>
      <c r="AA218" s="37"/>
      <c r="AB218" s="167"/>
    </row>
    <row r="219" spans="1:28" s="28" customFormat="1" x14ac:dyDescent="0.25">
      <c r="A219" s="35">
        <v>45855</v>
      </c>
      <c r="B219" s="36"/>
      <c r="C219" s="37"/>
      <c r="D219" s="37"/>
      <c r="E219" s="65"/>
      <c r="F219" s="65"/>
      <c r="G219" s="65"/>
      <c r="H219" s="65"/>
      <c r="I219" s="38"/>
      <c r="J219" s="65"/>
      <c r="K219" s="37"/>
      <c r="L219" s="37"/>
      <c r="M219" s="37"/>
      <c r="N219" s="37"/>
      <c r="O219" s="37"/>
      <c r="P219" s="37"/>
      <c r="Q219" s="37"/>
      <c r="R219" s="65"/>
      <c r="S219" s="65"/>
      <c r="T219" s="65"/>
      <c r="U219" s="65"/>
      <c r="V219" s="65"/>
      <c r="W219" s="65"/>
      <c r="X219" s="65"/>
      <c r="Y219" s="65"/>
      <c r="Z219" s="37"/>
      <c r="AA219" s="37"/>
      <c r="AB219" s="167"/>
    </row>
    <row r="220" spans="1:28" s="28" customFormat="1" x14ac:dyDescent="0.25">
      <c r="A220" s="35">
        <v>45856</v>
      </c>
      <c r="B220" s="36"/>
      <c r="C220" s="37"/>
      <c r="D220" s="37"/>
      <c r="E220" s="65"/>
      <c r="F220" s="65"/>
      <c r="G220" s="65"/>
      <c r="H220" s="65"/>
      <c r="I220" s="38"/>
      <c r="J220" s="37"/>
      <c r="K220" s="37"/>
      <c r="L220" s="37"/>
      <c r="M220" s="37"/>
      <c r="N220" s="37"/>
      <c r="O220" s="37"/>
      <c r="P220" s="37"/>
      <c r="Q220" s="37"/>
      <c r="R220" s="65"/>
      <c r="S220" s="65"/>
      <c r="T220" s="65"/>
      <c r="U220" s="65"/>
      <c r="V220" s="65"/>
      <c r="W220" s="65"/>
      <c r="X220" s="65"/>
      <c r="Y220" s="65"/>
      <c r="Z220" s="37"/>
      <c r="AA220" s="37"/>
      <c r="AB220" s="167"/>
    </row>
    <row r="221" spans="1:28" s="28" customFormat="1" x14ac:dyDescent="0.25">
      <c r="A221" s="35">
        <v>45857</v>
      </c>
      <c r="B221" s="36"/>
      <c r="C221" s="37"/>
      <c r="D221" s="37"/>
      <c r="E221" s="65"/>
      <c r="F221" s="65"/>
      <c r="G221" s="65"/>
      <c r="H221" s="65"/>
      <c r="I221" s="38"/>
      <c r="J221" s="37"/>
      <c r="K221" s="37"/>
      <c r="L221" s="37"/>
      <c r="M221" s="37"/>
      <c r="N221" s="37"/>
      <c r="O221" s="37"/>
      <c r="P221" s="37"/>
      <c r="Q221" s="37"/>
      <c r="R221" s="130"/>
      <c r="S221" s="65"/>
      <c r="T221" s="65"/>
      <c r="U221" s="65"/>
      <c r="V221" s="65"/>
      <c r="W221" s="65"/>
      <c r="X221" s="37"/>
      <c r="Y221" s="65"/>
      <c r="Z221" s="37"/>
      <c r="AA221" s="37"/>
      <c r="AB221" s="167"/>
    </row>
    <row r="222" spans="1:28" s="28" customFormat="1" x14ac:dyDescent="0.25">
      <c r="A222" s="35">
        <v>45858</v>
      </c>
      <c r="B222" s="36"/>
      <c r="C222" s="37"/>
      <c r="D222" s="37"/>
      <c r="E222" s="65"/>
      <c r="F222" s="65"/>
      <c r="G222" s="65"/>
      <c r="H222" s="65"/>
      <c r="I222" s="38"/>
      <c r="J222" s="37"/>
      <c r="K222" s="37"/>
      <c r="L222" s="37"/>
      <c r="M222" s="37"/>
      <c r="N222" s="37"/>
      <c r="O222" s="37"/>
      <c r="P222" s="37"/>
      <c r="Q222" s="37"/>
      <c r="R222" s="65"/>
      <c r="S222" s="65"/>
      <c r="T222" s="65"/>
      <c r="U222" s="65"/>
      <c r="V222" s="65"/>
      <c r="W222" s="65"/>
      <c r="X222" s="65"/>
      <c r="Y222" s="65"/>
      <c r="Z222" s="37"/>
      <c r="AA222" s="37"/>
      <c r="AB222" s="167"/>
    </row>
    <row r="223" spans="1:28" s="28" customFormat="1" x14ac:dyDescent="0.25">
      <c r="A223" s="35">
        <v>45859</v>
      </c>
      <c r="B223" s="36"/>
      <c r="C223" s="37"/>
      <c r="D223" s="37"/>
      <c r="E223" s="65"/>
      <c r="F223" s="65"/>
      <c r="G223" s="65"/>
      <c r="H223" s="65"/>
      <c r="I223" s="38"/>
      <c r="J223" s="65"/>
      <c r="K223" s="37"/>
      <c r="L223" s="37"/>
      <c r="M223" s="37"/>
      <c r="N223" s="37"/>
      <c r="O223" s="37"/>
      <c r="P223" s="37"/>
      <c r="Q223" s="37"/>
      <c r="R223" s="65"/>
      <c r="S223" s="65"/>
      <c r="T223" s="65"/>
      <c r="U223" s="65"/>
      <c r="V223" s="65"/>
      <c r="W223" s="65"/>
      <c r="X223" s="65"/>
      <c r="Y223" s="65"/>
      <c r="Z223" s="37"/>
      <c r="AA223" s="37"/>
      <c r="AB223" s="167"/>
    </row>
    <row r="224" spans="1:28" s="28" customFormat="1" x14ac:dyDescent="0.25">
      <c r="A224" s="35">
        <v>45860</v>
      </c>
      <c r="B224" s="36"/>
      <c r="C224" s="37"/>
      <c r="D224" s="37"/>
      <c r="E224" s="65"/>
      <c r="F224" s="65"/>
      <c r="G224" s="65"/>
      <c r="H224" s="65"/>
      <c r="I224" s="38"/>
      <c r="J224" s="37"/>
      <c r="K224" s="37"/>
      <c r="L224" s="37"/>
      <c r="M224" s="37"/>
      <c r="N224" s="37"/>
      <c r="O224" s="37"/>
      <c r="P224" s="37"/>
      <c r="Q224" s="37"/>
      <c r="R224" s="65"/>
      <c r="S224" s="65"/>
      <c r="T224" s="65"/>
      <c r="U224" s="65"/>
      <c r="V224" s="65"/>
      <c r="W224" s="65"/>
      <c r="X224" s="65"/>
      <c r="Y224" s="65"/>
      <c r="Z224" s="37"/>
      <c r="AA224" s="37"/>
      <c r="AB224" s="167"/>
    </row>
    <row r="225" spans="1:28" s="28" customFormat="1" x14ac:dyDescent="0.25">
      <c r="A225" s="35">
        <v>45861</v>
      </c>
      <c r="B225" s="36"/>
      <c r="C225" s="37"/>
      <c r="D225" s="37"/>
      <c r="E225" s="65"/>
      <c r="F225" s="65"/>
      <c r="G225" s="65"/>
      <c r="H225" s="65"/>
      <c r="I225" s="38"/>
      <c r="J225" s="37"/>
      <c r="K225" s="37"/>
      <c r="L225" s="37"/>
      <c r="M225" s="37"/>
      <c r="N225" s="37"/>
      <c r="O225" s="37"/>
      <c r="P225" s="37"/>
      <c r="Q225" s="37"/>
      <c r="R225" s="65"/>
      <c r="S225" s="65"/>
      <c r="T225" s="65"/>
      <c r="U225" s="65"/>
      <c r="V225" s="65"/>
      <c r="W225" s="65"/>
      <c r="X225" s="65"/>
      <c r="Y225" s="65"/>
      <c r="Z225" s="37"/>
      <c r="AA225" s="37"/>
      <c r="AB225" s="167"/>
    </row>
    <row r="226" spans="1:28" s="28" customFormat="1" x14ac:dyDescent="0.25">
      <c r="A226" s="35">
        <v>45862</v>
      </c>
      <c r="B226" s="36"/>
      <c r="C226" s="37"/>
      <c r="D226" s="37"/>
      <c r="E226" s="65"/>
      <c r="F226" s="65"/>
      <c r="G226" s="65"/>
      <c r="H226" s="65"/>
      <c r="I226" s="38"/>
      <c r="J226" s="37"/>
      <c r="K226" s="37"/>
      <c r="L226" s="37"/>
      <c r="M226" s="37"/>
      <c r="N226" s="37"/>
      <c r="O226" s="37"/>
      <c r="P226" s="37"/>
      <c r="Q226" s="37"/>
      <c r="R226" s="65"/>
      <c r="S226" s="65"/>
      <c r="T226" s="65"/>
      <c r="U226" s="65"/>
      <c r="V226" s="65"/>
      <c r="W226" s="65"/>
      <c r="X226" s="65"/>
      <c r="Y226" s="65"/>
      <c r="Z226" s="37"/>
      <c r="AA226" s="37"/>
      <c r="AB226" s="167"/>
    </row>
    <row r="227" spans="1:28" s="28" customFormat="1" x14ac:dyDescent="0.25">
      <c r="A227" s="35">
        <v>45863</v>
      </c>
      <c r="B227" s="36"/>
      <c r="C227" s="37"/>
      <c r="D227" s="37"/>
      <c r="E227" s="65"/>
      <c r="F227" s="65"/>
      <c r="G227" s="65"/>
      <c r="H227" s="65"/>
      <c r="I227" s="38"/>
      <c r="J227" s="65"/>
      <c r="K227" s="37"/>
      <c r="L227" s="37"/>
      <c r="M227" s="37"/>
      <c r="N227" s="37"/>
      <c r="O227" s="37"/>
      <c r="P227" s="37"/>
      <c r="Q227" s="37"/>
      <c r="R227" s="65"/>
      <c r="S227" s="65"/>
      <c r="T227" s="65"/>
      <c r="U227" s="65"/>
      <c r="V227" s="65"/>
      <c r="W227" s="65"/>
      <c r="X227" s="65"/>
      <c r="Y227" s="65"/>
      <c r="Z227" s="37"/>
      <c r="AA227" s="37"/>
      <c r="AB227" s="167"/>
    </row>
    <row r="228" spans="1:28" s="28" customFormat="1" x14ac:dyDescent="0.25">
      <c r="A228" s="35">
        <v>45864</v>
      </c>
      <c r="B228" s="36"/>
      <c r="C228" s="37"/>
      <c r="D228" s="37"/>
      <c r="E228" s="65"/>
      <c r="F228" s="65"/>
      <c r="G228" s="65"/>
      <c r="H228" s="65"/>
      <c r="I228" s="38"/>
      <c r="J228" s="37"/>
      <c r="K228" s="37"/>
      <c r="L228" s="37"/>
      <c r="M228" s="37"/>
      <c r="N228" s="37"/>
      <c r="O228" s="37"/>
      <c r="P228" s="37"/>
      <c r="Q228" s="37"/>
      <c r="R228" s="65"/>
      <c r="S228" s="65"/>
      <c r="T228" s="65"/>
      <c r="U228" s="65"/>
      <c r="V228" s="65"/>
      <c r="W228" s="65"/>
      <c r="X228" s="65"/>
      <c r="Y228" s="65"/>
      <c r="Z228" s="37"/>
      <c r="AA228" s="37"/>
      <c r="AB228" s="167"/>
    </row>
    <row r="229" spans="1:28" s="28" customFormat="1" x14ac:dyDescent="0.25">
      <c r="A229" s="35">
        <v>45865</v>
      </c>
      <c r="B229" s="36"/>
      <c r="C229" s="37"/>
      <c r="D229" s="37"/>
      <c r="E229" s="65"/>
      <c r="F229" s="65"/>
      <c r="G229" s="65"/>
      <c r="H229" s="65"/>
      <c r="I229" s="38"/>
      <c r="J229" s="37"/>
      <c r="K229" s="37"/>
      <c r="L229" s="37"/>
      <c r="M229" s="37"/>
      <c r="N229" s="37"/>
      <c r="O229" s="37"/>
      <c r="P229" s="37"/>
      <c r="Q229" s="37"/>
      <c r="R229" s="65"/>
      <c r="S229" s="65"/>
      <c r="T229" s="65"/>
      <c r="U229" s="65"/>
      <c r="V229" s="65"/>
      <c r="W229" s="65"/>
      <c r="X229" s="65"/>
      <c r="Y229" s="37"/>
      <c r="Z229" s="37"/>
      <c r="AA229" s="37"/>
      <c r="AB229" s="167"/>
    </row>
    <row r="230" spans="1:28" s="28" customFormat="1" x14ac:dyDescent="0.25">
      <c r="A230" s="35">
        <v>45866</v>
      </c>
      <c r="B230" s="36"/>
      <c r="C230" s="37"/>
      <c r="D230" s="37"/>
      <c r="E230" s="65"/>
      <c r="F230" s="65"/>
      <c r="G230" s="65"/>
      <c r="H230" s="65"/>
      <c r="I230" s="38"/>
      <c r="J230" s="37"/>
      <c r="K230" s="37"/>
      <c r="L230" s="37"/>
      <c r="M230" s="37"/>
      <c r="N230" s="37"/>
      <c r="O230" s="37"/>
      <c r="P230" s="37"/>
      <c r="Q230" s="37"/>
      <c r="R230" s="65"/>
      <c r="S230" s="65"/>
      <c r="T230" s="65"/>
      <c r="U230" s="65"/>
      <c r="V230" s="65"/>
      <c r="W230" s="65"/>
      <c r="X230" s="65"/>
      <c r="Y230" s="65"/>
      <c r="Z230" s="37"/>
      <c r="AA230" s="37"/>
      <c r="AB230" s="167"/>
    </row>
    <row r="231" spans="1:28" s="28" customFormat="1" x14ac:dyDescent="0.25">
      <c r="A231" s="35">
        <v>45867</v>
      </c>
      <c r="B231" s="36"/>
      <c r="C231" s="37"/>
      <c r="D231" s="37"/>
      <c r="E231" s="65"/>
      <c r="F231" s="65"/>
      <c r="G231" s="65"/>
      <c r="H231" s="65"/>
      <c r="I231" s="38"/>
      <c r="J231" s="37"/>
      <c r="K231" s="37"/>
      <c r="L231" s="37"/>
      <c r="M231" s="37"/>
      <c r="N231" s="37"/>
      <c r="O231" s="37"/>
      <c r="P231" s="37"/>
      <c r="Q231" s="37"/>
      <c r="R231" s="65"/>
      <c r="S231" s="65"/>
      <c r="T231" s="65"/>
      <c r="U231" s="65"/>
      <c r="V231" s="65"/>
      <c r="W231" s="65"/>
      <c r="X231" s="65"/>
      <c r="Y231" s="65"/>
      <c r="Z231" s="37"/>
      <c r="AA231" s="37"/>
      <c r="AB231" s="167"/>
    </row>
    <row r="232" spans="1:28" s="28" customFormat="1" x14ac:dyDescent="0.25">
      <c r="A232" s="35">
        <v>45868</v>
      </c>
      <c r="B232" s="36"/>
      <c r="C232" s="37"/>
      <c r="D232" s="37"/>
      <c r="E232" s="65"/>
      <c r="F232" s="65"/>
      <c r="G232" s="65"/>
      <c r="H232" s="65"/>
      <c r="I232" s="38"/>
      <c r="J232" s="37"/>
      <c r="K232" s="37"/>
      <c r="L232" s="37"/>
      <c r="M232" s="37"/>
      <c r="N232" s="37"/>
      <c r="O232" s="37"/>
      <c r="P232" s="37"/>
      <c r="Q232" s="37"/>
      <c r="R232" s="65"/>
      <c r="S232" s="65"/>
      <c r="T232" s="65"/>
      <c r="U232" s="65"/>
      <c r="V232" s="65"/>
      <c r="W232" s="65"/>
      <c r="X232" s="65"/>
      <c r="Y232" s="37"/>
      <c r="Z232" s="37"/>
      <c r="AA232" s="37"/>
      <c r="AB232" s="167"/>
    </row>
    <row r="233" spans="1:28" s="28" customFormat="1" x14ac:dyDescent="0.25">
      <c r="A233" s="35">
        <v>45869</v>
      </c>
      <c r="B233" s="36"/>
      <c r="C233" s="37"/>
      <c r="D233" s="37"/>
      <c r="E233" s="65"/>
      <c r="F233" s="65"/>
      <c r="G233" s="65"/>
      <c r="H233" s="65"/>
      <c r="I233" s="38"/>
      <c r="J233" s="37"/>
      <c r="K233" s="37"/>
      <c r="L233" s="37"/>
      <c r="M233" s="37"/>
      <c r="N233" s="37"/>
      <c r="O233" s="37"/>
      <c r="P233" s="37"/>
      <c r="Q233" s="37"/>
      <c r="R233" s="65"/>
      <c r="S233" s="65"/>
      <c r="T233" s="65"/>
      <c r="U233" s="65"/>
      <c r="V233" s="65"/>
      <c r="W233" s="65"/>
      <c r="X233" s="65"/>
      <c r="Y233" s="65"/>
      <c r="Z233" s="37"/>
      <c r="AA233" s="37"/>
      <c r="AB233" s="167"/>
    </row>
    <row r="234" spans="1:28" s="28" customFormat="1" x14ac:dyDescent="0.25">
      <c r="A234" s="35">
        <v>45870</v>
      </c>
      <c r="B234" s="36"/>
      <c r="C234" s="37"/>
      <c r="D234" s="37"/>
      <c r="E234" s="65"/>
      <c r="F234" s="65"/>
      <c r="G234" s="65"/>
      <c r="H234" s="65"/>
      <c r="I234" s="38"/>
      <c r="J234" s="37"/>
      <c r="K234" s="37"/>
      <c r="L234" s="37"/>
      <c r="M234" s="37"/>
      <c r="N234" s="37"/>
      <c r="O234" s="37"/>
      <c r="P234" s="37"/>
      <c r="Q234" s="37"/>
      <c r="R234" s="65"/>
      <c r="S234" s="65"/>
      <c r="T234" s="65"/>
      <c r="U234" s="65"/>
      <c r="V234" s="65"/>
      <c r="W234" s="65"/>
      <c r="X234" s="65"/>
      <c r="Y234" s="65"/>
      <c r="Z234" s="37"/>
      <c r="AA234" s="37"/>
    </row>
    <row r="235" spans="1:28" s="28" customFormat="1" x14ac:dyDescent="0.25">
      <c r="A235" s="35">
        <v>45871</v>
      </c>
      <c r="B235" s="36"/>
      <c r="C235" s="37"/>
      <c r="D235" s="37"/>
      <c r="E235" s="65"/>
      <c r="F235" s="65"/>
      <c r="G235" s="65"/>
      <c r="H235" s="65"/>
      <c r="I235" s="38"/>
      <c r="J235" s="37"/>
      <c r="K235" s="37"/>
      <c r="L235" s="37"/>
      <c r="M235" s="37"/>
      <c r="N235" s="37"/>
      <c r="O235" s="37"/>
      <c r="P235" s="37"/>
      <c r="Q235" s="37"/>
      <c r="R235" s="65"/>
      <c r="S235" s="65"/>
      <c r="T235" s="65"/>
      <c r="U235" s="65"/>
      <c r="V235" s="65"/>
      <c r="W235" s="65"/>
      <c r="X235" s="65"/>
      <c r="Y235" s="65"/>
      <c r="Z235" s="37"/>
      <c r="AA235" s="37"/>
      <c r="AB235" s="167"/>
    </row>
    <row r="236" spans="1:28" s="28" customFormat="1" x14ac:dyDescent="0.25">
      <c r="A236" s="35">
        <v>45872</v>
      </c>
      <c r="B236" s="36"/>
      <c r="C236" s="37"/>
      <c r="D236" s="37"/>
      <c r="E236" s="65"/>
      <c r="F236" s="65"/>
      <c r="G236" s="65"/>
      <c r="H236" s="65"/>
      <c r="I236" s="38"/>
      <c r="J236" s="37"/>
      <c r="K236" s="37"/>
      <c r="L236" s="37"/>
      <c r="M236" s="37"/>
      <c r="N236" s="37"/>
      <c r="O236" s="37"/>
      <c r="P236" s="37"/>
      <c r="Q236" s="37"/>
      <c r="R236" s="65"/>
      <c r="S236" s="65"/>
      <c r="T236" s="65"/>
      <c r="U236" s="65"/>
      <c r="V236" s="65"/>
      <c r="W236" s="65"/>
      <c r="X236" s="65"/>
      <c r="Y236" s="65"/>
      <c r="Z236" s="37"/>
      <c r="AA236" s="37"/>
      <c r="AB236" s="167"/>
    </row>
    <row r="237" spans="1:28" s="28" customFormat="1" x14ac:dyDescent="0.25">
      <c r="A237" s="35">
        <v>45873</v>
      </c>
      <c r="B237" s="36"/>
      <c r="C237" s="37"/>
      <c r="D237" s="37"/>
      <c r="E237" s="65"/>
      <c r="F237" s="65"/>
      <c r="G237" s="65"/>
      <c r="H237" s="65"/>
      <c r="I237" s="38"/>
      <c r="J237" s="65"/>
      <c r="K237" s="37"/>
      <c r="L237" s="37"/>
      <c r="M237" s="37"/>
      <c r="N237" s="37"/>
      <c r="O237" s="37"/>
      <c r="P237" s="37"/>
      <c r="Q237" s="37"/>
      <c r="R237" s="65"/>
      <c r="S237" s="65"/>
      <c r="T237" s="65"/>
      <c r="U237" s="65"/>
      <c r="V237" s="65"/>
      <c r="W237" s="65"/>
      <c r="X237" s="65"/>
      <c r="Y237" s="65"/>
      <c r="Z237" s="37"/>
      <c r="AA237" s="37"/>
      <c r="AB237" s="167"/>
    </row>
    <row r="238" spans="1:28" s="28" customFormat="1" x14ac:dyDescent="0.25">
      <c r="A238" s="35">
        <v>45874</v>
      </c>
      <c r="B238" s="36"/>
      <c r="C238" s="37"/>
      <c r="D238" s="37"/>
      <c r="E238" s="65"/>
      <c r="F238" s="65"/>
      <c r="G238" s="65"/>
      <c r="H238" s="65"/>
      <c r="I238" s="38"/>
      <c r="J238" s="36"/>
      <c r="K238" s="37"/>
      <c r="L238" s="37"/>
      <c r="M238" s="37"/>
      <c r="N238" s="37"/>
      <c r="O238" s="37"/>
      <c r="P238" s="37"/>
      <c r="Q238" s="37"/>
      <c r="R238" s="65"/>
      <c r="S238" s="65"/>
      <c r="T238" s="65"/>
      <c r="U238" s="65"/>
      <c r="V238" s="65"/>
      <c r="W238" s="65"/>
      <c r="X238" s="65"/>
      <c r="Y238" s="65"/>
      <c r="Z238" s="37"/>
      <c r="AA238" s="37"/>
      <c r="AB238" s="167"/>
    </row>
    <row r="239" spans="1:28" s="28" customFormat="1" x14ac:dyDescent="0.25">
      <c r="A239" s="35">
        <v>45875</v>
      </c>
      <c r="B239" s="36"/>
      <c r="C239" s="37"/>
      <c r="D239" s="37"/>
      <c r="E239" s="65"/>
      <c r="F239" s="65"/>
      <c r="G239" s="65"/>
      <c r="H239" s="65"/>
      <c r="I239" s="38"/>
      <c r="J239" s="39"/>
      <c r="K239" s="36"/>
      <c r="L239" s="37"/>
      <c r="M239" s="37"/>
      <c r="N239" s="37"/>
      <c r="O239" s="37"/>
      <c r="P239" s="37"/>
      <c r="Q239" s="37"/>
      <c r="R239" s="65"/>
      <c r="S239" s="65"/>
      <c r="T239" s="65"/>
      <c r="U239" s="65"/>
      <c r="V239" s="65"/>
      <c r="W239" s="65"/>
      <c r="X239" s="65"/>
      <c r="Y239" s="65"/>
      <c r="Z239" s="37"/>
      <c r="AA239" s="37"/>
      <c r="AB239" s="167"/>
    </row>
    <row r="240" spans="1:28" s="28" customFormat="1" x14ac:dyDescent="0.25">
      <c r="A240" s="35">
        <v>45876</v>
      </c>
      <c r="B240" s="36"/>
      <c r="C240" s="37"/>
      <c r="D240" s="37"/>
      <c r="E240" s="65"/>
      <c r="F240" s="65"/>
      <c r="G240" s="65"/>
      <c r="H240" s="65"/>
      <c r="I240" s="38"/>
      <c r="J240" s="39"/>
      <c r="K240" s="36"/>
      <c r="L240" s="37"/>
      <c r="M240" s="37"/>
      <c r="N240" s="37"/>
      <c r="O240" s="37"/>
      <c r="P240" s="37"/>
      <c r="Q240" s="37"/>
      <c r="R240" s="65"/>
      <c r="S240" s="65"/>
      <c r="T240" s="65"/>
      <c r="U240" s="65"/>
      <c r="V240" s="65"/>
      <c r="W240" s="65"/>
      <c r="X240" s="65"/>
      <c r="Y240" s="65"/>
      <c r="Z240" s="37"/>
      <c r="AA240" s="37"/>
      <c r="AB240" s="167"/>
    </row>
    <row r="241" spans="1:28" s="28" customFormat="1" x14ac:dyDescent="0.25">
      <c r="A241" s="35">
        <v>45877</v>
      </c>
      <c r="B241" s="36"/>
      <c r="C241" s="37"/>
      <c r="D241" s="37"/>
      <c r="E241" s="65"/>
      <c r="F241" s="65"/>
      <c r="G241" s="65"/>
      <c r="H241" s="65"/>
      <c r="I241" s="38"/>
      <c r="J241" s="39"/>
      <c r="K241" s="36"/>
      <c r="L241" s="37"/>
      <c r="M241" s="37"/>
      <c r="N241" s="37"/>
      <c r="O241" s="37"/>
      <c r="P241" s="37"/>
      <c r="Q241" s="37"/>
      <c r="R241" s="65"/>
      <c r="S241" s="65"/>
      <c r="T241" s="65"/>
      <c r="U241" s="65"/>
      <c r="V241" s="65"/>
      <c r="W241" s="65"/>
      <c r="X241" s="65"/>
      <c r="Y241" s="65"/>
      <c r="Z241" s="37"/>
      <c r="AA241" s="37"/>
      <c r="AB241" s="167"/>
    </row>
    <row r="242" spans="1:28" s="28" customFormat="1" x14ac:dyDescent="0.25">
      <c r="A242" s="35">
        <v>45878</v>
      </c>
      <c r="B242" s="36"/>
      <c r="C242" s="37"/>
      <c r="D242" s="37"/>
      <c r="E242" s="65"/>
      <c r="F242" s="65"/>
      <c r="G242" s="65"/>
      <c r="H242" s="65"/>
      <c r="I242" s="38"/>
      <c r="J242" s="36"/>
      <c r="K242" s="36"/>
      <c r="L242" s="37"/>
      <c r="M242" s="37"/>
      <c r="N242" s="37"/>
      <c r="O242" s="37"/>
      <c r="P242" s="37"/>
      <c r="Q242" s="37"/>
      <c r="R242" s="65"/>
      <c r="S242" s="65"/>
      <c r="T242" s="65"/>
      <c r="U242" s="65"/>
      <c r="V242" s="65"/>
      <c r="W242" s="65"/>
      <c r="X242" s="65"/>
      <c r="Y242" s="65"/>
      <c r="Z242" s="37"/>
      <c r="AA242" s="37"/>
      <c r="AB242" s="167"/>
    </row>
    <row r="243" spans="1:28" s="28" customFormat="1" x14ac:dyDescent="0.25">
      <c r="A243" s="35">
        <v>45879</v>
      </c>
      <c r="B243" s="36"/>
      <c r="C243" s="37"/>
      <c r="D243" s="37"/>
      <c r="E243" s="65"/>
      <c r="F243" s="65"/>
      <c r="G243" s="65"/>
      <c r="H243" s="65"/>
      <c r="I243" s="38"/>
      <c r="J243" s="39"/>
      <c r="K243" s="36"/>
      <c r="L243" s="37"/>
      <c r="M243" s="37"/>
      <c r="N243" s="65"/>
      <c r="O243" s="65"/>
      <c r="P243" s="37"/>
      <c r="Q243" s="37"/>
      <c r="R243" s="65"/>
      <c r="S243" s="65"/>
      <c r="T243" s="65"/>
      <c r="U243" s="65"/>
      <c r="V243" s="65"/>
      <c r="W243" s="65"/>
      <c r="X243" s="37"/>
      <c r="Y243" s="65"/>
      <c r="Z243" s="37"/>
      <c r="AA243" s="37"/>
      <c r="AB243" s="167"/>
    </row>
    <row r="244" spans="1:28" s="28" customFormat="1" x14ac:dyDescent="0.25">
      <c r="A244" s="35">
        <v>45880</v>
      </c>
      <c r="B244" s="36"/>
      <c r="C244" s="37"/>
      <c r="D244" s="37"/>
      <c r="E244" s="65"/>
      <c r="F244" s="65"/>
      <c r="G244" s="65"/>
      <c r="H244" s="65"/>
      <c r="I244" s="38"/>
      <c r="J244" s="65"/>
      <c r="K244" s="37"/>
      <c r="L244" s="37"/>
      <c r="M244" s="37"/>
      <c r="N244" s="37"/>
      <c r="O244" s="37"/>
      <c r="P244" s="37"/>
      <c r="Q244" s="37"/>
      <c r="R244" s="65"/>
      <c r="S244" s="65"/>
      <c r="T244" s="65"/>
      <c r="U244" s="65"/>
      <c r="V244" s="65"/>
      <c r="W244" s="65"/>
      <c r="X244" s="65"/>
      <c r="Y244" s="65"/>
      <c r="Z244" s="37"/>
      <c r="AA244" s="37"/>
      <c r="AB244" s="167"/>
    </row>
    <row r="245" spans="1:28" s="28" customFormat="1" x14ac:dyDescent="0.25">
      <c r="A245" s="35">
        <v>45881</v>
      </c>
      <c r="B245" s="36"/>
      <c r="C245" s="37"/>
      <c r="D245" s="37"/>
      <c r="E245" s="65"/>
      <c r="F245" s="65"/>
      <c r="G245" s="65"/>
      <c r="H245" s="65"/>
      <c r="I245" s="38"/>
      <c r="J245" s="37"/>
      <c r="K245" s="37"/>
      <c r="L245" s="37"/>
      <c r="M245" s="37"/>
      <c r="N245" s="37"/>
      <c r="O245" s="37"/>
      <c r="P245" s="37"/>
      <c r="Q245" s="37"/>
      <c r="R245" s="37"/>
      <c r="S245" s="65"/>
      <c r="T245" s="65"/>
      <c r="U245" s="65"/>
      <c r="V245" s="65"/>
      <c r="W245" s="65"/>
      <c r="X245" s="65"/>
      <c r="Y245" s="65"/>
      <c r="Z245" s="37"/>
      <c r="AA245" s="37"/>
      <c r="AB245" s="167"/>
    </row>
    <row r="246" spans="1:28" s="28" customFormat="1" x14ac:dyDescent="0.25">
      <c r="A246" s="35">
        <v>45882</v>
      </c>
      <c r="B246" s="36"/>
      <c r="C246" s="37"/>
      <c r="D246" s="37"/>
      <c r="E246" s="65"/>
      <c r="F246" s="65"/>
      <c r="G246" s="65"/>
      <c r="H246" s="65"/>
      <c r="I246" s="38"/>
      <c r="J246" s="65"/>
      <c r="K246" s="37"/>
      <c r="L246" s="37"/>
      <c r="M246" s="37"/>
      <c r="N246" s="37"/>
      <c r="O246" s="37"/>
      <c r="P246" s="37"/>
      <c r="Q246" s="37"/>
      <c r="R246" s="65"/>
      <c r="S246" s="65"/>
      <c r="T246" s="65"/>
      <c r="U246" s="65"/>
      <c r="V246" s="65"/>
      <c r="W246" s="65"/>
      <c r="X246" s="65"/>
      <c r="Y246" s="65"/>
      <c r="Z246" s="37"/>
      <c r="AA246" s="37"/>
      <c r="AB246" s="167"/>
    </row>
    <row r="247" spans="1:28" s="28" customFormat="1" x14ac:dyDescent="0.25">
      <c r="A247" s="35">
        <v>45883</v>
      </c>
      <c r="B247" s="36"/>
      <c r="C247" s="37"/>
      <c r="D247" s="37"/>
      <c r="E247" s="65"/>
      <c r="F247" s="65"/>
      <c r="G247" s="65"/>
      <c r="H247" s="65"/>
      <c r="I247" s="38"/>
      <c r="J247" s="37"/>
      <c r="K247" s="37"/>
      <c r="L247" s="37"/>
      <c r="M247" s="37"/>
      <c r="N247" s="37"/>
      <c r="O247" s="37"/>
      <c r="P247" s="37"/>
      <c r="Q247" s="37"/>
      <c r="R247" s="65"/>
      <c r="S247" s="65"/>
      <c r="T247" s="65"/>
      <c r="U247" s="65"/>
      <c r="V247" s="65"/>
      <c r="W247" s="65"/>
      <c r="X247" s="65"/>
      <c r="Y247" s="65"/>
      <c r="Z247" s="37"/>
      <c r="AA247" s="37"/>
      <c r="AB247" s="167"/>
    </row>
    <row r="248" spans="1:28" s="28" customFormat="1" x14ac:dyDescent="0.25">
      <c r="A248" s="35">
        <v>45884</v>
      </c>
      <c r="B248" s="36"/>
      <c r="C248" s="37"/>
      <c r="D248" s="37"/>
      <c r="E248" s="65"/>
      <c r="F248" s="65"/>
      <c r="G248" s="65"/>
      <c r="H248" s="65"/>
      <c r="I248" s="38"/>
      <c r="J248" s="65"/>
      <c r="K248" s="37"/>
      <c r="L248" s="37"/>
      <c r="M248" s="37"/>
      <c r="N248" s="37"/>
      <c r="O248" s="37"/>
      <c r="P248" s="37"/>
      <c r="Q248" s="37"/>
      <c r="R248" s="65"/>
      <c r="S248" s="65"/>
      <c r="T248" s="65"/>
      <c r="U248" s="65"/>
      <c r="V248" s="65"/>
      <c r="W248" s="65"/>
      <c r="X248" s="65"/>
      <c r="Y248" s="65"/>
      <c r="Z248" s="37"/>
      <c r="AA248" s="37"/>
      <c r="AB248" s="167"/>
    </row>
    <row r="249" spans="1:28" s="28" customFormat="1" x14ac:dyDescent="0.25">
      <c r="A249" s="35">
        <v>45885</v>
      </c>
      <c r="B249" s="36"/>
      <c r="C249" s="37"/>
      <c r="D249" s="37"/>
      <c r="E249" s="65"/>
      <c r="F249" s="65"/>
      <c r="G249" s="65"/>
      <c r="H249" s="65"/>
      <c r="I249" s="38"/>
      <c r="J249" s="37"/>
      <c r="K249" s="37"/>
      <c r="L249" s="37"/>
      <c r="M249" s="37"/>
      <c r="N249" s="37"/>
      <c r="O249" s="37"/>
      <c r="P249" s="37"/>
      <c r="Q249" s="37"/>
      <c r="R249" s="65"/>
      <c r="S249" s="65"/>
      <c r="T249" s="65"/>
      <c r="U249" s="65"/>
      <c r="V249" s="65"/>
      <c r="W249" s="65"/>
      <c r="X249" s="65"/>
      <c r="Y249" s="65"/>
      <c r="Z249" s="37"/>
      <c r="AA249" s="37"/>
      <c r="AB249" s="167"/>
    </row>
    <row r="250" spans="1:28" s="28" customFormat="1" x14ac:dyDescent="0.25">
      <c r="A250" s="35">
        <v>45886</v>
      </c>
      <c r="B250" s="36"/>
      <c r="C250" s="37"/>
      <c r="D250" s="37"/>
      <c r="E250" s="65"/>
      <c r="F250" s="65"/>
      <c r="G250" s="65"/>
      <c r="H250" s="65"/>
      <c r="I250" s="38"/>
      <c r="J250" s="37"/>
      <c r="K250" s="37"/>
      <c r="L250" s="37"/>
      <c r="M250" s="37"/>
      <c r="N250" s="37"/>
      <c r="O250" s="37"/>
      <c r="P250" s="37"/>
      <c r="Q250" s="37"/>
      <c r="R250" s="65"/>
      <c r="S250" s="65"/>
      <c r="T250" s="65"/>
      <c r="U250" s="65"/>
      <c r="V250" s="65"/>
      <c r="W250" s="65"/>
      <c r="X250" s="65"/>
      <c r="Y250" s="65"/>
      <c r="Z250" s="37"/>
      <c r="AA250" s="37"/>
      <c r="AB250" s="167"/>
    </row>
    <row r="251" spans="1:28" s="28" customFormat="1" x14ac:dyDescent="0.25">
      <c r="A251" s="35">
        <v>45887</v>
      </c>
      <c r="B251" s="36"/>
      <c r="C251" s="37"/>
      <c r="D251" s="37"/>
      <c r="E251" s="65"/>
      <c r="F251" s="65"/>
      <c r="G251" s="65"/>
      <c r="H251" s="65"/>
      <c r="I251" s="38"/>
      <c r="J251" s="37"/>
      <c r="K251" s="37"/>
      <c r="L251" s="37"/>
      <c r="M251" s="37"/>
      <c r="N251" s="37"/>
      <c r="O251" s="37"/>
      <c r="P251" s="37"/>
      <c r="Q251" s="37"/>
      <c r="R251" s="65"/>
      <c r="S251" s="65"/>
      <c r="T251" s="65"/>
      <c r="U251" s="65"/>
      <c r="V251" s="65"/>
      <c r="W251" s="65"/>
      <c r="X251" s="65"/>
      <c r="Y251" s="65"/>
      <c r="Z251" s="37"/>
      <c r="AA251" s="37"/>
      <c r="AB251" s="167"/>
    </row>
    <row r="252" spans="1:28" s="28" customFormat="1" x14ac:dyDescent="0.25">
      <c r="A252" s="35">
        <v>45888</v>
      </c>
      <c r="B252" s="36"/>
      <c r="C252" s="37"/>
      <c r="D252" s="37"/>
      <c r="E252" s="65"/>
      <c r="F252" s="65"/>
      <c r="G252" s="65"/>
      <c r="H252" s="65"/>
      <c r="I252" s="38"/>
      <c r="J252" s="65"/>
      <c r="K252" s="37"/>
      <c r="L252" s="37"/>
      <c r="M252" s="37"/>
      <c r="N252" s="37"/>
      <c r="O252" s="37"/>
      <c r="P252" s="37"/>
      <c r="Q252" s="37"/>
      <c r="R252" s="65"/>
      <c r="S252" s="65"/>
      <c r="T252" s="65"/>
      <c r="U252" s="65"/>
      <c r="V252" s="65"/>
      <c r="W252" s="65"/>
      <c r="X252" s="65"/>
      <c r="Y252" s="65"/>
      <c r="Z252" s="37"/>
      <c r="AA252" s="37"/>
      <c r="AB252" s="167"/>
    </row>
    <row r="253" spans="1:28" s="28" customFormat="1" x14ac:dyDescent="0.25">
      <c r="A253" s="35">
        <v>45889</v>
      </c>
      <c r="B253" s="36"/>
      <c r="C253" s="37"/>
      <c r="D253" s="37"/>
      <c r="E253" s="65"/>
      <c r="F253" s="65"/>
      <c r="G253" s="65"/>
      <c r="H253" s="65"/>
      <c r="I253" s="38"/>
      <c r="J253" s="65"/>
      <c r="K253" s="37"/>
      <c r="L253" s="37"/>
      <c r="M253" s="37"/>
      <c r="N253" s="37"/>
      <c r="O253" s="37"/>
      <c r="P253" s="37"/>
      <c r="Q253" s="37"/>
      <c r="R253" s="65"/>
      <c r="S253" s="65"/>
      <c r="T253" s="65"/>
      <c r="U253" s="65"/>
      <c r="V253" s="65"/>
      <c r="W253" s="65"/>
      <c r="X253" s="65"/>
      <c r="Y253" s="65"/>
      <c r="Z253" s="37"/>
      <c r="AA253" s="37"/>
      <c r="AB253" s="167"/>
    </row>
    <row r="254" spans="1:28" s="28" customFormat="1" x14ac:dyDescent="0.25">
      <c r="A254" s="35">
        <v>45890</v>
      </c>
      <c r="B254" s="36"/>
      <c r="C254" s="37"/>
      <c r="D254" s="37"/>
      <c r="E254" s="65"/>
      <c r="F254" s="65"/>
      <c r="G254" s="65"/>
      <c r="H254" s="65"/>
      <c r="I254" s="38"/>
      <c r="J254" s="65"/>
      <c r="K254" s="37"/>
      <c r="L254" s="37"/>
      <c r="M254" s="37"/>
      <c r="N254" s="37"/>
      <c r="O254" s="37"/>
      <c r="P254" s="37"/>
      <c r="Q254" s="37"/>
      <c r="R254" s="65"/>
      <c r="S254" s="65"/>
      <c r="T254" s="65"/>
      <c r="U254" s="65"/>
      <c r="V254" s="65"/>
      <c r="W254" s="65"/>
      <c r="X254" s="65"/>
      <c r="Y254" s="65"/>
      <c r="Z254" s="37"/>
      <c r="AA254" s="37"/>
      <c r="AB254" s="167"/>
    </row>
    <row r="255" spans="1:28" s="28" customFormat="1" x14ac:dyDescent="0.25">
      <c r="A255" s="35">
        <v>45891</v>
      </c>
      <c r="B255" s="36"/>
      <c r="C255" s="37"/>
      <c r="D255" s="37"/>
      <c r="E255" s="65"/>
      <c r="F255" s="65"/>
      <c r="G255" s="65"/>
      <c r="H255" s="65"/>
      <c r="I255" s="38"/>
      <c r="J255" s="65"/>
      <c r="K255" s="37"/>
      <c r="L255" s="37"/>
      <c r="M255" s="37"/>
      <c r="N255" s="37"/>
      <c r="O255" s="37"/>
      <c r="P255" s="37"/>
      <c r="Q255" s="37"/>
      <c r="R255" s="65"/>
      <c r="S255" s="65"/>
      <c r="T255" s="65"/>
      <c r="U255" s="65"/>
      <c r="V255" s="65"/>
      <c r="W255" s="65"/>
      <c r="X255" s="65"/>
      <c r="Y255" s="65"/>
      <c r="Z255" s="37"/>
      <c r="AA255" s="37"/>
      <c r="AB255" s="167"/>
    </row>
    <row r="256" spans="1:28" s="28" customFormat="1" x14ac:dyDescent="0.25">
      <c r="A256" s="35">
        <v>45891</v>
      </c>
      <c r="B256" s="36"/>
      <c r="C256" s="37"/>
      <c r="D256" s="37"/>
      <c r="E256" s="65"/>
      <c r="F256" s="65"/>
      <c r="G256" s="65"/>
      <c r="H256" s="65"/>
      <c r="I256" s="38"/>
      <c r="J256" s="65"/>
      <c r="K256" s="37"/>
      <c r="L256" s="37"/>
      <c r="M256" s="37"/>
      <c r="N256" s="37"/>
      <c r="O256" s="37"/>
      <c r="P256" s="37"/>
      <c r="Q256" s="37"/>
      <c r="R256" s="65"/>
      <c r="S256" s="65"/>
      <c r="T256" s="65"/>
      <c r="U256" s="65"/>
      <c r="V256" s="65"/>
      <c r="W256" s="65"/>
      <c r="X256" s="65"/>
      <c r="Y256" s="65"/>
      <c r="Z256" s="37"/>
      <c r="AA256" s="37"/>
      <c r="AB256" s="167"/>
    </row>
    <row r="257" spans="1:29" s="28" customFormat="1" x14ac:dyDescent="0.25">
      <c r="A257" s="35">
        <v>45892</v>
      </c>
      <c r="B257" s="36"/>
      <c r="C257" s="37"/>
      <c r="D257" s="37"/>
      <c r="E257" s="65"/>
      <c r="F257" s="65"/>
      <c r="G257" s="65"/>
      <c r="H257" s="65"/>
      <c r="I257" s="38"/>
      <c r="J257" s="37"/>
      <c r="K257" s="37"/>
      <c r="L257" s="37"/>
      <c r="M257" s="37"/>
      <c r="N257" s="37"/>
      <c r="O257" s="37"/>
      <c r="P257" s="37"/>
      <c r="Q257" s="37"/>
      <c r="R257" s="65"/>
      <c r="S257" s="65"/>
      <c r="T257" s="65"/>
      <c r="U257" s="65"/>
      <c r="V257" s="65"/>
      <c r="W257" s="65"/>
      <c r="X257" s="65"/>
      <c r="Y257" s="37"/>
      <c r="Z257" s="37"/>
      <c r="AA257" s="37"/>
      <c r="AB257" s="167"/>
    </row>
    <row r="258" spans="1:29" s="28" customFormat="1" x14ac:dyDescent="0.25">
      <c r="A258" s="35">
        <v>45893</v>
      </c>
      <c r="B258" s="36"/>
      <c r="C258" s="37"/>
      <c r="D258" s="37"/>
      <c r="E258" s="37"/>
      <c r="F258" s="37"/>
      <c r="G258" s="65"/>
      <c r="H258" s="65"/>
      <c r="I258" s="38"/>
      <c r="J258" s="65"/>
      <c r="K258" s="37"/>
      <c r="L258" s="228"/>
      <c r="M258" s="37"/>
      <c r="N258" s="37"/>
      <c r="O258" s="37"/>
      <c r="P258" s="37"/>
      <c r="Q258" s="37"/>
      <c r="R258" s="65"/>
      <c r="S258" s="65"/>
      <c r="T258" s="37"/>
      <c r="U258" s="37"/>
      <c r="V258" s="65"/>
      <c r="W258" s="65"/>
      <c r="X258" s="37"/>
      <c r="Y258" s="65"/>
      <c r="Z258" s="37"/>
      <c r="AA258" s="37"/>
      <c r="AB258" s="167"/>
    </row>
    <row r="259" spans="1:29" s="28" customFormat="1" x14ac:dyDescent="0.25">
      <c r="A259" s="35">
        <v>45893</v>
      </c>
      <c r="B259" s="36"/>
      <c r="C259" s="37"/>
      <c r="D259" s="37"/>
      <c r="E259" s="65"/>
      <c r="F259" s="65"/>
      <c r="G259" s="65"/>
      <c r="H259" s="65"/>
      <c r="I259" s="38"/>
      <c r="J259" s="65"/>
      <c r="K259" s="230"/>
      <c r="L259" s="229"/>
      <c r="M259" s="231"/>
      <c r="N259" s="37"/>
      <c r="O259" s="37"/>
      <c r="P259" s="37"/>
      <c r="Q259" s="37"/>
      <c r="R259" s="65"/>
      <c r="S259" s="65"/>
      <c r="T259" s="65"/>
      <c r="U259" s="65"/>
      <c r="V259" s="65"/>
      <c r="W259" s="65"/>
      <c r="X259" s="65"/>
      <c r="Y259" s="65"/>
      <c r="Z259" s="37"/>
      <c r="AA259" s="37"/>
      <c r="AB259" s="167"/>
    </row>
    <row r="260" spans="1:29" s="28" customFormat="1" x14ac:dyDescent="0.25">
      <c r="A260" s="35">
        <v>45894</v>
      </c>
      <c r="B260" s="36"/>
      <c r="C260" s="37"/>
      <c r="D260" s="37"/>
      <c r="E260" s="65"/>
      <c r="F260" s="65"/>
      <c r="G260" s="65"/>
      <c r="H260" s="65"/>
      <c r="I260" s="38"/>
      <c r="J260" s="65"/>
      <c r="K260" s="37"/>
      <c r="L260" s="37"/>
      <c r="M260" s="37"/>
      <c r="N260" s="37"/>
      <c r="O260" s="37"/>
      <c r="P260" s="37"/>
      <c r="Q260" s="37"/>
      <c r="R260" s="65"/>
      <c r="S260" s="65"/>
      <c r="T260" s="65"/>
      <c r="U260" s="65"/>
      <c r="V260" s="65"/>
      <c r="W260" s="65"/>
      <c r="X260" s="65"/>
      <c r="Y260" s="65"/>
      <c r="Z260" s="37"/>
      <c r="AA260" s="37"/>
      <c r="AB260" s="167"/>
    </row>
    <row r="261" spans="1:29" s="28" customFormat="1" x14ac:dyDescent="0.25">
      <c r="A261" s="35">
        <v>45895</v>
      </c>
      <c r="B261" s="36"/>
      <c r="C261" s="37"/>
      <c r="D261" s="37"/>
      <c r="E261" s="65"/>
      <c r="F261" s="65"/>
      <c r="G261" s="65"/>
      <c r="H261" s="65"/>
      <c r="I261" s="38"/>
      <c r="J261" s="37"/>
      <c r="K261" s="37"/>
      <c r="L261" s="37"/>
      <c r="M261" s="37"/>
      <c r="N261" s="37"/>
      <c r="O261" s="37"/>
      <c r="P261" s="37"/>
      <c r="Q261" s="37"/>
      <c r="R261" s="65"/>
      <c r="S261" s="65"/>
      <c r="T261" s="65"/>
      <c r="U261" s="65"/>
      <c r="V261" s="65"/>
      <c r="W261" s="65"/>
      <c r="X261" s="65"/>
      <c r="Y261" s="65"/>
      <c r="Z261" s="37"/>
      <c r="AA261" s="37"/>
      <c r="AB261" s="167"/>
    </row>
    <row r="262" spans="1:29" s="28" customFormat="1" x14ac:dyDescent="0.25">
      <c r="A262" s="35">
        <v>45896</v>
      </c>
      <c r="B262" s="36"/>
      <c r="C262" s="37"/>
      <c r="D262" s="37"/>
      <c r="E262" s="65"/>
      <c r="F262" s="65"/>
      <c r="G262" s="65"/>
      <c r="H262" s="65"/>
      <c r="I262" s="38"/>
      <c r="J262" s="37"/>
      <c r="K262" s="37"/>
      <c r="L262" s="37"/>
      <c r="M262" s="37"/>
      <c r="N262" s="37"/>
      <c r="O262" s="37"/>
      <c r="P262" s="37"/>
      <c r="Q262" s="37"/>
      <c r="R262" s="65"/>
      <c r="S262" s="65"/>
      <c r="T262" s="65"/>
      <c r="U262" s="65"/>
      <c r="V262" s="65"/>
      <c r="W262" s="65"/>
      <c r="X262" s="65"/>
      <c r="Y262" s="65"/>
      <c r="Z262" s="37"/>
      <c r="AA262" s="37"/>
      <c r="AB262" s="167"/>
    </row>
    <row r="263" spans="1:29" s="28" customFormat="1" x14ac:dyDescent="0.25">
      <c r="A263" s="35">
        <v>45897</v>
      </c>
      <c r="B263" s="36"/>
      <c r="C263" s="37"/>
      <c r="D263" s="37"/>
      <c r="E263" s="65"/>
      <c r="F263" s="65"/>
      <c r="G263" s="65"/>
      <c r="H263" s="37"/>
      <c r="I263" s="38"/>
      <c r="J263" s="37"/>
      <c r="K263" s="37"/>
      <c r="L263" s="37"/>
      <c r="M263" s="37"/>
      <c r="N263" s="65"/>
      <c r="O263" s="65"/>
      <c r="P263" s="37"/>
      <c r="Q263" s="37"/>
      <c r="R263" s="65"/>
      <c r="S263" s="65"/>
      <c r="T263" s="65"/>
      <c r="U263" s="65"/>
      <c r="V263" s="37"/>
      <c r="W263" s="37"/>
      <c r="X263" s="65"/>
      <c r="Y263" s="37"/>
      <c r="Z263" s="37"/>
      <c r="AA263" s="37"/>
      <c r="AB263" s="167"/>
    </row>
    <row r="264" spans="1:29" s="28" customFormat="1" x14ac:dyDescent="0.25">
      <c r="A264" s="35">
        <v>45897</v>
      </c>
      <c r="B264" s="36"/>
      <c r="C264" s="37"/>
      <c r="D264" s="37"/>
      <c r="E264" s="65"/>
      <c r="F264" s="65"/>
      <c r="G264" s="65"/>
      <c r="H264" s="65"/>
      <c r="I264" s="38"/>
      <c r="J264" s="65"/>
      <c r="K264" s="37"/>
      <c r="L264" s="37"/>
      <c r="M264" s="37"/>
      <c r="N264" s="65"/>
      <c r="O264" s="65"/>
      <c r="P264" s="37"/>
      <c r="Q264" s="37"/>
      <c r="R264" s="65"/>
      <c r="S264" s="65"/>
      <c r="T264" s="65"/>
      <c r="U264" s="65"/>
      <c r="V264" s="65"/>
      <c r="W264" s="65"/>
      <c r="X264" s="37"/>
      <c r="Y264" s="65"/>
      <c r="Z264" s="37"/>
      <c r="AA264" s="37"/>
      <c r="AB264" s="167"/>
    </row>
    <row r="265" spans="1:29" s="28" customFormat="1" x14ac:dyDescent="0.25">
      <c r="A265" s="35">
        <v>45898</v>
      </c>
      <c r="B265" s="36"/>
      <c r="C265" s="37"/>
      <c r="D265" s="37"/>
      <c r="E265" s="65"/>
      <c r="F265" s="65"/>
      <c r="G265" s="65"/>
      <c r="H265" s="65"/>
      <c r="I265" s="38"/>
      <c r="J265" s="37"/>
      <c r="K265" s="37"/>
      <c r="L265" s="37"/>
      <c r="M265" s="37"/>
      <c r="N265" s="37"/>
      <c r="O265" s="37"/>
      <c r="P265" s="37"/>
      <c r="Q265" s="37"/>
      <c r="R265" s="65"/>
      <c r="S265" s="65"/>
      <c r="T265" s="65"/>
      <c r="U265" s="65"/>
      <c r="V265" s="65"/>
      <c r="W265" s="65"/>
      <c r="X265" s="65"/>
      <c r="Y265" s="65"/>
      <c r="Z265" s="37"/>
      <c r="AA265" s="37"/>
      <c r="AB265" s="167"/>
    </row>
    <row r="266" spans="1:29" s="28" customFormat="1" x14ac:dyDescent="0.25">
      <c r="A266" s="35">
        <v>45899</v>
      </c>
      <c r="B266" s="36"/>
      <c r="C266" s="37"/>
      <c r="D266" s="37"/>
      <c r="E266" s="65"/>
      <c r="F266" s="65"/>
      <c r="G266" s="65"/>
      <c r="H266" s="65"/>
      <c r="I266" s="38"/>
      <c r="J266" s="37"/>
      <c r="K266" s="37"/>
      <c r="L266" s="37"/>
      <c r="M266" s="37"/>
      <c r="N266" s="65"/>
      <c r="O266" s="65"/>
      <c r="P266" s="37"/>
      <c r="Q266" s="37"/>
      <c r="R266" s="65"/>
      <c r="S266" s="65"/>
      <c r="T266" s="65"/>
      <c r="U266" s="65"/>
      <c r="V266" s="65"/>
      <c r="W266" s="65"/>
      <c r="X266" s="65"/>
      <c r="Y266" s="65"/>
      <c r="Z266" s="37"/>
      <c r="AA266" s="37"/>
      <c r="AB266" s="167"/>
    </row>
    <row r="267" spans="1:29" s="28" customFormat="1" x14ac:dyDescent="0.25">
      <c r="A267" s="35">
        <v>45900</v>
      </c>
      <c r="B267" s="36"/>
      <c r="C267" s="37"/>
      <c r="D267" s="37"/>
      <c r="E267" s="65"/>
      <c r="F267" s="65"/>
      <c r="G267" s="65"/>
      <c r="H267" s="65"/>
      <c r="I267" s="38"/>
      <c r="J267" s="65"/>
      <c r="K267" s="37"/>
      <c r="L267" s="37"/>
      <c r="M267" s="37"/>
      <c r="N267" s="37"/>
      <c r="O267" s="37"/>
      <c r="P267" s="37"/>
      <c r="Q267" s="37"/>
      <c r="R267" s="65"/>
      <c r="S267" s="65"/>
      <c r="T267" s="65"/>
      <c r="U267" s="65"/>
      <c r="V267" s="65"/>
      <c r="W267" s="65"/>
      <c r="X267" s="65"/>
      <c r="Y267" s="65"/>
      <c r="Z267" s="37"/>
      <c r="AA267" s="37"/>
      <c r="AB267" s="167"/>
    </row>
    <row r="268" spans="1:29" s="28" customFormat="1" x14ac:dyDescent="0.25">
      <c r="A268" s="35">
        <v>45901</v>
      </c>
      <c r="B268" s="36"/>
      <c r="C268" s="37"/>
      <c r="D268" s="37"/>
      <c r="E268" s="65"/>
      <c r="F268" s="65"/>
      <c r="G268" s="65"/>
      <c r="H268" s="65"/>
      <c r="I268" s="38"/>
      <c r="J268" s="37"/>
      <c r="K268" s="37"/>
      <c r="L268" s="37"/>
      <c r="M268" s="37"/>
      <c r="N268" s="37"/>
      <c r="O268" s="37"/>
      <c r="P268" s="37"/>
      <c r="Q268" s="37"/>
      <c r="R268" s="65"/>
      <c r="S268" s="65"/>
      <c r="T268" s="65"/>
      <c r="U268" s="65"/>
      <c r="V268" s="65"/>
      <c r="W268" s="65"/>
      <c r="X268" s="37"/>
      <c r="Y268" s="65"/>
      <c r="Z268" s="37"/>
      <c r="AA268" s="37"/>
      <c r="AB268" s="167"/>
    </row>
    <row r="269" spans="1:29" s="28" customFormat="1" x14ac:dyDescent="0.25">
      <c r="A269" s="35">
        <v>45902</v>
      </c>
      <c r="B269" s="36"/>
      <c r="C269" s="37"/>
      <c r="D269" s="37"/>
      <c r="E269" s="65"/>
      <c r="F269" s="65"/>
      <c r="G269" s="65"/>
      <c r="H269" s="65"/>
      <c r="I269" s="38"/>
      <c r="J269" s="37"/>
      <c r="K269" s="37"/>
      <c r="L269" s="37"/>
      <c r="M269" s="37"/>
      <c r="N269" s="37"/>
      <c r="O269" s="37"/>
      <c r="P269" s="37"/>
      <c r="Q269" s="37"/>
      <c r="R269" s="65"/>
      <c r="S269" s="65"/>
      <c r="T269" s="65"/>
      <c r="U269" s="65"/>
      <c r="V269" s="65"/>
      <c r="W269" s="65"/>
      <c r="X269" s="65"/>
      <c r="Y269" s="65"/>
      <c r="Z269" s="37"/>
      <c r="AA269" s="37"/>
      <c r="AB269" s="167"/>
      <c r="AC269" s="167"/>
    </row>
    <row r="270" spans="1:29" s="28" customFormat="1" x14ac:dyDescent="0.25">
      <c r="A270" s="35">
        <v>45903</v>
      </c>
      <c r="B270" s="36"/>
      <c r="C270" s="37"/>
      <c r="D270" s="37"/>
      <c r="E270" s="65"/>
      <c r="F270" s="65"/>
      <c r="G270" s="65"/>
      <c r="H270" s="65"/>
      <c r="I270" s="38"/>
      <c r="J270" s="65"/>
      <c r="K270" s="37"/>
      <c r="L270" s="37"/>
      <c r="M270" s="37"/>
      <c r="N270" s="37"/>
      <c r="O270" s="37"/>
      <c r="P270" s="37"/>
      <c r="Q270" s="37"/>
      <c r="R270" s="65"/>
      <c r="S270" s="65"/>
      <c r="T270" s="65"/>
      <c r="U270" s="65"/>
      <c r="V270" s="65"/>
      <c r="W270" s="65"/>
      <c r="X270" s="65"/>
      <c r="Y270" s="65"/>
      <c r="Z270" s="37"/>
      <c r="AA270" s="37"/>
      <c r="AB270" s="167"/>
    </row>
    <row r="271" spans="1:29" s="28" customFormat="1" x14ac:dyDescent="0.25">
      <c r="A271" s="35">
        <v>45904</v>
      </c>
      <c r="B271" s="36"/>
      <c r="C271" s="37"/>
      <c r="D271" s="37"/>
      <c r="E271" s="65"/>
      <c r="F271" s="65"/>
      <c r="G271" s="65"/>
      <c r="H271" s="65"/>
      <c r="I271" s="38"/>
      <c r="J271" s="65"/>
      <c r="K271" s="37"/>
      <c r="L271" s="37"/>
      <c r="M271" s="37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37"/>
      <c r="AA271" s="37"/>
      <c r="AB271" s="167"/>
    </row>
    <row r="272" spans="1:29" s="28" customFormat="1" x14ac:dyDescent="0.25">
      <c r="A272" s="35">
        <v>45905</v>
      </c>
      <c r="B272" s="36"/>
      <c r="C272" s="37"/>
      <c r="D272" s="37"/>
      <c r="E272" s="65"/>
      <c r="F272" s="65"/>
      <c r="G272" s="65"/>
      <c r="H272" s="65"/>
      <c r="I272" s="38"/>
      <c r="J272" s="39"/>
      <c r="K272" s="36"/>
      <c r="L272" s="37"/>
      <c r="M272" s="37"/>
      <c r="N272" s="37"/>
      <c r="O272" s="37"/>
      <c r="P272" s="37"/>
      <c r="Q272" s="37"/>
      <c r="R272" s="65"/>
      <c r="S272" s="65"/>
      <c r="T272" s="65"/>
      <c r="U272" s="65"/>
      <c r="V272" s="65"/>
      <c r="W272" s="65"/>
      <c r="X272" s="65"/>
      <c r="Y272" s="65"/>
      <c r="Z272" s="37"/>
      <c r="AA272" s="37"/>
      <c r="AB272" s="167"/>
    </row>
    <row r="273" spans="1:28" s="28" customFormat="1" x14ac:dyDescent="0.25">
      <c r="A273" s="35">
        <v>45906</v>
      </c>
      <c r="B273" s="36"/>
      <c r="C273" s="37"/>
      <c r="D273" s="37"/>
      <c r="E273" s="65"/>
      <c r="F273" s="65"/>
      <c r="G273" s="65"/>
      <c r="H273" s="65"/>
      <c r="I273" s="38"/>
      <c r="J273" s="36"/>
      <c r="K273" s="36"/>
      <c r="L273" s="37"/>
      <c r="M273" s="37"/>
      <c r="N273" s="37"/>
      <c r="O273" s="37"/>
      <c r="P273" s="37"/>
      <c r="Q273" s="37"/>
      <c r="R273" s="65"/>
      <c r="S273" s="65"/>
      <c r="T273" s="65"/>
      <c r="U273" s="65"/>
      <c r="V273" s="65"/>
      <c r="W273" s="65"/>
      <c r="X273" s="65"/>
      <c r="Y273" s="65"/>
      <c r="Z273" s="37"/>
      <c r="AA273" s="37"/>
      <c r="AB273" s="167"/>
    </row>
    <row r="274" spans="1:28" s="28" customFormat="1" x14ac:dyDescent="0.25">
      <c r="A274" s="35">
        <v>45907</v>
      </c>
      <c r="B274" s="36"/>
      <c r="C274" s="37"/>
      <c r="D274" s="37"/>
      <c r="E274" s="65"/>
      <c r="F274" s="65"/>
      <c r="G274" s="65"/>
      <c r="H274" s="65"/>
      <c r="I274" s="38"/>
      <c r="J274" s="36"/>
      <c r="K274" s="36"/>
      <c r="L274" s="37"/>
      <c r="M274" s="37"/>
      <c r="N274" s="37"/>
      <c r="O274" s="37"/>
      <c r="P274" s="37"/>
      <c r="Q274" s="37"/>
      <c r="R274" s="65"/>
      <c r="S274" s="65"/>
      <c r="T274" s="65"/>
      <c r="U274" s="65"/>
      <c r="V274" s="65"/>
      <c r="W274" s="65"/>
      <c r="X274" s="65"/>
      <c r="Y274" s="65"/>
      <c r="Z274" s="37"/>
      <c r="AA274" s="37"/>
      <c r="AB274" s="167"/>
    </row>
    <row r="275" spans="1:28" s="28" customFormat="1" x14ac:dyDescent="0.25">
      <c r="A275" s="35">
        <v>45908</v>
      </c>
      <c r="B275" s="36"/>
      <c r="C275" s="37"/>
      <c r="D275" s="37"/>
      <c r="E275" s="65"/>
      <c r="F275" s="65"/>
      <c r="G275" s="65"/>
      <c r="H275" s="65"/>
      <c r="I275" s="38"/>
      <c r="J275" s="39"/>
      <c r="K275" s="36"/>
      <c r="L275" s="37"/>
      <c r="M275" s="37"/>
      <c r="N275" s="37"/>
      <c r="O275" s="37"/>
      <c r="P275" s="37"/>
      <c r="Q275" s="37"/>
      <c r="R275" s="65"/>
      <c r="S275" s="65"/>
      <c r="T275" s="65"/>
      <c r="U275" s="65"/>
      <c r="V275" s="65"/>
      <c r="W275" s="65"/>
      <c r="X275" s="65"/>
      <c r="Y275" s="65"/>
      <c r="Z275" s="37"/>
      <c r="AA275" s="37"/>
      <c r="AB275" s="232"/>
    </row>
    <row r="276" spans="1:28" s="28" customFormat="1" x14ac:dyDescent="0.25">
      <c r="A276" s="35">
        <v>45909</v>
      </c>
      <c r="B276" s="36"/>
      <c r="C276" s="37"/>
      <c r="D276" s="37"/>
      <c r="E276" s="65"/>
      <c r="F276" s="65"/>
      <c r="G276" s="65"/>
      <c r="H276" s="65"/>
      <c r="I276" s="38"/>
      <c r="J276" s="39"/>
      <c r="K276" s="36"/>
      <c r="L276" s="37"/>
      <c r="M276" s="37"/>
      <c r="N276" s="37"/>
      <c r="O276" s="37"/>
      <c r="P276" s="37"/>
      <c r="Q276" s="37"/>
      <c r="R276" s="65"/>
      <c r="S276" s="65"/>
      <c r="T276" s="65"/>
      <c r="U276" s="65"/>
      <c r="V276" s="65"/>
      <c r="W276" s="65"/>
      <c r="X276" s="65"/>
      <c r="Y276" s="65"/>
      <c r="Z276" s="37"/>
      <c r="AA276" s="37"/>
      <c r="AB276" s="167"/>
    </row>
    <row r="277" spans="1:28" s="28" customFormat="1" x14ac:dyDescent="0.25">
      <c r="A277" s="35">
        <v>45910</v>
      </c>
      <c r="B277" s="36"/>
      <c r="C277" s="37"/>
      <c r="D277" s="37"/>
      <c r="E277" s="65"/>
      <c r="F277" s="65"/>
      <c r="G277" s="65"/>
      <c r="H277" s="65"/>
      <c r="I277" s="38"/>
      <c r="J277" s="39"/>
      <c r="K277" s="36"/>
      <c r="L277" s="37"/>
      <c r="M277" s="37"/>
      <c r="N277" s="37"/>
      <c r="O277" s="37"/>
      <c r="P277" s="37"/>
      <c r="Q277" s="37"/>
      <c r="R277" s="65"/>
      <c r="S277" s="65"/>
      <c r="T277" s="65"/>
      <c r="U277" s="65"/>
      <c r="V277" s="65"/>
      <c r="W277" s="65"/>
      <c r="X277" s="65"/>
      <c r="Y277" s="65"/>
      <c r="Z277" s="37"/>
      <c r="AA277" s="37"/>
      <c r="AB277" s="167"/>
    </row>
    <row r="278" spans="1:28" s="28" customFormat="1" x14ac:dyDescent="0.25">
      <c r="A278" s="35">
        <v>45911</v>
      </c>
      <c r="B278" s="36"/>
      <c r="C278" s="37"/>
      <c r="D278" s="37"/>
      <c r="E278" s="65"/>
      <c r="F278" s="65"/>
      <c r="G278" s="65"/>
      <c r="H278" s="65"/>
      <c r="I278" s="38"/>
      <c r="J278" s="39"/>
      <c r="K278" s="36"/>
      <c r="L278" s="37"/>
      <c r="M278" s="37"/>
      <c r="N278" s="37"/>
      <c r="O278" s="37"/>
      <c r="P278" s="37"/>
      <c r="Q278" s="37"/>
      <c r="R278" s="65"/>
      <c r="S278" s="65"/>
      <c r="T278" s="65"/>
      <c r="U278" s="65"/>
      <c r="V278" s="65"/>
      <c r="W278" s="65"/>
      <c r="X278" s="65"/>
      <c r="Y278" s="65"/>
      <c r="Z278" s="37"/>
      <c r="AA278" s="37"/>
      <c r="AB278" s="167"/>
    </row>
    <row r="279" spans="1:28" s="28" customFormat="1" x14ac:dyDescent="0.25">
      <c r="A279" s="35">
        <v>45912</v>
      </c>
      <c r="B279" s="36"/>
      <c r="C279" s="37"/>
      <c r="D279" s="37"/>
      <c r="E279" s="65"/>
      <c r="F279" s="65"/>
      <c r="G279" s="65"/>
      <c r="H279" s="65"/>
      <c r="I279" s="38"/>
      <c r="J279" s="36"/>
      <c r="K279" s="36"/>
      <c r="L279" s="37"/>
      <c r="M279" s="37"/>
      <c r="N279" s="37"/>
      <c r="O279" s="37"/>
      <c r="P279" s="37"/>
      <c r="Q279" s="37"/>
      <c r="R279" s="65"/>
      <c r="S279" s="65"/>
      <c r="T279" s="65"/>
      <c r="U279" s="65"/>
      <c r="V279" s="65"/>
      <c r="W279" s="65"/>
      <c r="X279" s="65"/>
      <c r="Y279" s="65"/>
      <c r="Z279" s="37"/>
      <c r="AA279" s="37"/>
      <c r="AB279" s="167"/>
    </row>
    <row r="280" spans="1:28" s="28" customFormat="1" x14ac:dyDescent="0.25">
      <c r="A280" s="35">
        <v>45913</v>
      </c>
      <c r="B280" s="36"/>
      <c r="C280" s="37"/>
      <c r="D280" s="37"/>
      <c r="E280" s="65"/>
      <c r="F280" s="65"/>
      <c r="G280" s="65"/>
      <c r="H280" s="65"/>
      <c r="I280" s="38"/>
      <c r="J280" s="36"/>
      <c r="K280" s="36"/>
      <c r="L280" s="37"/>
      <c r="M280" s="37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37"/>
      <c r="AA280" s="37"/>
      <c r="AB280" s="167"/>
    </row>
    <row r="281" spans="1:28" s="28" customFormat="1" x14ac:dyDescent="0.25">
      <c r="A281" s="35">
        <v>45914</v>
      </c>
      <c r="B281" s="36"/>
      <c r="C281" s="37"/>
      <c r="D281" s="37"/>
      <c r="E281" s="65"/>
      <c r="F281" s="65"/>
      <c r="G281" s="65"/>
      <c r="H281" s="65"/>
      <c r="I281" s="38"/>
      <c r="J281" s="36"/>
      <c r="K281" s="36"/>
      <c r="L281" s="37"/>
      <c r="M281" s="37"/>
      <c r="N281" s="37"/>
      <c r="O281" s="37"/>
      <c r="P281" s="37"/>
      <c r="Q281" s="37"/>
      <c r="R281" s="65"/>
      <c r="S281" s="65"/>
      <c r="T281" s="65"/>
      <c r="U281" s="65"/>
      <c r="V281" s="65"/>
      <c r="W281" s="65"/>
      <c r="X281" s="65"/>
      <c r="Y281" s="65"/>
      <c r="Z281" s="37"/>
      <c r="AA281" s="37"/>
      <c r="AB281" s="167"/>
    </row>
    <row r="282" spans="1:28" s="28" customFormat="1" x14ac:dyDescent="0.25">
      <c r="A282" s="35">
        <v>45915</v>
      </c>
      <c r="B282" s="36"/>
      <c r="C282" s="37"/>
      <c r="D282" s="37"/>
      <c r="E282" s="65"/>
      <c r="F282" s="65"/>
      <c r="G282" s="65"/>
      <c r="H282" s="65"/>
      <c r="I282" s="38"/>
      <c r="J282" s="36"/>
      <c r="K282" s="39"/>
      <c r="L282" s="37"/>
      <c r="M282" s="37"/>
      <c r="N282" s="37"/>
      <c r="O282" s="37"/>
      <c r="P282" s="37"/>
      <c r="Q282" s="37"/>
      <c r="R282" s="65"/>
      <c r="S282" s="65"/>
      <c r="T282" s="65"/>
      <c r="U282" s="65"/>
      <c r="V282" s="65"/>
      <c r="W282" s="65"/>
      <c r="X282" s="37"/>
      <c r="Y282" s="65"/>
      <c r="Z282" s="37"/>
      <c r="AA282" s="37"/>
      <c r="AB282" s="167"/>
    </row>
    <row r="283" spans="1:28" s="28" customFormat="1" x14ac:dyDescent="0.25">
      <c r="A283" s="35">
        <v>45916</v>
      </c>
      <c r="B283" s="36"/>
      <c r="C283" s="37"/>
      <c r="D283" s="37"/>
      <c r="E283" s="65"/>
      <c r="F283" s="65"/>
      <c r="G283" s="65"/>
      <c r="H283" s="65"/>
      <c r="I283" s="38"/>
      <c r="J283" s="36"/>
      <c r="K283" s="36"/>
      <c r="L283" s="37"/>
      <c r="M283" s="37"/>
      <c r="N283" s="37"/>
      <c r="O283" s="37"/>
      <c r="P283" s="37"/>
      <c r="Q283" s="37"/>
      <c r="R283" s="65"/>
      <c r="S283" s="65"/>
      <c r="T283" s="65"/>
      <c r="U283" s="65"/>
      <c r="V283" s="65"/>
      <c r="W283" s="65"/>
      <c r="X283" s="65"/>
      <c r="Y283" s="65"/>
      <c r="Z283" s="37"/>
      <c r="AA283" s="37"/>
      <c r="AB283" s="167"/>
    </row>
    <row r="284" spans="1:28" s="28" customFormat="1" x14ac:dyDescent="0.25">
      <c r="A284" s="35">
        <v>45917</v>
      </c>
      <c r="B284" s="36"/>
      <c r="C284" s="37"/>
      <c r="D284" s="37"/>
      <c r="E284" s="65"/>
      <c r="F284" s="65"/>
      <c r="G284" s="65"/>
      <c r="H284" s="65"/>
      <c r="I284" s="38"/>
      <c r="J284" s="36"/>
      <c r="K284" s="39"/>
      <c r="L284" s="37"/>
      <c r="M284" s="37"/>
      <c r="N284" s="37"/>
      <c r="O284" s="37"/>
      <c r="P284" s="37"/>
      <c r="Q284" s="37"/>
      <c r="R284" s="65"/>
      <c r="S284" s="65"/>
      <c r="T284" s="65"/>
      <c r="U284" s="65"/>
      <c r="V284" s="65"/>
      <c r="W284" s="65"/>
      <c r="X284" s="65"/>
      <c r="Y284" s="65"/>
      <c r="Z284" s="37"/>
      <c r="AA284" s="37"/>
      <c r="AB284" s="167"/>
    </row>
    <row r="285" spans="1:28" s="28" customFormat="1" x14ac:dyDescent="0.25">
      <c r="A285" s="35">
        <v>45918</v>
      </c>
      <c r="B285" s="36"/>
      <c r="C285" s="37"/>
      <c r="D285" s="37"/>
      <c r="E285" s="65"/>
      <c r="F285" s="65"/>
      <c r="G285" s="65"/>
      <c r="H285" s="65"/>
      <c r="I285" s="38"/>
      <c r="J285" s="36"/>
      <c r="K285" s="39"/>
      <c r="L285" s="37"/>
      <c r="M285" s="37"/>
      <c r="N285" s="37"/>
      <c r="O285" s="37"/>
      <c r="P285" s="37"/>
      <c r="Q285" s="37"/>
      <c r="R285" s="65"/>
      <c r="S285" s="65"/>
      <c r="T285" s="65"/>
      <c r="U285" s="65"/>
      <c r="V285" s="65"/>
      <c r="W285" s="65"/>
      <c r="X285" s="65"/>
      <c r="Y285" s="65"/>
      <c r="Z285" s="37"/>
      <c r="AA285" s="37"/>
      <c r="AB285" s="167"/>
    </row>
    <row r="286" spans="1:28" s="28" customFormat="1" x14ac:dyDescent="0.25">
      <c r="A286" s="35">
        <v>45919</v>
      </c>
      <c r="B286" s="36"/>
      <c r="C286" s="37"/>
      <c r="D286" s="37"/>
      <c r="E286" s="65"/>
      <c r="F286" s="65"/>
      <c r="G286" s="65"/>
      <c r="H286" s="65"/>
      <c r="I286" s="38"/>
      <c r="J286" s="36"/>
      <c r="K286" s="36"/>
      <c r="L286" s="37"/>
      <c r="M286" s="37"/>
      <c r="N286" s="37"/>
      <c r="O286" s="37"/>
      <c r="P286" s="37"/>
      <c r="Q286" s="37"/>
      <c r="R286" s="65"/>
      <c r="S286" s="65"/>
      <c r="T286" s="65"/>
      <c r="U286" s="65"/>
      <c r="V286" s="65"/>
      <c r="W286" s="65"/>
      <c r="X286" s="65"/>
      <c r="Y286" s="65"/>
      <c r="Z286" s="37"/>
      <c r="AA286" s="37"/>
      <c r="AB286" s="167"/>
    </row>
    <row r="287" spans="1:28" s="28" customFormat="1" x14ac:dyDescent="0.25">
      <c r="A287" s="35">
        <v>45920</v>
      </c>
      <c r="B287" s="36"/>
      <c r="C287" s="37"/>
      <c r="D287" s="37"/>
      <c r="E287" s="65"/>
      <c r="F287" s="65"/>
      <c r="G287" s="65"/>
      <c r="H287" s="65"/>
      <c r="I287" s="38"/>
      <c r="J287" s="36"/>
      <c r="K287" s="36"/>
      <c r="L287" s="37"/>
      <c r="M287" s="37"/>
      <c r="N287" s="37"/>
      <c r="O287" s="37"/>
      <c r="P287" s="37"/>
      <c r="Q287" s="37"/>
      <c r="R287" s="65"/>
      <c r="S287" s="65"/>
      <c r="T287" s="65"/>
      <c r="U287" s="65"/>
      <c r="V287" s="65"/>
      <c r="W287" s="65"/>
      <c r="X287" s="65"/>
      <c r="Y287" s="65"/>
      <c r="Z287" s="37"/>
      <c r="AA287" s="37"/>
      <c r="AB287" s="167"/>
    </row>
    <row r="288" spans="1:28" s="28" customFormat="1" x14ac:dyDescent="0.25">
      <c r="A288" s="35">
        <v>45921</v>
      </c>
      <c r="B288" s="36"/>
      <c r="C288" s="37"/>
      <c r="D288" s="37"/>
      <c r="E288" s="65"/>
      <c r="F288" s="65"/>
      <c r="G288" s="65"/>
      <c r="H288" s="65"/>
      <c r="I288" s="38"/>
      <c r="J288" s="39"/>
      <c r="K288" s="36"/>
      <c r="L288" s="37"/>
      <c r="M288" s="37"/>
      <c r="N288" s="37"/>
      <c r="O288" s="37"/>
      <c r="P288" s="37"/>
      <c r="Q288" s="37"/>
      <c r="R288" s="65"/>
      <c r="S288" s="65"/>
      <c r="T288" s="65"/>
      <c r="U288" s="65"/>
      <c r="V288" s="65"/>
      <c r="W288" s="65"/>
      <c r="X288" s="37"/>
      <c r="Y288" s="65"/>
      <c r="Z288" s="37"/>
      <c r="AA288" s="37"/>
      <c r="AB288" s="167"/>
    </row>
    <row r="289" spans="1:28" s="28" customFormat="1" x14ac:dyDescent="0.25">
      <c r="A289" s="35">
        <v>45922</v>
      </c>
      <c r="B289" s="36"/>
      <c r="C289" s="37"/>
      <c r="D289" s="37"/>
      <c r="E289" s="65"/>
      <c r="F289" s="65"/>
      <c r="G289" s="65"/>
      <c r="H289" s="65"/>
      <c r="I289" s="38"/>
      <c r="J289" s="36"/>
      <c r="K289" s="36"/>
      <c r="L289" s="37"/>
      <c r="M289" s="37"/>
      <c r="N289" s="37"/>
      <c r="O289" s="37"/>
      <c r="P289" s="37"/>
      <c r="Q289" s="37"/>
      <c r="R289" s="65"/>
      <c r="S289" s="65"/>
      <c r="T289" s="65"/>
      <c r="U289" s="65"/>
      <c r="V289" s="65"/>
      <c r="W289" s="65"/>
      <c r="X289" s="65"/>
      <c r="Y289" s="65"/>
      <c r="Z289" s="37"/>
      <c r="AA289" s="37"/>
      <c r="AB289" s="167"/>
    </row>
    <row r="290" spans="1:28" s="28" customFormat="1" x14ac:dyDescent="0.25">
      <c r="A290" s="35">
        <v>45923</v>
      </c>
      <c r="B290" s="36"/>
      <c r="C290" s="37"/>
      <c r="D290" s="37"/>
      <c r="E290" s="65"/>
      <c r="F290" s="65"/>
      <c r="G290" s="65"/>
      <c r="H290" s="65"/>
      <c r="I290" s="38"/>
      <c r="J290" s="36"/>
      <c r="K290" s="39"/>
      <c r="L290" s="37"/>
      <c r="M290" s="37"/>
      <c r="N290" s="37"/>
      <c r="O290" s="37"/>
      <c r="P290" s="37"/>
      <c r="Q290" s="37"/>
      <c r="R290" s="65"/>
      <c r="S290" s="65"/>
      <c r="T290" s="65"/>
      <c r="U290" s="65"/>
      <c r="V290" s="65"/>
      <c r="W290" s="65"/>
      <c r="X290" s="65"/>
      <c r="Y290" s="65"/>
      <c r="Z290" s="37"/>
      <c r="AA290" s="37"/>
      <c r="AB290" s="167"/>
    </row>
    <row r="291" spans="1:28" s="28" customFormat="1" x14ac:dyDescent="0.25">
      <c r="A291" s="35">
        <v>45924</v>
      </c>
      <c r="B291" s="36"/>
      <c r="C291" s="37"/>
      <c r="D291" s="37"/>
      <c r="E291" s="65"/>
      <c r="F291" s="65"/>
      <c r="G291" s="65"/>
      <c r="H291" s="65"/>
      <c r="I291" s="38"/>
      <c r="J291" s="36"/>
      <c r="K291" s="39"/>
      <c r="L291" s="37"/>
      <c r="M291" s="37"/>
      <c r="N291" s="37"/>
      <c r="O291" s="37"/>
      <c r="P291" s="37"/>
      <c r="Q291" s="37"/>
      <c r="R291" s="65"/>
      <c r="S291" s="65"/>
      <c r="T291" s="65"/>
      <c r="U291" s="65"/>
      <c r="V291" s="65"/>
      <c r="W291" s="65"/>
      <c r="X291" s="65"/>
      <c r="Y291" s="65"/>
      <c r="Z291" s="37"/>
      <c r="AA291" s="37"/>
      <c r="AB291" s="167"/>
    </row>
    <row r="292" spans="1:28" s="28" customFormat="1" x14ac:dyDescent="0.25">
      <c r="A292" s="35">
        <v>45925</v>
      </c>
      <c r="B292" s="36"/>
      <c r="C292" s="37"/>
      <c r="D292" s="37"/>
      <c r="E292" s="65"/>
      <c r="F292" s="65"/>
      <c r="G292" s="65"/>
      <c r="H292" s="65"/>
      <c r="I292" s="38"/>
      <c r="J292" s="36"/>
      <c r="K292" s="36"/>
      <c r="L292" s="37"/>
      <c r="M292" s="37"/>
      <c r="N292" s="37"/>
      <c r="O292" s="37"/>
      <c r="P292" s="37"/>
      <c r="Q292" s="37"/>
      <c r="R292" s="65"/>
      <c r="S292" s="65"/>
      <c r="T292" s="65"/>
      <c r="U292" s="65"/>
      <c r="V292" s="65"/>
      <c r="W292" s="65"/>
      <c r="X292" s="65"/>
      <c r="Y292" s="65"/>
      <c r="Z292" s="37"/>
      <c r="AA292" s="37"/>
      <c r="AB292" s="167"/>
    </row>
    <row r="293" spans="1:28" s="28" customFormat="1" x14ac:dyDescent="0.25">
      <c r="A293" s="35">
        <v>45926</v>
      </c>
      <c r="B293" s="36"/>
      <c r="C293" s="37"/>
      <c r="D293" s="37"/>
      <c r="E293" s="65"/>
      <c r="F293" s="65"/>
      <c r="G293" s="65"/>
      <c r="H293" s="65"/>
      <c r="I293" s="38"/>
      <c r="J293" s="39"/>
      <c r="K293" s="36"/>
      <c r="L293" s="37"/>
      <c r="M293" s="37"/>
      <c r="N293" s="37"/>
      <c r="O293" s="37"/>
      <c r="P293" s="37"/>
      <c r="Q293" s="37"/>
      <c r="R293" s="65"/>
      <c r="S293" s="65"/>
      <c r="T293" s="65"/>
      <c r="U293" s="65"/>
      <c r="V293" s="65"/>
      <c r="W293" s="65"/>
      <c r="X293" s="65"/>
      <c r="Y293" s="65"/>
      <c r="Z293" s="37"/>
      <c r="AA293" s="37"/>
      <c r="AB293" s="167"/>
    </row>
    <row r="294" spans="1:28" s="28" customFormat="1" x14ac:dyDescent="0.25">
      <c r="A294" s="35">
        <v>45927</v>
      </c>
      <c r="B294" s="36"/>
      <c r="C294" s="37"/>
      <c r="D294" s="37"/>
      <c r="E294" s="65"/>
      <c r="F294" s="65"/>
      <c r="G294" s="65"/>
      <c r="H294" s="65"/>
      <c r="I294" s="38"/>
      <c r="J294" s="39"/>
      <c r="K294" s="36"/>
      <c r="L294" s="37"/>
      <c r="M294" s="37"/>
      <c r="N294" s="37"/>
      <c r="O294" s="37"/>
      <c r="P294" s="37"/>
      <c r="Q294" s="37"/>
      <c r="R294" s="65"/>
      <c r="S294" s="65"/>
      <c r="T294" s="65"/>
      <c r="U294" s="65"/>
      <c r="V294" s="65"/>
      <c r="W294" s="65"/>
      <c r="X294" s="65"/>
      <c r="Y294" s="65"/>
      <c r="Z294" s="37"/>
      <c r="AA294" s="37"/>
      <c r="AB294" s="167"/>
    </row>
    <row r="295" spans="1:28" s="28" customFormat="1" x14ac:dyDescent="0.25">
      <c r="A295" s="35">
        <v>45928</v>
      </c>
      <c r="B295" s="36"/>
      <c r="C295" s="37"/>
      <c r="D295" s="37"/>
      <c r="E295" s="65"/>
      <c r="F295" s="65"/>
      <c r="G295" s="65"/>
      <c r="H295" s="65"/>
      <c r="I295" s="38"/>
      <c r="J295" s="249"/>
      <c r="K295" s="37"/>
      <c r="L295" s="37"/>
      <c r="M295" s="37"/>
      <c r="N295" s="37"/>
      <c r="O295" s="37"/>
      <c r="P295" s="37"/>
      <c r="Q295" s="37"/>
      <c r="R295" s="65"/>
      <c r="S295" s="65"/>
      <c r="T295" s="65"/>
      <c r="U295" s="65"/>
      <c r="V295" s="65"/>
      <c r="W295" s="65"/>
      <c r="X295" s="65"/>
      <c r="Y295" s="65"/>
      <c r="Z295" s="37"/>
      <c r="AA295" s="37"/>
      <c r="AB295" s="167"/>
    </row>
    <row r="296" spans="1:28" s="28" customFormat="1" x14ac:dyDescent="0.25">
      <c r="A296" s="35">
        <v>45929</v>
      </c>
      <c r="B296" s="36"/>
      <c r="C296" s="37"/>
      <c r="D296" s="37"/>
      <c r="E296" s="65"/>
      <c r="F296" s="65"/>
      <c r="G296" s="65"/>
      <c r="H296" s="65"/>
      <c r="I296" s="38"/>
      <c r="J296" s="65"/>
      <c r="K296" s="37"/>
      <c r="L296" s="37"/>
      <c r="M296" s="37"/>
      <c r="N296" s="37"/>
      <c r="O296" s="37"/>
      <c r="P296" s="37"/>
      <c r="Q296" s="37"/>
      <c r="R296" s="65"/>
      <c r="S296" s="65"/>
      <c r="T296" s="65"/>
      <c r="U296" s="65"/>
      <c r="V296" s="65"/>
      <c r="W296" s="65"/>
      <c r="X296" s="130"/>
      <c r="Y296" s="65"/>
      <c r="Z296" s="37"/>
      <c r="AA296" s="37"/>
      <c r="AB296" s="167"/>
    </row>
    <row r="297" spans="1:28" s="28" customFormat="1" x14ac:dyDescent="0.25">
      <c r="A297" s="35">
        <v>45930</v>
      </c>
      <c r="B297" s="36"/>
      <c r="C297" s="37"/>
      <c r="D297" s="37"/>
      <c r="E297" s="65"/>
      <c r="F297" s="65"/>
      <c r="G297" s="65"/>
      <c r="H297" s="65"/>
      <c r="I297" s="38"/>
      <c r="J297" s="65"/>
      <c r="K297" s="37"/>
      <c r="L297" s="37"/>
      <c r="M297" s="37"/>
      <c r="N297" s="37"/>
      <c r="O297" s="37"/>
      <c r="P297" s="37"/>
      <c r="Q297" s="37"/>
      <c r="R297" s="65"/>
      <c r="S297" s="65"/>
      <c r="T297" s="65"/>
      <c r="U297" s="65"/>
      <c r="V297" s="65"/>
      <c r="W297" s="65"/>
      <c r="X297" s="65"/>
      <c r="Y297" s="65"/>
      <c r="Z297" s="37"/>
      <c r="AA297" s="37"/>
      <c r="AB297" s="167"/>
    </row>
    <row r="298" spans="1:28" s="28" customFormat="1" x14ac:dyDescent="0.25">
      <c r="A298" s="35">
        <v>45931</v>
      </c>
      <c r="B298" s="36"/>
      <c r="C298" s="37"/>
      <c r="D298" s="37"/>
      <c r="E298" s="65"/>
      <c r="F298" s="65"/>
      <c r="G298" s="65"/>
      <c r="H298" s="65"/>
      <c r="I298" s="38"/>
      <c r="J298" s="37"/>
      <c r="K298" s="37"/>
      <c r="L298" s="37"/>
      <c r="M298" s="37"/>
      <c r="N298" s="37"/>
      <c r="O298" s="37"/>
      <c r="P298" s="37"/>
      <c r="Q298" s="37"/>
      <c r="R298" s="65"/>
      <c r="S298" s="65"/>
      <c r="T298" s="65"/>
      <c r="U298" s="65"/>
      <c r="V298" s="65"/>
      <c r="W298" s="65"/>
      <c r="X298" s="65"/>
      <c r="Y298" s="65"/>
      <c r="Z298" s="37"/>
      <c r="AA298" s="37"/>
      <c r="AB298" s="167"/>
    </row>
    <row r="299" spans="1:28" s="28" customFormat="1" x14ac:dyDescent="0.25">
      <c r="A299" s="35">
        <v>45932</v>
      </c>
      <c r="B299" s="36"/>
      <c r="C299" s="37"/>
      <c r="D299" s="37"/>
      <c r="E299" s="65"/>
      <c r="F299" s="65"/>
      <c r="G299" s="65"/>
      <c r="H299" s="65"/>
      <c r="I299" s="38"/>
      <c r="J299" s="37"/>
      <c r="K299" s="37"/>
      <c r="L299" s="37"/>
      <c r="M299" s="37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37"/>
      <c r="AA299" s="37"/>
      <c r="AB299" s="167"/>
    </row>
    <row r="300" spans="1:28" s="28" customFormat="1" x14ac:dyDescent="0.25">
      <c r="A300" s="35">
        <v>45933</v>
      </c>
      <c r="B300" s="36"/>
      <c r="C300" s="37"/>
      <c r="D300" s="37"/>
      <c r="E300" s="65"/>
      <c r="F300" s="65"/>
      <c r="G300" s="65"/>
      <c r="H300" s="65"/>
      <c r="I300" s="38"/>
      <c r="J300" s="37"/>
      <c r="K300" s="37"/>
      <c r="L300" s="37"/>
      <c r="M300" s="37"/>
      <c r="N300" s="37"/>
      <c r="O300" s="37"/>
      <c r="P300" s="37"/>
      <c r="Q300" s="37"/>
      <c r="R300" s="65"/>
      <c r="S300" s="65"/>
      <c r="T300" s="65"/>
      <c r="U300" s="65"/>
      <c r="V300" s="65"/>
      <c r="W300" s="65"/>
      <c r="X300" s="65"/>
      <c r="Y300" s="65"/>
      <c r="Z300" s="37"/>
      <c r="AA300" s="37"/>
      <c r="AB300" s="167"/>
    </row>
    <row r="301" spans="1:28" s="28" customFormat="1" x14ac:dyDescent="0.25">
      <c r="A301" s="35">
        <v>45934</v>
      </c>
      <c r="B301" s="36"/>
      <c r="C301" s="37"/>
      <c r="D301" s="37"/>
      <c r="E301" s="65"/>
      <c r="F301" s="65"/>
      <c r="G301" s="65"/>
      <c r="H301" s="65"/>
      <c r="I301" s="38"/>
      <c r="J301" s="37"/>
      <c r="K301" s="37"/>
      <c r="L301" s="37"/>
      <c r="M301" s="37"/>
      <c r="N301" s="37"/>
      <c r="O301" s="37"/>
      <c r="P301" s="37"/>
      <c r="Q301" s="37"/>
      <c r="R301" s="65"/>
      <c r="S301" s="65"/>
      <c r="T301" s="65"/>
      <c r="U301" s="65"/>
      <c r="V301" s="65"/>
      <c r="W301" s="65"/>
      <c r="X301" s="65"/>
      <c r="Y301" s="65"/>
      <c r="Z301" s="37"/>
      <c r="AA301" s="37"/>
      <c r="AB301" s="167"/>
    </row>
    <row r="302" spans="1:28" s="28" customFormat="1" x14ac:dyDescent="0.25">
      <c r="A302" s="35">
        <v>45934</v>
      </c>
      <c r="B302" s="36"/>
      <c r="C302" s="37"/>
      <c r="D302" s="37"/>
      <c r="E302" s="65"/>
      <c r="F302" s="65"/>
      <c r="G302" s="65"/>
      <c r="H302" s="65"/>
      <c r="I302" s="38"/>
      <c r="J302" s="65"/>
      <c r="K302" s="37"/>
      <c r="L302" s="37"/>
      <c r="M302" s="37"/>
      <c r="N302" s="37"/>
      <c r="O302" s="37"/>
      <c r="P302" s="37"/>
      <c r="Q302" s="37"/>
      <c r="R302" s="65"/>
      <c r="S302" s="65"/>
      <c r="T302" s="65"/>
      <c r="U302" s="65"/>
      <c r="V302" s="65"/>
      <c r="W302" s="65"/>
      <c r="X302" s="65"/>
      <c r="Y302" s="65"/>
      <c r="Z302" s="37"/>
      <c r="AA302" s="37"/>
      <c r="AB302" s="167"/>
    </row>
    <row r="303" spans="1:28" s="28" customFormat="1" x14ac:dyDescent="0.25">
      <c r="A303" s="35">
        <v>45935</v>
      </c>
      <c r="B303" s="36"/>
      <c r="C303" s="37"/>
      <c r="D303" s="37"/>
      <c r="E303" s="65"/>
      <c r="F303" s="65"/>
      <c r="G303" s="65"/>
      <c r="H303" s="65"/>
      <c r="I303" s="38"/>
      <c r="J303" s="37"/>
      <c r="K303" s="37"/>
      <c r="L303" s="37"/>
      <c r="M303" s="37"/>
      <c r="N303" s="37"/>
      <c r="O303" s="37"/>
      <c r="P303" s="37"/>
      <c r="Q303" s="37"/>
      <c r="R303" s="65"/>
      <c r="S303" s="65"/>
      <c r="T303" s="65"/>
      <c r="U303" s="65"/>
      <c r="V303" s="65"/>
      <c r="W303" s="65"/>
      <c r="X303" s="65"/>
      <c r="Y303" s="65"/>
      <c r="Z303" s="37"/>
      <c r="AA303" s="37"/>
      <c r="AB303" s="167"/>
    </row>
    <row r="304" spans="1:28" s="28" customFormat="1" x14ac:dyDescent="0.25">
      <c r="A304" s="35">
        <v>45936</v>
      </c>
      <c r="B304" s="36"/>
      <c r="C304" s="37"/>
      <c r="D304" s="37"/>
      <c r="E304" s="65"/>
      <c r="F304" s="65"/>
      <c r="G304" s="65"/>
      <c r="H304" s="65"/>
      <c r="I304" s="38"/>
      <c r="J304" s="65"/>
      <c r="K304" s="238"/>
      <c r="L304" s="37"/>
      <c r="M304" s="37"/>
      <c r="N304" s="37"/>
      <c r="O304" s="37"/>
      <c r="P304" s="37"/>
      <c r="Q304" s="37"/>
      <c r="R304" s="65"/>
      <c r="S304" s="65"/>
      <c r="T304" s="65"/>
      <c r="U304" s="65"/>
      <c r="V304" s="65"/>
      <c r="W304" s="65"/>
      <c r="X304" s="37"/>
      <c r="Y304" s="65"/>
      <c r="Z304" s="37"/>
      <c r="AA304" s="37"/>
      <c r="AB304" s="167"/>
    </row>
    <row r="305" spans="1:28" s="28" customFormat="1" x14ac:dyDescent="0.25">
      <c r="A305" s="35">
        <v>45937</v>
      </c>
      <c r="B305" s="36"/>
      <c r="C305" s="37"/>
      <c r="D305" s="37"/>
      <c r="E305" s="65"/>
      <c r="F305" s="65"/>
      <c r="G305" s="65"/>
      <c r="H305" s="65"/>
      <c r="I305" s="38"/>
      <c r="J305" s="37"/>
      <c r="K305" s="37"/>
      <c r="L305" s="37"/>
      <c r="M305" s="37"/>
      <c r="N305" s="37"/>
      <c r="O305" s="37"/>
      <c r="P305" s="37"/>
      <c r="Q305" s="37"/>
      <c r="R305" s="65"/>
      <c r="S305" s="65"/>
      <c r="T305" s="65"/>
      <c r="U305" s="65"/>
      <c r="V305" s="65"/>
      <c r="W305" s="65"/>
      <c r="X305" s="65"/>
      <c r="Y305" s="65"/>
      <c r="Z305" s="37"/>
      <c r="AA305" s="37"/>
      <c r="AB305" s="167"/>
    </row>
    <row r="306" spans="1:28" s="28" customFormat="1" x14ac:dyDescent="0.25">
      <c r="A306" s="35">
        <v>45938</v>
      </c>
      <c r="B306" s="36"/>
      <c r="C306" s="37"/>
      <c r="D306" s="37"/>
      <c r="E306" s="65"/>
      <c r="F306" s="65"/>
      <c r="G306" s="65"/>
      <c r="H306" s="65"/>
      <c r="I306" s="38"/>
      <c r="J306" s="65"/>
      <c r="K306" s="37"/>
      <c r="L306" s="37"/>
      <c r="M306" s="37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37"/>
      <c r="AA306" s="37"/>
      <c r="AB306" s="167"/>
    </row>
    <row r="307" spans="1:28" s="28" customFormat="1" x14ac:dyDescent="0.25">
      <c r="A307" s="35">
        <v>45939</v>
      </c>
      <c r="B307" s="36"/>
      <c r="C307" s="37"/>
      <c r="D307" s="37"/>
      <c r="E307" s="65"/>
      <c r="F307" s="65"/>
      <c r="G307" s="65"/>
      <c r="H307" s="65"/>
      <c r="I307" s="38"/>
      <c r="J307" s="37"/>
      <c r="K307" s="37"/>
      <c r="L307" s="37"/>
      <c r="M307" s="37"/>
      <c r="N307" s="37"/>
      <c r="O307" s="37"/>
      <c r="P307" s="37"/>
      <c r="Q307" s="37"/>
      <c r="R307" s="65"/>
      <c r="S307" s="65"/>
      <c r="T307" s="65"/>
      <c r="U307" s="65"/>
      <c r="V307" s="65"/>
      <c r="W307" s="65"/>
      <c r="X307" s="65"/>
      <c r="Y307" s="65"/>
      <c r="Z307" s="37"/>
      <c r="AA307" s="37"/>
      <c r="AB307" s="167"/>
    </row>
    <row r="308" spans="1:28" s="28" customFormat="1" x14ac:dyDescent="0.25">
      <c r="A308" s="35">
        <v>45940</v>
      </c>
      <c r="B308" s="36"/>
      <c r="C308" s="37"/>
      <c r="D308" s="37"/>
      <c r="E308" s="65"/>
      <c r="F308" s="65"/>
      <c r="G308" s="65"/>
      <c r="H308" s="65"/>
      <c r="I308" s="38"/>
      <c r="J308" s="37"/>
      <c r="K308" s="37"/>
      <c r="L308" s="37"/>
      <c r="M308" s="37"/>
      <c r="N308" s="37"/>
      <c r="O308" s="37"/>
      <c r="P308" s="37"/>
      <c r="Q308" s="37"/>
      <c r="R308" s="65"/>
      <c r="S308" s="65"/>
      <c r="T308" s="65"/>
      <c r="U308" s="65"/>
      <c r="V308" s="65"/>
      <c r="W308" s="65"/>
      <c r="X308" s="65"/>
      <c r="Y308" s="65"/>
      <c r="Z308" s="37"/>
      <c r="AA308" s="37"/>
      <c r="AB308" s="167"/>
    </row>
    <row r="309" spans="1:28" s="28" customFormat="1" x14ac:dyDescent="0.25">
      <c r="A309" s="35">
        <v>45941</v>
      </c>
      <c r="B309" s="36"/>
      <c r="C309" s="37"/>
      <c r="D309" s="37"/>
      <c r="E309" s="65"/>
      <c r="F309" s="65"/>
      <c r="G309" s="65"/>
      <c r="H309" s="65"/>
      <c r="I309" s="38"/>
      <c r="J309" s="37"/>
      <c r="K309" s="37"/>
      <c r="L309" s="37"/>
      <c r="M309" s="37"/>
      <c r="N309" s="37"/>
      <c r="O309" s="37"/>
      <c r="P309" s="37"/>
      <c r="Q309" s="37"/>
      <c r="R309" s="65"/>
      <c r="S309" s="65"/>
      <c r="T309" s="65"/>
      <c r="U309" s="65"/>
      <c r="V309" s="65"/>
      <c r="W309" s="65"/>
      <c r="X309" s="65"/>
      <c r="Y309" s="65"/>
      <c r="Z309" s="37"/>
      <c r="AA309" s="37"/>
      <c r="AB309" s="167"/>
    </row>
    <row r="310" spans="1:28" s="28" customFormat="1" x14ac:dyDescent="0.25">
      <c r="A310" s="35">
        <v>45941</v>
      </c>
      <c r="B310" s="36"/>
      <c r="C310" s="37"/>
      <c r="D310" s="37"/>
      <c r="E310" s="65"/>
      <c r="F310" s="65"/>
      <c r="G310" s="65"/>
      <c r="H310" s="65"/>
      <c r="I310" s="38"/>
      <c r="J310" s="65"/>
      <c r="K310" s="37"/>
      <c r="L310" s="37"/>
      <c r="M310" s="37"/>
      <c r="N310" s="37"/>
      <c r="O310" s="37"/>
      <c r="P310" s="37"/>
      <c r="Q310" s="37"/>
      <c r="R310" s="65"/>
      <c r="S310" s="65"/>
      <c r="T310" s="65"/>
      <c r="U310" s="65"/>
      <c r="V310" s="65"/>
      <c r="W310" s="65"/>
      <c r="X310" s="65"/>
      <c r="Y310" s="65"/>
      <c r="Z310" s="37"/>
      <c r="AA310" s="37"/>
      <c r="AB310" s="167"/>
    </row>
    <row r="311" spans="1:28" s="28" customFormat="1" x14ac:dyDescent="0.25">
      <c r="A311" s="35">
        <v>45942</v>
      </c>
      <c r="B311" s="36"/>
      <c r="C311" s="37"/>
      <c r="D311" s="37"/>
      <c r="E311" s="65"/>
      <c r="F311" s="65"/>
      <c r="G311" s="65"/>
      <c r="H311" s="65"/>
      <c r="I311" s="38"/>
      <c r="J311" s="37"/>
      <c r="K311" s="37"/>
      <c r="L311" s="37"/>
      <c r="M311" s="37"/>
      <c r="N311" s="37"/>
      <c r="O311" s="37"/>
      <c r="P311" s="37"/>
      <c r="Q311" s="37"/>
      <c r="R311" s="65"/>
      <c r="S311" s="65"/>
      <c r="T311" s="65"/>
      <c r="U311" s="65"/>
      <c r="V311" s="65"/>
      <c r="W311" s="65"/>
      <c r="X311" s="65"/>
      <c r="Y311" s="65"/>
      <c r="Z311" s="37"/>
      <c r="AA311" s="37"/>
      <c r="AB311" s="167"/>
    </row>
    <row r="312" spans="1:28" s="28" customFormat="1" x14ac:dyDescent="0.25">
      <c r="A312" s="35">
        <v>45943</v>
      </c>
      <c r="B312" s="36"/>
      <c r="C312" s="37"/>
      <c r="D312" s="37"/>
      <c r="E312" s="65"/>
      <c r="F312" s="65"/>
      <c r="G312" s="65"/>
      <c r="H312" s="65"/>
      <c r="I312" s="38"/>
      <c r="J312" s="37"/>
      <c r="K312" s="37"/>
      <c r="L312" s="37"/>
      <c r="M312" s="37"/>
      <c r="N312" s="37"/>
      <c r="O312" s="37"/>
      <c r="P312" s="37"/>
      <c r="Q312" s="37"/>
      <c r="R312" s="65"/>
      <c r="S312" s="65"/>
      <c r="T312" s="65"/>
      <c r="U312" s="65"/>
      <c r="V312" s="65"/>
      <c r="W312" s="65"/>
      <c r="X312" s="65"/>
      <c r="Y312" s="65"/>
      <c r="Z312" s="37"/>
      <c r="AA312" s="37"/>
      <c r="AB312" s="167"/>
    </row>
    <row r="313" spans="1:28" s="28" customFormat="1" x14ac:dyDescent="0.25">
      <c r="A313" s="35">
        <v>45944</v>
      </c>
      <c r="B313" s="36"/>
      <c r="C313" s="37"/>
      <c r="D313" s="37"/>
      <c r="E313" s="65"/>
      <c r="F313" s="65"/>
      <c r="G313" s="65"/>
      <c r="H313" s="65"/>
      <c r="I313" s="38"/>
      <c r="J313" s="37"/>
      <c r="K313" s="37"/>
      <c r="L313" s="37"/>
      <c r="M313" s="37"/>
      <c r="N313" s="37"/>
      <c r="O313" s="37"/>
      <c r="P313" s="37"/>
      <c r="Q313" s="37"/>
      <c r="R313" s="65"/>
      <c r="S313" s="65"/>
      <c r="T313" s="65"/>
      <c r="U313" s="65"/>
      <c r="V313" s="65"/>
      <c r="W313" s="65"/>
      <c r="X313" s="65"/>
      <c r="Y313" s="65"/>
      <c r="Z313" s="37"/>
      <c r="AA313" s="37"/>
      <c r="AB313" s="167"/>
    </row>
    <row r="314" spans="1:28" s="28" customFormat="1" x14ac:dyDescent="0.25">
      <c r="A314" s="35">
        <v>45945</v>
      </c>
      <c r="B314" s="36"/>
      <c r="C314" s="37"/>
      <c r="D314" s="37"/>
      <c r="E314" s="65"/>
      <c r="F314" s="65"/>
      <c r="G314" s="65"/>
      <c r="H314" s="65"/>
      <c r="I314" s="38"/>
      <c r="J314" s="37"/>
      <c r="K314" s="37"/>
      <c r="L314" s="37"/>
      <c r="M314" s="37"/>
      <c r="N314" s="37"/>
      <c r="O314" s="37"/>
      <c r="P314" s="37"/>
      <c r="Q314" s="37"/>
      <c r="R314" s="65"/>
      <c r="S314" s="65"/>
      <c r="T314" s="65"/>
      <c r="U314" s="65"/>
      <c r="V314" s="65"/>
      <c r="W314" s="65"/>
      <c r="X314" s="65"/>
      <c r="Y314" s="65"/>
      <c r="Z314" s="37"/>
      <c r="AA314" s="37"/>
      <c r="AB314" s="167"/>
    </row>
    <row r="315" spans="1:28" s="28" customFormat="1" x14ac:dyDescent="0.25">
      <c r="A315" s="35">
        <v>45946</v>
      </c>
      <c r="B315" s="36"/>
      <c r="C315" s="37"/>
      <c r="D315" s="37"/>
      <c r="E315" s="65"/>
      <c r="F315" s="65"/>
      <c r="G315" s="65"/>
      <c r="H315" s="65"/>
      <c r="I315" s="38"/>
      <c r="J315" s="37"/>
      <c r="K315" s="37"/>
      <c r="L315" s="37"/>
      <c r="M315" s="37"/>
      <c r="N315" s="37"/>
      <c r="O315" s="37"/>
      <c r="P315" s="37"/>
      <c r="Q315" s="37"/>
      <c r="R315" s="65"/>
      <c r="S315" s="65"/>
      <c r="T315" s="65"/>
      <c r="U315" s="65"/>
      <c r="V315" s="65"/>
      <c r="W315" s="65"/>
      <c r="X315" s="65"/>
      <c r="Y315" s="37"/>
      <c r="Z315" s="37"/>
      <c r="AA315" s="37"/>
      <c r="AB315" s="167"/>
    </row>
    <row r="316" spans="1:28" s="28" customFormat="1" x14ac:dyDescent="0.25">
      <c r="A316" s="35">
        <v>45947</v>
      </c>
      <c r="B316" s="36"/>
      <c r="C316" s="37"/>
      <c r="D316" s="37"/>
      <c r="E316" s="65"/>
      <c r="F316" s="65"/>
      <c r="G316" s="65"/>
      <c r="H316" s="65"/>
      <c r="I316" s="38"/>
      <c r="J316" s="37"/>
      <c r="K316" s="37"/>
      <c r="L316" s="37"/>
      <c r="M316" s="37"/>
      <c r="N316" s="37"/>
      <c r="O316" s="37"/>
      <c r="P316" s="37"/>
      <c r="Q316" s="37"/>
      <c r="R316" s="65"/>
      <c r="S316" s="65"/>
      <c r="T316" s="65"/>
      <c r="U316" s="65"/>
      <c r="V316" s="65"/>
      <c r="W316" s="65"/>
      <c r="X316" s="65"/>
      <c r="Y316" s="65"/>
      <c r="Z316" s="37"/>
      <c r="AA316" s="37"/>
      <c r="AB316" s="167"/>
    </row>
    <row r="317" spans="1:28" s="28" customFormat="1" x14ac:dyDescent="0.25">
      <c r="A317" s="35">
        <v>45948</v>
      </c>
      <c r="B317" s="36"/>
      <c r="C317" s="37"/>
      <c r="D317" s="37"/>
      <c r="E317" s="65"/>
      <c r="F317" s="65"/>
      <c r="G317" s="65"/>
      <c r="H317" s="65"/>
      <c r="I317" s="38"/>
      <c r="J317" s="37"/>
      <c r="K317" s="37"/>
      <c r="L317" s="37"/>
      <c r="M317" s="37"/>
      <c r="N317" s="37"/>
      <c r="O317" s="37"/>
      <c r="P317" s="37"/>
      <c r="Q317" s="37"/>
      <c r="R317" s="65"/>
      <c r="S317" s="65"/>
      <c r="T317" s="65"/>
      <c r="U317" s="65"/>
      <c r="V317" s="65"/>
      <c r="W317" s="65"/>
      <c r="X317" s="65"/>
      <c r="Y317" s="65"/>
      <c r="Z317" s="37"/>
      <c r="AA317" s="37"/>
      <c r="AB317" s="167"/>
    </row>
    <row r="318" spans="1:28" s="28" customFormat="1" x14ac:dyDescent="0.25">
      <c r="A318" s="35">
        <v>45948</v>
      </c>
      <c r="B318" s="36"/>
      <c r="C318" s="37"/>
      <c r="D318" s="37"/>
      <c r="E318" s="65"/>
      <c r="F318" s="65"/>
      <c r="G318" s="65"/>
      <c r="H318" s="65"/>
      <c r="I318" s="38"/>
      <c r="J318" s="65"/>
      <c r="K318" s="37"/>
      <c r="L318" s="37"/>
      <c r="M318" s="37"/>
      <c r="N318" s="37"/>
      <c r="O318" s="37"/>
      <c r="P318" s="37"/>
      <c r="Q318" s="37"/>
      <c r="R318" s="65"/>
      <c r="S318" s="65"/>
      <c r="T318" s="65"/>
      <c r="U318" s="65"/>
      <c r="V318" s="65"/>
      <c r="W318" s="65"/>
      <c r="X318" s="65"/>
      <c r="Y318" s="65"/>
      <c r="Z318" s="37"/>
      <c r="AA318" s="37"/>
      <c r="AB318" s="167"/>
    </row>
    <row r="319" spans="1:28" s="28" customFormat="1" x14ac:dyDescent="0.25">
      <c r="A319" s="35">
        <v>45949</v>
      </c>
      <c r="B319" s="36"/>
      <c r="C319" s="37"/>
      <c r="D319" s="37"/>
      <c r="E319" s="65"/>
      <c r="F319" s="65"/>
      <c r="G319" s="65"/>
      <c r="H319" s="65"/>
      <c r="I319" s="38"/>
      <c r="J319" s="37"/>
      <c r="K319" s="37"/>
      <c r="L319" s="37"/>
      <c r="M319" s="37"/>
      <c r="N319" s="37"/>
      <c r="O319" s="37"/>
      <c r="P319" s="37"/>
      <c r="Q319" s="37"/>
      <c r="R319" s="65"/>
      <c r="S319" s="65"/>
      <c r="T319" s="65"/>
      <c r="U319" s="65"/>
      <c r="V319" s="65"/>
      <c r="W319" s="65"/>
      <c r="X319" s="65"/>
      <c r="Y319" s="65"/>
      <c r="Z319" s="37"/>
      <c r="AA319" s="37"/>
      <c r="AB319" s="167"/>
    </row>
    <row r="320" spans="1:28" s="28" customFormat="1" x14ac:dyDescent="0.25">
      <c r="A320" s="35">
        <v>45950</v>
      </c>
      <c r="B320" s="36"/>
      <c r="C320" s="37"/>
      <c r="D320" s="37"/>
      <c r="E320" s="65"/>
      <c r="F320" s="65"/>
      <c r="G320" s="65"/>
      <c r="H320" s="65"/>
      <c r="I320" s="38"/>
      <c r="J320" s="37"/>
      <c r="K320" s="37"/>
      <c r="L320" s="37"/>
      <c r="M320" s="37"/>
      <c r="N320" s="37"/>
      <c r="O320" s="37"/>
      <c r="P320" s="37"/>
      <c r="Q320" s="37"/>
      <c r="R320" s="65"/>
      <c r="S320" s="65"/>
      <c r="T320" s="65"/>
      <c r="U320" s="65"/>
      <c r="V320" s="65"/>
      <c r="W320" s="65"/>
      <c r="X320" s="37"/>
      <c r="Y320" s="65"/>
      <c r="Z320" s="37"/>
      <c r="AA320" s="37"/>
      <c r="AB320" s="167"/>
    </row>
    <row r="321" spans="1:28" s="28" customFormat="1" x14ac:dyDescent="0.25">
      <c r="A321" s="35">
        <v>45951</v>
      </c>
      <c r="B321" s="36"/>
      <c r="C321" s="37"/>
      <c r="D321" s="37"/>
      <c r="E321" s="65"/>
      <c r="F321" s="65"/>
      <c r="G321" s="65"/>
      <c r="H321" s="65"/>
      <c r="I321" s="38"/>
      <c r="J321" s="37"/>
      <c r="K321" s="37"/>
      <c r="L321" s="37"/>
      <c r="M321" s="37"/>
      <c r="N321" s="37"/>
      <c r="O321" s="37"/>
      <c r="P321" s="37"/>
      <c r="Q321" s="37"/>
      <c r="R321" s="65"/>
      <c r="S321" s="65"/>
      <c r="T321" s="65"/>
      <c r="U321" s="65"/>
      <c r="V321" s="65"/>
      <c r="W321" s="65"/>
      <c r="X321" s="65"/>
      <c r="Y321" s="65"/>
      <c r="Z321" s="37"/>
      <c r="AA321" s="37"/>
      <c r="AB321" s="167"/>
    </row>
    <row r="322" spans="1:28" s="28" customFormat="1" x14ac:dyDescent="0.25">
      <c r="A322" s="35">
        <v>45952</v>
      </c>
      <c r="B322" s="36"/>
      <c r="C322" s="37"/>
      <c r="D322" s="37"/>
      <c r="E322" s="65"/>
      <c r="F322" s="65"/>
      <c r="G322" s="65"/>
      <c r="H322" s="65"/>
      <c r="I322" s="38"/>
      <c r="J322" s="37"/>
      <c r="K322" s="37"/>
      <c r="L322" s="37"/>
      <c r="M322" s="37"/>
      <c r="N322" s="37"/>
      <c r="O322" s="37"/>
      <c r="P322" s="37"/>
      <c r="Q322" s="37"/>
      <c r="R322" s="65"/>
      <c r="S322" s="65"/>
      <c r="T322" s="65"/>
      <c r="U322" s="65"/>
      <c r="V322" s="65"/>
      <c r="W322" s="65"/>
      <c r="X322" s="65"/>
      <c r="Y322" s="65"/>
      <c r="Z322" s="37"/>
      <c r="AA322" s="37"/>
      <c r="AB322" s="167"/>
    </row>
    <row r="323" spans="1:28" s="28" customFormat="1" x14ac:dyDescent="0.25">
      <c r="A323" s="35">
        <v>45953</v>
      </c>
      <c r="B323" s="36"/>
      <c r="C323" s="37"/>
      <c r="D323" s="37"/>
      <c r="E323" s="65"/>
      <c r="F323" s="65"/>
      <c r="G323" s="65"/>
      <c r="H323" s="65"/>
      <c r="I323" s="38"/>
      <c r="J323" s="37"/>
      <c r="K323" s="37"/>
      <c r="L323" s="37"/>
      <c r="M323" s="37"/>
      <c r="N323" s="37"/>
      <c r="O323" s="37"/>
      <c r="P323" s="37"/>
      <c r="Q323" s="37"/>
      <c r="R323" s="65"/>
      <c r="S323" s="65"/>
      <c r="T323" s="65"/>
      <c r="U323" s="65"/>
      <c r="V323" s="65"/>
      <c r="W323" s="65"/>
      <c r="X323" s="65"/>
      <c r="Y323" s="65"/>
      <c r="Z323" s="37"/>
      <c r="AA323" s="37"/>
      <c r="AB323" s="167"/>
    </row>
    <row r="324" spans="1:28" s="28" customFormat="1" x14ac:dyDescent="0.25">
      <c r="A324" s="35">
        <v>45954</v>
      </c>
      <c r="B324" s="36"/>
      <c r="C324" s="37"/>
      <c r="D324" s="37"/>
      <c r="E324" s="65"/>
      <c r="F324" s="65"/>
      <c r="G324" s="65"/>
      <c r="H324" s="65"/>
      <c r="I324" s="38"/>
      <c r="J324" s="37"/>
      <c r="K324" s="37"/>
      <c r="L324" s="37"/>
      <c r="M324" s="37"/>
      <c r="N324" s="37"/>
      <c r="O324" s="37"/>
      <c r="P324" s="37"/>
      <c r="Q324" s="37"/>
      <c r="R324" s="65"/>
      <c r="S324" s="65"/>
      <c r="T324" s="65"/>
      <c r="U324" s="65"/>
      <c r="V324" s="65"/>
      <c r="W324" s="65"/>
      <c r="X324" s="65"/>
      <c r="Y324" s="65"/>
      <c r="Z324" s="37"/>
      <c r="AA324" s="37"/>
      <c r="AB324" s="167"/>
    </row>
    <row r="325" spans="1:28" s="28" customFormat="1" x14ac:dyDescent="0.25">
      <c r="A325" s="35">
        <v>45955</v>
      </c>
      <c r="B325" s="36"/>
      <c r="C325" s="37"/>
      <c r="D325" s="37"/>
      <c r="E325" s="65"/>
      <c r="F325" s="65"/>
      <c r="G325" s="65"/>
      <c r="H325" s="65"/>
      <c r="I325" s="38"/>
      <c r="J325" s="37"/>
      <c r="K325" s="37"/>
      <c r="L325" s="37"/>
      <c r="M325" s="37"/>
      <c r="N325" s="37"/>
      <c r="O325" s="37"/>
      <c r="P325" s="37"/>
      <c r="Q325" s="37"/>
      <c r="R325" s="65"/>
      <c r="S325" s="65"/>
      <c r="T325" s="65"/>
      <c r="U325" s="65"/>
      <c r="V325" s="65"/>
      <c r="W325" s="65"/>
      <c r="X325" s="65"/>
      <c r="Y325" s="65"/>
      <c r="Z325" s="37"/>
      <c r="AA325" s="37"/>
      <c r="AB325" s="167"/>
    </row>
    <row r="326" spans="1:28" s="28" customFormat="1" x14ac:dyDescent="0.25">
      <c r="A326" s="35">
        <v>45955</v>
      </c>
      <c r="B326" s="36"/>
      <c r="C326" s="37"/>
      <c r="D326" s="37"/>
      <c r="E326" s="65"/>
      <c r="F326" s="65"/>
      <c r="G326" s="65"/>
      <c r="H326" s="65"/>
      <c r="I326" s="38"/>
      <c r="J326" s="65"/>
      <c r="K326" s="37"/>
      <c r="L326" s="37"/>
      <c r="M326" s="37"/>
      <c r="N326" s="37"/>
      <c r="O326" s="37"/>
      <c r="P326" s="37"/>
      <c r="Q326" s="37"/>
      <c r="R326" s="65"/>
      <c r="S326" s="65"/>
      <c r="T326" s="65"/>
      <c r="U326" s="65"/>
      <c r="V326" s="65"/>
      <c r="W326" s="65"/>
      <c r="X326" s="65"/>
      <c r="Y326" s="65"/>
      <c r="Z326" s="37"/>
      <c r="AA326" s="37"/>
      <c r="AB326" s="167"/>
    </row>
    <row r="327" spans="1:28" s="28" customFormat="1" x14ac:dyDescent="0.25">
      <c r="A327" s="35">
        <v>45956</v>
      </c>
      <c r="B327" s="36"/>
      <c r="C327" s="37"/>
      <c r="D327" s="37"/>
      <c r="E327" s="65"/>
      <c r="F327" s="65"/>
      <c r="G327" s="65"/>
      <c r="H327" s="65"/>
      <c r="I327" s="38"/>
      <c r="J327" s="37"/>
      <c r="K327" s="37"/>
      <c r="L327" s="37"/>
      <c r="M327" s="37"/>
      <c r="N327" s="37"/>
      <c r="O327" s="37"/>
      <c r="P327" s="37"/>
      <c r="Q327" s="37"/>
      <c r="R327" s="65"/>
      <c r="S327" s="65"/>
      <c r="T327" s="65"/>
      <c r="U327" s="65"/>
      <c r="V327" s="65"/>
      <c r="W327" s="65"/>
      <c r="X327" s="65"/>
      <c r="Y327" s="65"/>
      <c r="Z327" s="37"/>
      <c r="AA327" s="37"/>
      <c r="AB327" s="167"/>
    </row>
    <row r="328" spans="1:28" s="28" customFormat="1" x14ac:dyDescent="0.25">
      <c r="A328" s="35">
        <v>45957</v>
      </c>
      <c r="B328" s="36"/>
      <c r="C328" s="37"/>
      <c r="D328" s="37"/>
      <c r="E328" s="65"/>
      <c r="F328" s="65"/>
      <c r="G328" s="65"/>
      <c r="H328" s="65"/>
      <c r="I328" s="38"/>
      <c r="J328" s="37"/>
      <c r="K328" s="37"/>
      <c r="L328" s="37"/>
      <c r="M328" s="37"/>
      <c r="N328" s="37"/>
      <c r="O328" s="37"/>
      <c r="P328" s="37"/>
      <c r="Q328" s="37"/>
      <c r="R328" s="65"/>
      <c r="S328" s="65"/>
      <c r="T328" s="65"/>
      <c r="U328" s="65"/>
      <c r="V328" s="65"/>
      <c r="W328" s="65"/>
      <c r="X328" s="37"/>
      <c r="Y328" s="65"/>
      <c r="Z328" s="37"/>
      <c r="AA328" s="37"/>
      <c r="AB328" s="167"/>
    </row>
    <row r="329" spans="1:28" s="28" customFormat="1" x14ac:dyDescent="0.25">
      <c r="A329" s="35">
        <v>45958</v>
      </c>
      <c r="B329" s="36"/>
      <c r="C329" s="37"/>
      <c r="D329" s="37"/>
      <c r="E329" s="65"/>
      <c r="F329" s="65"/>
      <c r="G329" s="65"/>
      <c r="H329" s="65"/>
      <c r="I329" s="38"/>
      <c r="J329" s="37"/>
      <c r="K329" s="37"/>
      <c r="L329" s="37"/>
      <c r="M329" s="37"/>
      <c r="N329" s="37"/>
      <c r="O329" s="37"/>
      <c r="P329" s="37"/>
      <c r="Q329" s="37"/>
      <c r="R329" s="65"/>
      <c r="S329" s="65"/>
      <c r="T329" s="65"/>
      <c r="U329" s="65"/>
      <c r="V329" s="65"/>
      <c r="W329" s="65"/>
      <c r="X329" s="65"/>
      <c r="Y329" s="65"/>
      <c r="Z329" s="37"/>
      <c r="AA329" s="37"/>
      <c r="AB329" s="167"/>
    </row>
    <row r="330" spans="1:28" s="28" customFormat="1" x14ac:dyDescent="0.25">
      <c r="A330" s="35">
        <v>45959</v>
      </c>
      <c r="B330" s="36"/>
      <c r="C330" s="37"/>
      <c r="D330" s="37"/>
      <c r="E330" s="65"/>
      <c r="F330" s="65"/>
      <c r="G330" s="65"/>
      <c r="H330" s="65"/>
      <c r="I330" s="38"/>
      <c r="J330" s="65"/>
      <c r="K330" s="37"/>
      <c r="L330" s="37"/>
      <c r="M330" s="37"/>
      <c r="N330" s="37"/>
      <c r="O330" s="37"/>
      <c r="P330" s="37"/>
      <c r="Q330" s="37"/>
      <c r="R330" s="65"/>
      <c r="S330" s="65"/>
      <c r="T330" s="65"/>
      <c r="U330" s="65"/>
      <c r="V330" s="65"/>
      <c r="W330" s="65"/>
      <c r="X330" s="65"/>
      <c r="Y330" s="65"/>
      <c r="Z330" s="37"/>
      <c r="AA330" s="37"/>
      <c r="AB330" s="167"/>
    </row>
    <row r="331" spans="1:28" s="28" customFormat="1" x14ac:dyDescent="0.25">
      <c r="A331" s="35">
        <v>45960</v>
      </c>
      <c r="B331" s="36"/>
      <c r="C331" s="37"/>
      <c r="D331" s="37"/>
      <c r="E331" s="65"/>
      <c r="F331" s="65"/>
      <c r="G331" s="65"/>
      <c r="H331" s="65"/>
      <c r="I331" s="38"/>
      <c r="J331" s="65"/>
      <c r="K331" s="37"/>
      <c r="L331" s="65"/>
      <c r="M331" s="37"/>
      <c r="N331" s="37"/>
      <c r="O331" s="37"/>
      <c r="P331" s="37"/>
      <c r="Q331" s="37"/>
      <c r="R331" s="65"/>
      <c r="S331" s="65"/>
      <c r="T331" s="65"/>
      <c r="U331" s="65"/>
      <c r="V331" s="65"/>
      <c r="W331" s="65"/>
      <c r="X331" s="65"/>
      <c r="Y331" s="65"/>
      <c r="Z331" s="37"/>
      <c r="AA331" s="37"/>
      <c r="AB331" s="167"/>
    </row>
    <row r="332" spans="1:28" s="28" customFormat="1" x14ac:dyDescent="0.25">
      <c r="A332" s="35">
        <v>45961</v>
      </c>
      <c r="B332" s="36"/>
      <c r="C332" s="37"/>
      <c r="D332" s="37"/>
      <c r="E332" s="65"/>
      <c r="F332" s="65"/>
      <c r="G332" s="65"/>
      <c r="H332" s="65"/>
      <c r="I332" s="38"/>
      <c r="J332" s="37"/>
      <c r="K332" s="37"/>
      <c r="L332" s="37"/>
      <c r="M332" s="37"/>
      <c r="N332" s="37"/>
      <c r="O332" s="37"/>
      <c r="P332" s="37"/>
      <c r="Q332" s="37"/>
      <c r="R332" s="65"/>
      <c r="S332" s="65"/>
      <c r="T332" s="65"/>
      <c r="U332" s="65"/>
      <c r="V332" s="65"/>
      <c r="W332" s="65"/>
      <c r="X332" s="65"/>
      <c r="Y332" s="65"/>
      <c r="Z332" s="37"/>
      <c r="AA332" s="37"/>
      <c r="AB332" s="167"/>
    </row>
    <row r="333" spans="1:28" s="28" customFormat="1" x14ac:dyDescent="0.25">
      <c r="A333" s="35">
        <v>45962</v>
      </c>
      <c r="B333" s="36"/>
      <c r="C333" s="37"/>
      <c r="D333" s="37"/>
      <c r="E333" s="65"/>
      <c r="F333" s="65"/>
      <c r="G333" s="65"/>
      <c r="H333" s="65"/>
      <c r="I333" s="38"/>
      <c r="J333" s="37"/>
      <c r="K333" s="37"/>
      <c r="L333" s="37"/>
      <c r="M333" s="37"/>
      <c r="N333" s="37"/>
      <c r="O333" s="37"/>
      <c r="P333" s="37"/>
      <c r="Q333" s="37"/>
      <c r="R333" s="65"/>
      <c r="S333" s="65"/>
      <c r="T333" s="65"/>
      <c r="U333" s="65"/>
      <c r="V333" s="65"/>
      <c r="W333" s="65"/>
      <c r="X333" s="65"/>
      <c r="Y333" s="65"/>
      <c r="Z333" s="37"/>
      <c r="AA333" s="37"/>
      <c r="AB333" s="167"/>
    </row>
    <row r="334" spans="1:28" s="28" customFormat="1" x14ac:dyDescent="0.25">
      <c r="A334" s="35">
        <v>45962</v>
      </c>
      <c r="B334" s="36"/>
      <c r="C334" s="37"/>
      <c r="D334" s="37"/>
      <c r="E334" s="65"/>
      <c r="F334" s="65"/>
      <c r="G334" s="65"/>
      <c r="H334" s="65"/>
      <c r="I334" s="38"/>
      <c r="J334" s="39"/>
      <c r="K334" s="36"/>
      <c r="L334" s="37"/>
      <c r="M334" s="37"/>
      <c r="N334" s="37"/>
      <c r="O334" s="37"/>
      <c r="P334" s="37"/>
      <c r="Q334" s="37"/>
      <c r="R334" s="65"/>
      <c r="S334" s="65"/>
      <c r="T334" s="65"/>
      <c r="U334" s="65"/>
      <c r="V334" s="65"/>
      <c r="W334" s="65"/>
      <c r="X334" s="65"/>
      <c r="Y334" s="65"/>
      <c r="Z334" s="37"/>
      <c r="AA334" s="37"/>
      <c r="AB334" s="167"/>
    </row>
    <row r="335" spans="1:28" s="28" customFormat="1" x14ac:dyDescent="0.25">
      <c r="A335" s="35">
        <v>45963</v>
      </c>
      <c r="B335" s="36"/>
      <c r="C335" s="37"/>
      <c r="D335" s="37"/>
      <c r="E335" s="65"/>
      <c r="F335" s="65"/>
      <c r="G335" s="65"/>
      <c r="H335" s="65"/>
      <c r="I335" s="38"/>
      <c r="J335" s="37"/>
      <c r="K335" s="37"/>
      <c r="L335" s="37"/>
      <c r="M335" s="37"/>
      <c r="N335" s="37"/>
      <c r="O335" s="37"/>
      <c r="P335" s="37"/>
      <c r="Q335" s="37"/>
      <c r="R335" s="65"/>
      <c r="S335" s="65"/>
      <c r="T335" s="65"/>
      <c r="U335" s="65"/>
      <c r="V335" s="65"/>
      <c r="W335" s="65"/>
      <c r="X335" s="65"/>
      <c r="Y335" s="65"/>
      <c r="Z335" s="37"/>
      <c r="AA335" s="37"/>
      <c r="AB335" s="167"/>
    </row>
    <row r="336" spans="1:28" s="28" customFormat="1" x14ac:dyDescent="0.25">
      <c r="A336" s="35">
        <v>45964</v>
      </c>
      <c r="B336" s="36"/>
      <c r="C336" s="37"/>
      <c r="D336" s="37"/>
      <c r="E336" s="65"/>
      <c r="F336" s="65"/>
      <c r="G336" s="65"/>
      <c r="H336" s="65"/>
      <c r="I336" s="38"/>
      <c r="J336" s="37"/>
      <c r="K336" s="37"/>
      <c r="L336" s="37"/>
      <c r="M336" s="37"/>
      <c r="N336" s="37"/>
      <c r="O336" s="37"/>
      <c r="P336" s="37"/>
      <c r="Q336" s="37"/>
      <c r="R336" s="65"/>
      <c r="S336" s="65"/>
      <c r="T336" s="65"/>
      <c r="U336" s="65"/>
      <c r="V336" s="65"/>
      <c r="W336" s="65"/>
      <c r="X336" s="65"/>
      <c r="Y336" s="65"/>
      <c r="Z336" s="37"/>
      <c r="AA336" s="37"/>
      <c r="AB336" s="167"/>
    </row>
    <row r="337" spans="1:28" s="28" customFormat="1" x14ac:dyDescent="0.25">
      <c r="A337" s="35">
        <v>45965</v>
      </c>
      <c r="B337" s="36"/>
      <c r="C337" s="37"/>
      <c r="D337" s="37"/>
      <c r="E337" s="65"/>
      <c r="F337" s="65"/>
      <c r="G337" s="65"/>
      <c r="H337" s="65"/>
      <c r="I337" s="38"/>
      <c r="J337" s="65"/>
      <c r="K337" s="36"/>
      <c r="L337" s="37"/>
      <c r="M337" s="37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37"/>
      <c r="AA337" s="37"/>
      <c r="AB337" s="167"/>
    </row>
    <row r="338" spans="1:28" s="28" customFormat="1" x14ac:dyDescent="0.25">
      <c r="A338" s="35">
        <v>45966</v>
      </c>
      <c r="B338" s="36"/>
      <c r="C338" s="37"/>
      <c r="D338" s="37"/>
      <c r="E338" s="65"/>
      <c r="F338" s="65"/>
      <c r="G338" s="65"/>
      <c r="H338" s="65"/>
      <c r="I338" s="38"/>
      <c r="J338" s="37"/>
      <c r="K338" s="37"/>
      <c r="L338" s="37"/>
      <c r="M338" s="37"/>
      <c r="N338" s="37"/>
      <c r="O338" s="37"/>
      <c r="P338" s="37"/>
      <c r="Q338" s="37"/>
      <c r="R338" s="65"/>
      <c r="S338" s="65"/>
      <c r="T338" s="65"/>
      <c r="U338" s="65"/>
      <c r="V338" s="65"/>
      <c r="W338" s="65"/>
      <c r="X338" s="65"/>
      <c r="Y338" s="65"/>
      <c r="Z338" s="37"/>
      <c r="AA338" s="37"/>
      <c r="AB338" s="167"/>
    </row>
    <row r="339" spans="1:28" s="28" customFormat="1" x14ac:dyDescent="0.25">
      <c r="A339" s="35">
        <v>45967</v>
      </c>
      <c r="B339" s="36"/>
      <c r="C339" s="37"/>
      <c r="D339" s="37"/>
      <c r="E339" s="65"/>
      <c r="F339" s="65"/>
      <c r="G339" s="65"/>
      <c r="H339" s="65"/>
      <c r="I339" s="38"/>
      <c r="J339" s="37"/>
      <c r="K339" s="37"/>
      <c r="L339" s="37"/>
      <c r="M339" s="37"/>
      <c r="N339" s="37"/>
      <c r="O339" s="37"/>
      <c r="P339" s="37"/>
      <c r="Q339" s="37"/>
      <c r="R339" s="65"/>
      <c r="S339" s="65"/>
      <c r="T339" s="65"/>
      <c r="U339" s="65"/>
      <c r="V339" s="65"/>
      <c r="W339" s="65"/>
      <c r="X339" s="65"/>
      <c r="Y339" s="65"/>
      <c r="Z339" s="37"/>
      <c r="AA339" s="37"/>
      <c r="AB339" s="167"/>
    </row>
    <row r="340" spans="1:28" s="28" customFormat="1" x14ac:dyDescent="0.25">
      <c r="A340" s="35">
        <v>45968</v>
      </c>
      <c r="B340" s="36"/>
      <c r="C340" s="37"/>
      <c r="D340" s="37"/>
      <c r="E340" s="65"/>
      <c r="F340" s="65"/>
      <c r="G340" s="65"/>
      <c r="H340" s="65"/>
      <c r="I340" s="38"/>
      <c r="J340" s="65"/>
      <c r="K340" s="37"/>
      <c r="L340" s="37"/>
      <c r="M340" s="37"/>
      <c r="N340" s="37"/>
      <c r="O340" s="37"/>
      <c r="P340" s="37"/>
      <c r="Q340" s="37"/>
      <c r="R340" s="65"/>
      <c r="S340" s="65"/>
      <c r="T340" s="65"/>
      <c r="U340" s="65"/>
      <c r="V340" s="65"/>
      <c r="W340" s="65"/>
      <c r="X340" s="65"/>
      <c r="Y340" s="65"/>
      <c r="Z340" s="37"/>
      <c r="AA340" s="37"/>
      <c r="AB340" s="167"/>
    </row>
    <row r="341" spans="1:28" s="28" customFormat="1" x14ac:dyDescent="0.25">
      <c r="A341" s="35">
        <v>45969</v>
      </c>
      <c r="B341" s="36"/>
      <c r="C341" s="37"/>
      <c r="D341" s="37"/>
      <c r="E341" s="65"/>
      <c r="F341" s="65"/>
      <c r="G341" s="65"/>
      <c r="H341" s="65"/>
      <c r="I341" s="38"/>
      <c r="J341" s="36"/>
      <c r="K341" s="36"/>
      <c r="L341" s="37"/>
      <c r="M341" s="37"/>
      <c r="N341" s="37"/>
      <c r="O341" s="37"/>
      <c r="P341" s="37"/>
      <c r="Q341" s="37"/>
      <c r="R341" s="65"/>
      <c r="S341" s="65"/>
      <c r="T341" s="65"/>
      <c r="U341" s="65"/>
      <c r="V341" s="65"/>
      <c r="W341" s="65"/>
      <c r="X341" s="65"/>
      <c r="Y341" s="65"/>
      <c r="Z341" s="37"/>
      <c r="AA341" s="37"/>
      <c r="AB341" s="167"/>
    </row>
    <row r="342" spans="1:28" s="28" customFormat="1" x14ac:dyDescent="0.25">
      <c r="A342" s="35">
        <v>45969</v>
      </c>
      <c r="B342" s="36"/>
      <c r="C342" s="37"/>
      <c r="D342" s="37"/>
      <c r="E342" s="65"/>
      <c r="F342" s="65"/>
      <c r="G342" s="65"/>
      <c r="H342" s="65"/>
      <c r="I342" s="38"/>
      <c r="J342" s="39"/>
      <c r="K342" s="36"/>
      <c r="L342" s="37"/>
      <c r="M342" s="37"/>
      <c r="N342" s="37"/>
      <c r="O342" s="37"/>
      <c r="P342" s="37"/>
      <c r="Q342" s="37"/>
      <c r="R342" s="65"/>
      <c r="S342" s="65"/>
      <c r="T342" s="65"/>
      <c r="U342" s="65"/>
      <c r="V342" s="65"/>
      <c r="W342" s="65"/>
      <c r="X342" s="65"/>
      <c r="Y342" s="65"/>
      <c r="Z342" s="37"/>
      <c r="AA342" s="37"/>
      <c r="AB342" s="167"/>
    </row>
    <row r="343" spans="1:28" s="28" customFormat="1" x14ac:dyDescent="0.25">
      <c r="A343" s="35">
        <v>45970</v>
      </c>
      <c r="B343" s="36"/>
      <c r="C343" s="37"/>
      <c r="D343" s="37"/>
      <c r="E343" s="65"/>
      <c r="F343" s="65"/>
      <c r="G343" s="65"/>
      <c r="H343" s="65"/>
      <c r="I343" s="38"/>
      <c r="J343" s="65"/>
      <c r="K343" s="37"/>
      <c r="L343" s="37"/>
      <c r="M343" s="37"/>
      <c r="N343" s="37"/>
      <c r="O343" s="37"/>
      <c r="P343" s="37"/>
      <c r="Q343" s="37"/>
      <c r="R343" s="65"/>
      <c r="S343" s="65"/>
      <c r="T343" s="65"/>
      <c r="U343" s="65"/>
      <c r="V343" s="65"/>
      <c r="W343" s="65"/>
      <c r="X343" s="65"/>
      <c r="Y343" s="65"/>
      <c r="Z343" s="37"/>
      <c r="AA343" s="37"/>
      <c r="AB343" s="167"/>
    </row>
    <row r="344" spans="1:28" s="28" customFormat="1" x14ac:dyDescent="0.25">
      <c r="A344" s="35">
        <v>45971</v>
      </c>
      <c r="B344" s="36"/>
      <c r="C344" s="37"/>
      <c r="D344" s="37"/>
      <c r="E344" s="65"/>
      <c r="F344" s="65"/>
      <c r="G344" s="65"/>
      <c r="H344" s="65"/>
      <c r="I344" s="38"/>
      <c r="J344" s="37"/>
      <c r="K344" s="37"/>
      <c r="L344" s="37"/>
      <c r="M344" s="37"/>
      <c r="N344" s="37"/>
      <c r="O344" s="37"/>
      <c r="P344" s="37"/>
      <c r="Q344" s="37"/>
      <c r="R344" s="65"/>
      <c r="S344" s="65"/>
      <c r="T344" s="65"/>
      <c r="U344" s="65"/>
      <c r="V344" s="65"/>
      <c r="W344" s="65"/>
      <c r="X344" s="65"/>
      <c r="Y344" s="65"/>
      <c r="Z344" s="37"/>
      <c r="AA344" s="37"/>
      <c r="AB344" s="167"/>
    </row>
    <row r="345" spans="1:28" s="28" customFormat="1" x14ac:dyDescent="0.25">
      <c r="A345" s="35">
        <v>45972</v>
      </c>
      <c r="B345" s="36"/>
      <c r="C345" s="37"/>
      <c r="D345" s="37"/>
      <c r="E345" s="65"/>
      <c r="F345" s="65"/>
      <c r="G345" s="65"/>
      <c r="H345" s="65"/>
      <c r="I345" s="38"/>
      <c r="J345" s="36"/>
      <c r="K345" s="36"/>
      <c r="L345" s="37"/>
      <c r="M345" s="37"/>
      <c r="N345" s="37"/>
      <c r="O345" s="37"/>
      <c r="P345" s="37"/>
      <c r="Q345" s="37"/>
      <c r="R345" s="65"/>
      <c r="S345" s="65"/>
      <c r="T345" s="65"/>
      <c r="U345" s="65"/>
      <c r="V345" s="65"/>
      <c r="W345" s="65"/>
      <c r="X345" s="65"/>
      <c r="Y345" s="65"/>
      <c r="Z345" s="37"/>
      <c r="AA345" s="37"/>
      <c r="AB345" s="167"/>
    </row>
    <row r="346" spans="1:28" s="28" customFormat="1" x14ac:dyDescent="0.25">
      <c r="A346" s="35">
        <v>45973</v>
      </c>
      <c r="B346" s="36"/>
      <c r="C346" s="37"/>
      <c r="D346" s="37"/>
      <c r="E346" s="65"/>
      <c r="F346" s="65"/>
      <c r="G346" s="65"/>
      <c r="H346" s="65"/>
      <c r="I346" s="38"/>
      <c r="J346" s="37"/>
      <c r="K346" s="37"/>
      <c r="L346" s="37"/>
      <c r="M346" s="37"/>
      <c r="N346" s="37"/>
      <c r="O346" s="37"/>
      <c r="P346" s="37"/>
      <c r="Q346" s="37"/>
      <c r="R346" s="65"/>
      <c r="S346" s="65"/>
      <c r="T346" s="65"/>
      <c r="U346" s="65"/>
      <c r="V346" s="65"/>
      <c r="W346" s="65"/>
      <c r="X346" s="65"/>
      <c r="Y346" s="65"/>
      <c r="Z346" s="37"/>
      <c r="AA346" s="37"/>
      <c r="AB346" s="167"/>
    </row>
    <row r="347" spans="1:28" s="28" customFormat="1" x14ac:dyDescent="0.25">
      <c r="A347" s="35">
        <v>45974</v>
      </c>
      <c r="B347" s="36"/>
      <c r="C347" s="37"/>
      <c r="D347" s="37"/>
      <c r="E347" s="65"/>
      <c r="F347" s="65"/>
      <c r="G347" s="65"/>
      <c r="H347" s="65"/>
      <c r="I347" s="38"/>
      <c r="J347" s="37"/>
      <c r="K347" s="37"/>
      <c r="L347" s="37"/>
      <c r="M347" s="37"/>
      <c r="N347" s="37"/>
      <c r="O347" s="37"/>
      <c r="P347" s="37"/>
      <c r="Q347" s="37"/>
      <c r="R347" s="65"/>
      <c r="S347" s="65"/>
      <c r="T347" s="65"/>
      <c r="U347" s="65"/>
      <c r="V347" s="65"/>
      <c r="W347" s="65"/>
      <c r="X347" s="65"/>
      <c r="Y347" s="65"/>
      <c r="Z347" s="37"/>
      <c r="AA347" s="37"/>
      <c r="AB347" s="167"/>
    </row>
    <row r="348" spans="1:28" s="28" customFormat="1" x14ac:dyDescent="0.25">
      <c r="A348" s="35">
        <v>45975</v>
      </c>
      <c r="B348" s="36"/>
      <c r="C348" s="37"/>
      <c r="D348" s="37"/>
      <c r="E348" s="65"/>
      <c r="F348" s="65"/>
      <c r="G348" s="65"/>
      <c r="H348" s="65"/>
      <c r="I348" s="38"/>
      <c r="J348" s="37"/>
      <c r="K348" s="37"/>
      <c r="L348" s="37"/>
      <c r="M348" s="37"/>
      <c r="N348" s="37"/>
      <c r="O348" s="37"/>
      <c r="P348" s="37"/>
      <c r="Q348" s="37"/>
      <c r="R348" s="65"/>
      <c r="S348" s="65"/>
      <c r="T348" s="65"/>
      <c r="U348" s="65"/>
      <c r="V348" s="65"/>
      <c r="W348" s="65"/>
      <c r="X348" s="65"/>
      <c r="Y348" s="65"/>
      <c r="Z348" s="37"/>
      <c r="AA348" s="37"/>
      <c r="AB348" s="167"/>
    </row>
    <row r="349" spans="1:28" s="28" customFormat="1" x14ac:dyDescent="0.25">
      <c r="A349" s="35">
        <v>45976</v>
      </c>
      <c r="B349" s="36"/>
      <c r="C349" s="37"/>
      <c r="D349" s="37"/>
      <c r="E349" s="65"/>
      <c r="F349" s="65"/>
      <c r="G349" s="65"/>
      <c r="H349" s="65"/>
      <c r="I349" s="38"/>
      <c r="J349" s="65"/>
      <c r="K349" s="36"/>
      <c r="L349" s="37"/>
      <c r="M349" s="37"/>
      <c r="N349" s="37"/>
      <c r="O349" s="37"/>
      <c r="P349" s="37"/>
      <c r="Q349" s="37"/>
      <c r="R349" s="65"/>
      <c r="S349" s="65"/>
      <c r="T349" s="65"/>
      <c r="U349" s="65"/>
      <c r="V349" s="65"/>
      <c r="W349" s="65"/>
      <c r="X349" s="65"/>
      <c r="Y349" s="65"/>
      <c r="Z349" s="37"/>
      <c r="AA349" s="37"/>
      <c r="AB349" s="167"/>
    </row>
    <row r="350" spans="1:28" s="28" customFormat="1" x14ac:dyDescent="0.25">
      <c r="A350" s="35">
        <v>45976</v>
      </c>
      <c r="B350" s="36"/>
      <c r="C350" s="37"/>
      <c r="D350" s="37"/>
      <c r="E350" s="65"/>
      <c r="F350" s="65"/>
      <c r="G350" s="65"/>
      <c r="H350" s="65"/>
      <c r="I350" s="38"/>
      <c r="J350" s="39"/>
      <c r="K350" s="36"/>
      <c r="L350" s="37"/>
      <c r="M350" s="37"/>
      <c r="N350" s="37"/>
      <c r="O350" s="37"/>
      <c r="P350" s="37"/>
      <c r="Q350" s="37"/>
      <c r="R350" s="65"/>
      <c r="S350" s="65"/>
      <c r="T350" s="65"/>
      <c r="U350" s="65"/>
      <c r="V350" s="65"/>
      <c r="W350" s="65"/>
      <c r="X350" s="65"/>
      <c r="Y350" s="65"/>
      <c r="Z350" s="37"/>
      <c r="AA350" s="37"/>
      <c r="AB350" s="167"/>
    </row>
    <row r="351" spans="1:28" s="28" customFormat="1" x14ac:dyDescent="0.25">
      <c r="A351" s="35">
        <v>45977</v>
      </c>
      <c r="B351" s="36"/>
      <c r="C351" s="37"/>
      <c r="D351" s="37"/>
      <c r="E351" s="65"/>
      <c r="F351" s="65"/>
      <c r="G351" s="65"/>
      <c r="H351" s="65"/>
      <c r="I351" s="38"/>
      <c r="J351" s="65"/>
      <c r="K351" s="37"/>
      <c r="L351" s="37"/>
      <c r="M351" s="37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37"/>
      <c r="AA351" s="37"/>
      <c r="AB351" s="167"/>
    </row>
    <row r="352" spans="1:28" s="28" customFormat="1" x14ac:dyDescent="0.25">
      <c r="A352" s="35">
        <v>45978</v>
      </c>
      <c r="B352" s="36"/>
      <c r="C352" s="37"/>
      <c r="D352" s="37"/>
      <c r="E352" s="65"/>
      <c r="F352" s="65"/>
      <c r="G352" s="65"/>
      <c r="H352" s="65"/>
      <c r="I352" s="38"/>
      <c r="J352" s="37"/>
      <c r="K352" s="37"/>
      <c r="L352" s="37"/>
      <c r="M352" s="37"/>
      <c r="N352" s="37"/>
      <c r="O352" s="37"/>
      <c r="P352" s="37"/>
      <c r="Q352" s="37"/>
      <c r="R352" s="65"/>
      <c r="S352" s="65"/>
      <c r="T352" s="65"/>
      <c r="U352" s="65"/>
      <c r="V352" s="65"/>
      <c r="W352" s="65"/>
      <c r="X352" s="65"/>
      <c r="Y352" s="65"/>
      <c r="Z352" s="37"/>
      <c r="AA352" s="37"/>
      <c r="AB352" s="167"/>
    </row>
    <row r="353" spans="1:28" s="28" customFormat="1" x14ac:dyDescent="0.25">
      <c r="A353" s="35">
        <v>45979</v>
      </c>
      <c r="B353" s="36"/>
      <c r="C353" s="37"/>
      <c r="D353" s="37"/>
      <c r="E353" s="65"/>
      <c r="F353" s="65"/>
      <c r="G353" s="65"/>
      <c r="H353" s="65"/>
      <c r="I353" s="38"/>
      <c r="J353" s="37"/>
      <c r="K353" s="37"/>
      <c r="L353" s="37"/>
      <c r="M353" s="37"/>
      <c r="N353" s="37"/>
      <c r="O353" s="37"/>
      <c r="P353" s="37"/>
      <c r="Q353" s="37"/>
      <c r="R353" s="65"/>
      <c r="S353" s="65"/>
      <c r="T353" s="65"/>
      <c r="U353" s="130"/>
      <c r="V353" s="65"/>
      <c r="W353" s="65"/>
      <c r="X353" s="65"/>
      <c r="Y353" s="37"/>
      <c r="Z353" s="37"/>
      <c r="AA353" s="37"/>
      <c r="AB353" s="167"/>
    </row>
    <row r="354" spans="1:28" s="28" customFormat="1" x14ac:dyDescent="0.25">
      <c r="A354" s="35">
        <v>45980</v>
      </c>
      <c r="B354" s="36"/>
      <c r="C354" s="37"/>
      <c r="D354" s="37"/>
      <c r="E354" s="65"/>
      <c r="F354" s="65"/>
      <c r="G354" s="65"/>
      <c r="H354" s="65"/>
      <c r="I354" s="38"/>
      <c r="J354" s="37"/>
      <c r="K354" s="36"/>
      <c r="L354" s="37"/>
      <c r="M354" s="37"/>
      <c r="N354" s="37"/>
      <c r="O354" s="37"/>
      <c r="P354" s="37"/>
      <c r="Q354" s="37"/>
      <c r="R354" s="65"/>
      <c r="S354" s="65"/>
      <c r="T354" s="65"/>
      <c r="U354" s="65"/>
      <c r="V354" s="65"/>
      <c r="W354" s="65"/>
      <c r="X354" s="65"/>
      <c r="Y354" s="65"/>
      <c r="Z354" s="37"/>
      <c r="AA354" s="37"/>
      <c r="AB354" s="167"/>
    </row>
    <row r="355" spans="1:28" s="28" customFormat="1" x14ac:dyDescent="0.25">
      <c r="A355" s="35">
        <v>45981</v>
      </c>
      <c r="B355" s="36"/>
      <c r="C355" s="37"/>
      <c r="D355" s="37"/>
      <c r="E355" s="65"/>
      <c r="F355" s="65"/>
      <c r="G355" s="65"/>
      <c r="H355" s="65"/>
      <c r="I355" s="38"/>
      <c r="J355" s="65"/>
      <c r="K355" s="37"/>
      <c r="L355" s="37"/>
      <c r="M355" s="37"/>
      <c r="N355" s="37"/>
      <c r="O355" s="37"/>
      <c r="P355" s="37"/>
      <c r="Q355" s="37"/>
      <c r="R355" s="65"/>
      <c r="S355" s="65"/>
      <c r="T355" s="65"/>
      <c r="U355" s="65"/>
      <c r="V355" s="65"/>
      <c r="W355" s="65"/>
      <c r="X355" s="65"/>
      <c r="Y355" s="65"/>
      <c r="Z355" s="37"/>
      <c r="AA355" s="37"/>
      <c r="AB355" s="167"/>
    </row>
    <row r="356" spans="1:28" s="28" customFormat="1" x14ac:dyDescent="0.25">
      <c r="A356" s="35">
        <v>45982</v>
      </c>
      <c r="B356" s="36"/>
      <c r="C356" s="37"/>
      <c r="D356" s="37"/>
      <c r="E356" s="65"/>
      <c r="F356" s="65"/>
      <c r="G356" s="65"/>
      <c r="H356" s="65"/>
      <c r="I356" s="38"/>
      <c r="J356" s="37"/>
      <c r="K356" s="37"/>
      <c r="L356" s="37"/>
      <c r="M356" s="37"/>
      <c r="N356" s="37"/>
      <c r="O356" s="37"/>
      <c r="P356" s="37"/>
      <c r="Q356" s="37"/>
      <c r="R356" s="65"/>
      <c r="S356" s="65"/>
      <c r="T356" s="65"/>
      <c r="U356" s="65"/>
      <c r="V356" s="65"/>
      <c r="W356" s="65"/>
      <c r="X356" s="65"/>
      <c r="Y356" s="65"/>
      <c r="Z356" s="37"/>
      <c r="AA356" s="37"/>
      <c r="AB356" s="167"/>
    </row>
    <row r="357" spans="1:28" s="28" customFormat="1" x14ac:dyDescent="0.25">
      <c r="A357" s="35">
        <v>45983</v>
      </c>
      <c r="B357" s="36"/>
      <c r="C357" s="37"/>
      <c r="D357" s="37"/>
      <c r="E357" s="65"/>
      <c r="F357" s="65"/>
      <c r="G357" s="65"/>
      <c r="H357" s="65"/>
      <c r="I357" s="38"/>
      <c r="J357" s="65"/>
      <c r="K357" s="37"/>
      <c r="L357" s="37"/>
      <c r="M357" s="37"/>
      <c r="N357" s="37"/>
      <c r="O357" s="37"/>
      <c r="P357" s="37"/>
      <c r="Q357" s="37"/>
      <c r="R357" s="65"/>
      <c r="S357" s="65"/>
      <c r="T357" s="65"/>
      <c r="U357" s="65"/>
      <c r="V357" s="65"/>
      <c r="W357" s="65"/>
      <c r="X357" s="65"/>
      <c r="Y357" s="65"/>
      <c r="Z357" s="37"/>
      <c r="AA357" s="37"/>
      <c r="AB357" s="167"/>
    </row>
    <row r="358" spans="1:28" s="28" customFormat="1" x14ac:dyDescent="0.25">
      <c r="A358" s="35">
        <v>45983</v>
      </c>
      <c r="B358" s="36"/>
      <c r="C358" s="37"/>
      <c r="D358" s="37"/>
      <c r="E358" s="65"/>
      <c r="F358" s="65"/>
      <c r="G358" s="65"/>
      <c r="H358" s="65"/>
      <c r="I358" s="38"/>
      <c r="J358" s="39"/>
      <c r="K358" s="36"/>
      <c r="L358" s="37"/>
      <c r="M358" s="37"/>
      <c r="N358" s="37"/>
      <c r="O358" s="37"/>
      <c r="P358" s="37"/>
      <c r="Q358" s="37"/>
      <c r="R358" s="65"/>
      <c r="S358" s="65"/>
      <c r="T358" s="65"/>
      <c r="U358" s="65"/>
      <c r="V358" s="65"/>
      <c r="W358" s="65"/>
      <c r="X358" s="65"/>
      <c r="Y358" s="65"/>
      <c r="Z358" s="37"/>
      <c r="AA358" s="37"/>
      <c r="AB358" s="167"/>
    </row>
    <row r="359" spans="1:28" s="28" customFormat="1" x14ac:dyDescent="0.25">
      <c r="A359" s="35">
        <v>45984</v>
      </c>
      <c r="B359" s="36"/>
      <c r="C359" s="37"/>
      <c r="D359" s="37"/>
      <c r="E359" s="65"/>
      <c r="F359" s="65"/>
      <c r="G359" s="65"/>
      <c r="H359" s="65"/>
      <c r="I359" s="38"/>
      <c r="J359" s="65"/>
      <c r="K359" s="37"/>
      <c r="L359" s="37"/>
      <c r="M359" s="37"/>
      <c r="N359" s="37"/>
      <c r="O359" s="37"/>
      <c r="P359" s="37"/>
      <c r="Q359" s="37"/>
      <c r="R359" s="65"/>
      <c r="S359" s="65"/>
      <c r="T359" s="65"/>
      <c r="U359" s="65"/>
      <c r="V359" s="65"/>
      <c r="W359" s="65"/>
      <c r="X359" s="65"/>
      <c r="Y359" s="65"/>
      <c r="Z359" s="37"/>
      <c r="AA359" s="37"/>
      <c r="AB359" s="167"/>
    </row>
    <row r="360" spans="1:28" s="28" customFormat="1" x14ac:dyDescent="0.25">
      <c r="A360" s="35">
        <v>45985</v>
      </c>
      <c r="B360" s="36"/>
      <c r="C360" s="37"/>
      <c r="D360" s="37"/>
      <c r="E360" s="65"/>
      <c r="F360" s="65"/>
      <c r="G360" s="65"/>
      <c r="H360" s="65"/>
      <c r="I360" s="38"/>
      <c r="J360" s="37"/>
      <c r="K360" s="37"/>
      <c r="L360" s="37"/>
      <c r="M360" s="37"/>
      <c r="N360" s="37"/>
      <c r="O360" s="37"/>
      <c r="P360" s="37"/>
      <c r="Q360" s="37"/>
      <c r="R360" s="65"/>
      <c r="S360" s="65"/>
      <c r="T360" s="65"/>
      <c r="U360" s="65"/>
      <c r="V360" s="65"/>
      <c r="W360" s="65"/>
      <c r="X360" s="65"/>
      <c r="Y360" s="65"/>
      <c r="Z360" s="37"/>
      <c r="AA360" s="37"/>
      <c r="AB360" s="167"/>
    </row>
    <row r="361" spans="1:28" s="28" customFormat="1" x14ac:dyDescent="0.25">
      <c r="A361" s="35">
        <v>45986</v>
      </c>
      <c r="B361" s="36"/>
      <c r="C361" s="37"/>
      <c r="D361" s="37"/>
      <c r="E361" s="65"/>
      <c r="F361" s="65"/>
      <c r="G361" s="65"/>
      <c r="H361" s="65"/>
      <c r="I361" s="38"/>
      <c r="J361" s="65"/>
      <c r="K361" s="36"/>
      <c r="L361" s="37"/>
      <c r="M361" s="37"/>
      <c r="N361" s="37"/>
      <c r="O361" s="37"/>
      <c r="P361" s="37"/>
      <c r="Q361" s="37"/>
      <c r="R361" s="65"/>
      <c r="S361" s="65"/>
      <c r="T361" s="65"/>
      <c r="U361" s="65"/>
      <c r="V361" s="65"/>
      <c r="W361" s="65"/>
      <c r="X361" s="65"/>
      <c r="Y361" s="65"/>
      <c r="Z361" s="37"/>
      <c r="AA361" s="37"/>
      <c r="AB361" s="167"/>
    </row>
    <row r="362" spans="1:28" s="28" customFormat="1" x14ac:dyDescent="0.25">
      <c r="A362" s="35">
        <v>45987</v>
      </c>
      <c r="B362" s="36"/>
      <c r="C362" s="37"/>
      <c r="D362" s="37"/>
      <c r="E362" s="65"/>
      <c r="F362" s="65"/>
      <c r="G362" s="65"/>
      <c r="H362" s="65"/>
      <c r="I362" s="38"/>
      <c r="J362" s="37"/>
      <c r="K362" s="37"/>
      <c r="L362" s="37"/>
      <c r="M362" s="37"/>
      <c r="N362" s="37"/>
      <c r="O362" s="37"/>
      <c r="P362" s="37"/>
      <c r="Q362" s="37"/>
      <c r="R362" s="65"/>
      <c r="S362" s="65"/>
      <c r="T362" s="65"/>
      <c r="U362" s="65"/>
      <c r="V362" s="65"/>
      <c r="W362" s="65"/>
      <c r="X362" s="65"/>
      <c r="Y362" s="65"/>
      <c r="Z362" s="37"/>
      <c r="AA362" s="37"/>
      <c r="AB362" s="167"/>
    </row>
    <row r="363" spans="1:28" s="28" customFormat="1" x14ac:dyDescent="0.25">
      <c r="A363" s="35">
        <v>45988</v>
      </c>
      <c r="B363" s="36"/>
      <c r="C363" s="37"/>
      <c r="D363" s="37"/>
      <c r="E363" s="65"/>
      <c r="F363" s="65"/>
      <c r="G363" s="65"/>
      <c r="H363" s="65"/>
      <c r="I363" s="38"/>
      <c r="J363" s="37"/>
      <c r="K363" s="37"/>
      <c r="L363" s="37"/>
      <c r="M363" s="37"/>
      <c r="N363" s="37"/>
      <c r="O363" s="37"/>
      <c r="P363" s="37"/>
      <c r="Q363" s="37"/>
      <c r="R363" s="65"/>
      <c r="S363" s="65"/>
      <c r="T363" s="65"/>
      <c r="U363" s="65"/>
      <c r="V363" s="65"/>
      <c r="W363" s="65"/>
      <c r="X363" s="65"/>
      <c r="Y363" s="65"/>
      <c r="Z363" s="37"/>
      <c r="AA363" s="37"/>
      <c r="AB363" s="167"/>
    </row>
    <row r="364" spans="1:28" s="28" customFormat="1" x14ac:dyDescent="0.25">
      <c r="A364" s="35">
        <v>45989</v>
      </c>
      <c r="B364" s="36"/>
      <c r="C364" s="37"/>
      <c r="D364" s="37"/>
      <c r="E364" s="65"/>
      <c r="F364" s="65"/>
      <c r="G364" s="65"/>
      <c r="H364" s="65"/>
      <c r="I364" s="38"/>
      <c r="J364" s="65"/>
      <c r="K364" s="37"/>
      <c r="L364" s="37"/>
      <c r="M364" s="37"/>
      <c r="N364" s="37"/>
      <c r="O364" s="37"/>
      <c r="P364" s="37"/>
      <c r="Q364" s="37"/>
      <c r="R364" s="65"/>
      <c r="S364" s="65"/>
      <c r="T364" s="65"/>
      <c r="U364" s="65"/>
      <c r="V364" s="65"/>
      <c r="W364" s="65"/>
      <c r="X364" s="65"/>
      <c r="Y364" s="65"/>
      <c r="Z364" s="37"/>
      <c r="AA364" s="37"/>
      <c r="AB364" s="167"/>
    </row>
    <row r="365" spans="1:28" s="28" customFormat="1" x14ac:dyDescent="0.25">
      <c r="A365" s="35">
        <v>45990</v>
      </c>
      <c r="B365" s="36"/>
      <c r="C365" s="37"/>
      <c r="D365" s="37"/>
      <c r="E365" s="65"/>
      <c r="F365" s="65"/>
      <c r="G365" s="65"/>
      <c r="H365" s="65"/>
      <c r="I365" s="38"/>
      <c r="J365" s="65"/>
      <c r="K365" s="37"/>
      <c r="L365" s="37"/>
      <c r="M365" s="37"/>
      <c r="N365" s="37"/>
      <c r="O365" s="37"/>
      <c r="P365" s="37"/>
      <c r="Q365" s="37"/>
      <c r="R365" s="65"/>
      <c r="S365" s="65"/>
      <c r="T365" s="65"/>
      <c r="U365" s="65"/>
      <c r="V365" s="65"/>
      <c r="W365" s="65"/>
      <c r="X365" s="65"/>
      <c r="Y365" s="65"/>
      <c r="Z365" s="37"/>
      <c r="AA365" s="37"/>
      <c r="AB365" s="167"/>
    </row>
    <row r="366" spans="1:28" s="28" customFormat="1" x14ac:dyDescent="0.25">
      <c r="A366" s="35">
        <v>45990</v>
      </c>
      <c r="B366" s="36"/>
      <c r="C366" s="37"/>
      <c r="D366" s="37"/>
      <c r="E366" s="65"/>
      <c r="F366" s="65"/>
      <c r="G366" s="65"/>
      <c r="H366" s="65"/>
      <c r="I366" s="38"/>
      <c r="J366" s="39"/>
      <c r="K366" s="36"/>
      <c r="L366" s="37"/>
      <c r="M366" s="37"/>
      <c r="N366" s="37"/>
      <c r="O366" s="37"/>
      <c r="P366" s="37"/>
      <c r="Q366" s="37"/>
      <c r="R366" s="65"/>
      <c r="S366" s="65"/>
      <c r="T366" s="65"/>
      <c r="U366" s="65"/>
      <c r="V366" s="65"/>
      <c r="W366" s="65"/>
      <c r="X366" s="65"/>
      <c r="Y366" s="65"/>
      <c r="Z366" s="37"/>
      <c r="AA366" s="37"/>
      <c r="AB366" s="167"/>
    </row>
    <row r="367" spans="1:28" s="28" customFormat="1" x14ac:dyDescent="0.25">
      <c r="A367" s="35">
        <v>45991</v>
      </c>
      <c r="B367" s="36"/>
      <c r="C367" s="37"/>
      <c r="D367" s="37"/>
      <c r="E367" s="65"/>
      <c r="F367" s="65"/>
      <c r="G367" s="65"/>
      <c r="H367" s="65"/>
      <c r="I367" s="38"/>
      <c r="J367" s="65"/>
      <c r="K367" s="37"/>
      <c r="L367" s="37"/>
      <c r="M367" s="37"/>
      <c r="N367" s="37"/>
      <c r="O367" s="37"/>
      <c r="P367" s="37"/>
      <c r="Q367" s="37"/>
      <c r="R367" s="65"/>
      <c r="S367" s="65"/>
      <c r="T367" s="65"/>
      <c r="U367" s="65"/>
      <c r="V367" s="65"/>
      <c r="W367" s="65"/>
      <c r="X367" s="65"/>
      <c r="Y367" s="65"/>
      <c r="Z367" s="37"/>
      <c r="AA367" s="37"/>
      <c r="AB367" s="167"/>
    </row>
    <row r="368" spans="1:28" s="28" customFormat="1" x14ac:dyDescent="0.25">
      <c r="A368" s="35">
        <v>45992</v>
      </c>
      <c r="B368" s="36"/>
      <c r="C368" s="37"/>
      <c r="D368" s="37"/>
      <c r="E368" s="65"/>
      <c r="F368" s="65"/>
      <c r="G368" s="65"/>
      <c r="H368" s="65"/>
      <c r="I368" s="38"/>
      <c r="J368" s="65"/>
      <c r="K368" s="37"/>
      <c r="L368" s="37"/>
      <c r="M368" s="37"/>
      <c r="N368" s="37"/>
      <c r="O368" s="37"/>
      <c r="P368" s="37"/>
      <c r="Q368" s="37"/>
      <c r="R368" s="65"/>
      <c r="S368" s="65"/>
      <c r="T368" s="65"/>
      <c r="U368" s="65"/>
      <c r="V368" s="65"/>
      <c r="W368" s="65"/>
      <c r="X368" s="65"/>
      <c r="Y368" s="65"/>
      <c r="Z368" s="37"/>
      <c r="AA368" s="37"/>
      <c r="AB368" s="167"/>
    </row>
    <row r="369" spans="1:28" s="28" customFormat="1" x14ac:dyDescent="0.25">
      <c r="A369" s="35">
        <v>45993</v>
      </c>
      <c r="B369" s="36"/>
      <c r="C369" s="37"/>
      <c r="D369" s="37"/>
      <c r="E369" s="65"/>
      <c r="F369" s="65"/>
      <c r="G369" s="65"/>
      <c r="H369" s="65"/>
      <c r="I369" s="38"/>
      <c r="J369" s="37"/>
      <c r="K369" s="37"/>
      <c r="L369" s="37"/>
      <c r="M369" s="37"/>
      <c r="N369" s="37"/>
      <c r="O369" s="37"/>
      <c r="P369" s="37"/>
      <c r="Q369" s="37"/>
      <c r="R369" s="65"/>
      <c r="S369" s="65"/>
      <c r="T369" s="65"/>
      <c r="U369" s="65"/>
      <c r="V369" s="65"/>
      <c r="W369" s="65"/>
      <c r="X369" s="37"/>
      <c r="Y369" s="65"/>
      <c r="Z369" s="37"/>
      <c r="AA369" s="37"/>
      <c r="AB369" s="167"/>
    </row>
    <row r="370" spans="1:28" s="28" customFormat="1" x14ac:dyDescent="0.25">
      <c r="A370" s="35">
        <v>45994</v>
      </c>
      <c r="B370" s="36"/>
      <c r="C370" s="37"/>
      <c r="D370" s="37"/>
      <c r="E370" s="65"/>
      <c r="F370" s="65"/>
      <c r="G370" s="65"/>
      <c r="H370" s="65"/>
      <c r="I370" s="38"/>
      <c r="J370" s="37"/>
      <c r="K370" s="37"/>
      <c r="L370" s="37"/>
      <c r="M370" s="37"/>
      <c r="N370" s="37"/>
      <c r="O370" s="37"/>
      <c r="P370" s="37"/>
      <c r="Q370" s="37"/>
      <c r="R370" s="65"/>
      <c r="S370" s="65"/>
      <c r="T370" s="65"/>
      <c r="U370" s="65"/>
      <c r="V370" s="65"/>
      <c r="W370" s="65"/>
      <c r="X370" s="65"/>
      <c r="Y370" s="65"/>
      <c r="Z370" s="37"/>
      <c r="AA370" s="37"/>
      <c r="AB370" s="167"/>
    </row>
    <row r="371" spans="1:28" s="28" customFormat="1" x14ac:dyDescent="0.25">
      <c r="A371" s="35">
        <v>45995</v>
      </c>
      <c r="B371" s="36"/>
      <c r="C371" s="37"/>
      <c r="D371" s="37"/>
      <c r="E371" s="65"/>
      <c r="F371" s="65"/>
      <c r="G371" s="65"/>
      <c r="H371" s="65"/>
      <c r="I371" s="38"/>
      <c r="J371" s="37"/>
      <c r="K371" s="37"/>
      <c r="L371" s="37"/>
      <c r="M371" s="37"/>
      <c r="N371" s="37"/>
      <c r="O371" s="37"/>
      <c r="P371" s="37"/>
      <c r="Q371" s="37"/>
      <c r="R371" s="65"/>
      <c r="S371" s="65"/>
      <c r="T371" s="65"/>
      <c r="U371" s="65"/>
      <c r="V371" s="65"/>
      <c r="W371" s="65"/>
      <c r="X371" s="65"/>
      <c r="Y371" s="65"/>
      <c r="Z371" s="37"/>
      <c r="AA371" s="37"/>
      <c r="AB371" s="167"/>
    </row>
    <row r="372" spans="1:28" s="28" customFormat="1" x14ac:dyDescent="0.25">
      <c r="A372" s="35">
        <v>45996</v>
      </c>
      <c r="B372" s="36"/>
      <c r="C372" s="37"/>
      <c r="D372" s="37"/>
      <c r="E372" s="65"/>
      <c r="F372" s="65"/>
      <c r="G372" s="65"/>
      <c r="H372" s="65"/>
      <c r="I372" s="38"/>
      <c r="J372" s="37"/>
      <c r="K372" s="37"/>
      <c r="L372" s="37"/>
      <c r="M372" s="37"/>
      <c r="N372" s="37"/>
      <c r="O372" s="37"/>
      <c r="P372" s="37"/>
      <c r="Q372" s="37"/>
      <c r="R372" s="65"/>
      <c r="S372" s="65"/>
      <c r="T372" s="65"/>
      <c r="U372" s="65"/>
      <c r="V372" s="65"/>
      <c r="W372" s="65"/>
      <c r="X372" s="65"/>
      <c r="Y372" s="65"/>
      <c r="Z372" s="37"/>
      <c r="AA372" s="37"/>
      <c r="AB372" s="167"/>
    </row>
    <row r="373" spans="1:28" s="28" customFormat="1" x14ac:dyDescent="0.25">
      <c r="A373" s="35">
        <v>45997</v>
      </c>
      <c r="B373" s="36"/>
      <c r="C373" s="37"/>
      <c r="D373" s="37"/>
      <c r="E373" s="65"/>
      <c r="F373" s="65"/>
      <c r="G373" s="65"/>
      <c r="H373" s="65"/>
      <c r="I373" s="38"/>
      <c r="J373" s="37"/>
      <c r="K373" s="37"/>
      <c r="L373" s="37"/>
      <c r="M373" s="37"/>
      <c r="N373" s="37"/>
      <c r="O373" s="37"/>
      <c r="P373" s="37"/>
      <c r="Q373" s="37"/>
      <c r="R373" s="65"/>
      <c r="S373" s="65"/>
      <c r="T373" s="65"/>
      <c r="U373" s="65"/>
      <c r="V373" s="65"/>
      <c r="W373" s="65"/>
      <c r="X373" s="65"/>
      <c r="Y373" s="65"/>
      <c r="Z373" s="37"/>
      <c r="AA373" s="37"/>
      <c r="AB373" s="167"/>
    </row>
    <row r="374" spans="1:28" s="28" customFormat="1" x14ac:dyDescent="0.25">
      <c r="A374" s="35">
        <v>45997</v>
      </c>
      <c r="B374" s="36"/>
      <c r="C374" s="37"/>
      <c r="D374" s="37"/>
      <c r="E374" s="65"/>
      <c r="F374" s="65"/>
      <c r="G374" s="65"/>
      <c r="H374" s="65"/>
      <c r="I374" s="38"/>
      <c r="J374" s="39"/>
      <c r="K374" s="36"/>
      <c r="L374" s="37"/>
      <c r="M374" s="37"/>
      <c r="N374" s="37"/>
      <c r="O374" s="37"/>
      <c r="P374" s="37"/>
      <c r="Q374" s="37"/>
      <c r="R374" s="65"/>
      <c r="S374" s="65"/>
      <c r="T374" s="65"/>
      <c r="U374" s="65"/>
      <c r="V374" s="65"/>
      <c r="W374" s="65"/>
      <c r="X374" s="65"/>
      <c r="Y374" s="65"/>
      <c r="Z374" s="37"/>
      <c r="AA374" s="37"/>
      <c r="AB374" s="167"/>
    </row>
    <row r="375" spans="1:28" s="28" customFormat="1" x14ac:dyDescent="0.25">
      <c r="A375" s="35">
        <v>45998</v>
      </c>
      <c r="B375" s="36"/>
      <c r="C375" s="37"/>
      <c r="D375" s="37"/>
      <c r="E375" s="65"/>
      <c r="F375" s="65"/>
      <c r="G375" s="65"/>
      <c r="H375" s="65"/>
      <c r="I375" s="38"/>
      <c r="J375" s="39"/>
      <c r="K375" s="36"/>
      <c r="L375" s="37"/>
      <c r="M375" s="37"/>
      <c r="N375" s="37"/>
      <c r="O375" s="37"/>
      <c r="P375" s="37"/>
      <c r="Q375" s="37"/>
      <c r="R375" s="65"/>
      <c r="S375" s="65"/>
      <c r="T375" s="65"/>
      <c r="U375" s="65"/>
      <c r="V375" s="65"/>
      <c r="W375" s="65"/>
      <c r="X375" s="65"/>
      <c r="Y375" s="65"/>
      <c r="Z375" s="37"/>
      <c r="AA375" s="37"/>
      <c r="AB375" s="167"/>
    </row>
    <row r="376" spans="1:28" s="28" customFormat="1" x14ac:dyDescent="0.25">
      <c r="A376" s="35">
        <v>45999</v>
      </c>
      <c r="B376" s="36"/>
      <c r="C376" s="37"/>
      <c r="D376" s="37"/>
      <c r="E376" s="65"/>
      <c r="F376" s="65"/>
      <c r="G376" s="65"/>
      <c r="H376" s="65"/>
      <c r="I376" s="38"/>
      <c r="J376" s="65"/>
      <c r="K376" s="37"/>
      <c r="L376" s="37"/>
      <c r="M376" s="37"/>
      <c r="N376" s="37"/>
      <c r="O376" s="37"/>
      <c r="P376" s="37"/>
      <c r="Q376" s="37"/>
      <c r="R376" s="65"/>
      <c r="S376" s="65"/>
      <c r="T376" s="65"/>
      <c r="U376" s="65"/>
      <c r="V376" s="65"/>
      <c r="W376" s="65"/>
      <c r="X376" s="37"/>
      <c r="Y376" s="65"/>
      <c r="Z376" s="37"/>
      <c r="AA376" s="37"/>
      <c r="AB376" s="167"/>
    </row>
    <row r="377" spans="1:28" s="28" customFormat="1" x14ac:dyDescent="0.25">
      <c r="A377" s="35">
        <v>46000</v>
      </c>
      <c r="B377" s="36"/>
      <c r="C377" s="36"/>
      <c r="D377" s="37"/>
      <c r="E377" s="65"/>
      <c r="F377" s="65"/>
      <c r="G377" s="65"/>
      <c r="H377" s="65"/>
      <c r="I377" s="38"/>
      <c r="J377" s="65"/>
      <c r="K377" s="37"/>
      <c r="L377" s="37"/>
      <c r="M377" s="37"/>
      <c r="N377" s="37"/>
      <c r="O377" s="37"/>
      <c r="P377" s="37"/>
      <c r="Q377" s="37"/>
      <c r="R377" s="65"/>
      <c r="S377" s="65"/>
      <c r="T377" s="65"/>
      <c r="U377" s="65"/>
      <c r="V377" s="65"/>
      <c r="W377" s="65"/>
      <c r="X377" s="65"/>
      <c r="Y377" s="65"/>
      <c r="Z377" s="37"/>
      <c r="AA377" s="37"/>
      <c r="AB377" s="167"/>
    </row>
    <row r="378" spans="1:28" s="28" customFormat="1" x14ac:dyDescent="0.25">
      <c r="A378" s="35">
        <v>46001</v>
      </c>
      <c r="B378" s="36"/>
      <c r="C378" s="37"/>
      <c r="D378" s="37"/>
      <c r="E378" s="65"/>
      <c r="F378" s="65"/>
      <c r="G378" s="65"/>
      <c r="H378" s="65"/>
      <c r="I378" s="38"/>
      <c r="J378" s="65"/>
      <c r="K378" s="37"/>
      <c r="L378" s="37"/>
      <c r="M378" s="37"/>
      <c r="N378" s="37"/>
      <c r="O378" s="37"/>
      <c r="P378" s="37"/>
      <c r="Q378" s="37"/>
      <c r="R378" s="65"/>
      <c r="S378" s="65"/>
      <c r="T378" s="65"/>
      <c r="U378" s="65"/>
      <c r="V378" s="65"/>
      <c r="W378" s="65"/>
      <c r="X378" s="65"/>
      <c r="Y378" s="65"/>
      <c r="Z378" s="37"/>
      <c r="AA378" s="37"/>
      <c r="AB378" s="167"/>
    </row>
    <row r="379" spans="1:28" s="28" customFormat="1" x14ac:dyDescent="0.25">
      <c r="A379" s="35">
        <v>46002</v>
      </c>
      <c r="B379" s="36"/>
      <c r="C379" s="37"/>
      <c r="D379" s="37"/>
      <c r="E379" s="65"/>
      <c r="F379" s="65"/>
      <c r="G379" s="65"/>
      <c r="H379" s="65"/>
      <c r="I379" s="38"/>
      <c r="J379" s="65"/>
      <c r="K379" s="37"/>
      <c r="L379" s="37"/>
      <c r="M379" s="37"/>
      <c r="N379" s="37"/>
      <c r="O379" s="37"/>
      <c r="P379" s="37"/>
      <c r="Q379" s="37"/>
      <c r="R379" s="65"/>
      <c r="S379" s="65"/>
      <c r="T379" s="65"/>
      <c r="U379" s="65"/>
      <c r="V379" s="65"/>
      <c r="W379" s="65"/>
      <c r="X379" s="65"/>
      <c r="Y379" s="65"/>
      <c r="Z379" s="37"/>
      <c r="AA379" s="37"/>
      <c r="AB379" s="167"/>
    </row>
    <row r="380" spans="1:28" s="28" customFormat="1" x14ac:dyDescent="0.25">
      <c r="A380" s="35">
        <v>46003</v>
      </c>
      <c r="B380" s="36"/>
      <c r="C380" s="37"/>
      <c r="D380" s="37"/>
      <c r="E380" s="65"/>
      <c r="F380" s="65"/>
      <c r="G380" s="65"/>
      <c r="H380" s="65"/>
      <c r="I380" s="38"/>
      <c r="J380" s="37"/>
      <c r="K380" s="37"/>
      <c r="L380" s="37"/>
      <c r="M380" s="37"/>
      <c r="N380" s="37"/>
      <c r="O380" s="37"/>
      <c r="P380" s="37"/>
      <c r="Q380" s="37"/>
      <c r="R380" s="65"/>
      <c r="S380" s="65"/>
      <c r="T380" s="65"/>
      <c r="U380" s="65"/>
      <c r="V380" s="65"/>
      <c r="W380" s="65"/>
      <c r="X380" s="65"/>
      <c r="Y380" s="65"/>
      <c r="Z380" s="37"/>
      <c r="AA380" s="37"/>
      <c r="AB380" s="167"/>
    </row>
    <row r="381" spans="1:28" s="28" customFormat="1" x14ac:dyDescent="0.25">
      <c r="A381" s="35">
        <v>46004</v>
      </c>
      <c r="B381" s="36"/>
      <c r="C381" s="37"/>
      <c r="D381" s="37"/>
      <c r="E381" s="65"/>
      <c r="F381" s="65"/>
      <c r="G381" s="65"/>
      <c r="H381" s="65"/>
      <c r="I381" s="38"/>
      <c r="J381" s="37"/>
      <c r="K381" s="37"/>
      <c r="L381" s="37"/>
      <c r="M381" s="37"/>
      <c r="N381" s="37"/>
      <c r="O381" s="37"/>
      <c r="P381" s="37"/>
      <c r="Q381" s="37"/>
      <c r="R381" s="65"/>
      <c r="S381" s="65"/>
      <c r="T381" s="65"/>
      <c r="U381" s="65"/>
      <c r="V381" s="65"/>
      <c r="W381" s="65"/>
      <c r="X381" s="65"/>
      <c r="Y381" s="65"/>
      <c r="Z381" s="37"/>
      <c r="AA381" s="37"/>
      <c r="AB381" s="167"/>
    </row>
    <row r="382" spans="1:28" s="28" customFormat="1" x14ac:dyDescent="0.25">
      <c r="A382" s="35">
        <v>46004</v>
      </c>
      <c r="B382" s="36"/>
      <c r="C382" s="37"/>
      <c r="D382" s="37"/>
      <c r="E382" s="65"/>
      <c r="F382" s="65"/>
      <c r="G382" s="65"/>
      <c r="H382" s="65"/>
      <c r="I382" s="38"/>
      <c r="J382" s="39"/>
      <c r="K382" s="36"/>
      <c r="L382" s="37"/>
      <c r="M382" s="37"/>
      <c r="N382" s="37"/>
      <c r="O382" s="37"/>
      <c r="P382" s="37"/>
      <c r="Q382" s="37"/>
      <c r="R382" s="65"/>
      <c r="S382" s="65"/>
      <c r="T382" s="65"/>
      <c r="U382" s="65"/>
      <c r="V382" s="65"/>
      <c r="W382" s="65"/>
      <c r="X382" s="65"/>
      <c r="Y382" s="65"/>
      <c r="Z382" s="37"/>
      <c r="AA382" s="37"/>
      <c r="AB382" s="167"/>
    </row>
    <row r="383" spans="1:28" s="28" customFormat="1" x14ac:dyDescent="0.25">
      <c r="A383" s="35">
        <v>46005</v>
      </c>
      <c r="B383" s="36"/>
      <c r="C383" s="37"/>
      <c r="D383" s="37"/>
      <c r="E383" s="65"/>
      <c r="F383" s="65"/>
      <c r="G383" s="65"/>
      <c r="H383" s="65"/>
      <c r="I383" s="38"/>
      <c r="J383" s="37"/>
      <c r="K383" s="37"/>
      <c r="L383" s="37"/>
      <c r="M383" s="37"/>
      <c r="N383" s="37"/>
      <c r="O383" s="37"/>
      <c r="P383" s="37"/>
      <c r="Q383" s="37"/>
      <c r="R383" s="65"/>
      <c r="S383" s="65"/>
      <c r="T383" s="65"/>
      <c r="U383" s="65"/>
      <c r="V383" s="65"/>
      <c r="W383" s="65"/>
      <c r="X383" s="37"/>
      <c r="Y383" s="65"/>
      <c r="Z383" s="37"/>
      <c r="AA383" s="37"/>
      <c r="AB383" s="167"/>
    </row>
    <row r="384" spans="1:28" s="28" customFormat="1" x14ac:dyDescent="0.25">
      <c r="A384" s="35">
        <v>46006</v>
      </c>
      <c r="B384" s="36"/>
      <c r="C384" s="37"/>
      <c r="D384" s="37"/>
      <c r="E384" s="65"/>
      <c r="F384" s="65"/>
      <c r="G384" s="65"/>
      <c r="H384" s="65"/>
      <c r="I384" s="38"/>
      <c r="J384" s="37"/>
      <c r="K384" s="37"/>
      <c r="L384" s="37"/>
      <c r="M384" s="37"/>
      <c r="N384" s="37"/>
      <c r="O384" s="37"/>
      <c r="P384" s="37"/>
      <c r="Q384" s="37"/>
      <c r="R384" s="65"/>
      <c r="S384" s="65"/>
      <c r="T384" s="65"/>
      <c r="U384" s="65"/>
      <c r="V384" s="65"/>
      <c r="W384" s="65"/>
      <c r="X384" s="37"/>
      <c r="Y384" s="65"/>
      <c r="Z384" s="37"/>
      <c r="AA384" s="37"/>
      <c r="AB384" s="167"/>
    </row>
    <row r="385" spans="1:28" s="28" customFormat="1" x14ac:dyDescent="0.25">
      <c r="A385" s="35">
        <v>46007</v>
      </c>
      <c r="B385" s="36"/>
      <c r="C385" s="37"/>
      <c r="D385" s="37"/>
      <c r="E385" s="65"/>
      <c r="F385" s="65"/>
      <c r="G385" s="65"/>
      <c r="H385" s="65"/>
      <c r="I385" s="38"/>
      <c r="J385" s="37"/>
      <c r="K385" s="37"/>
      <c r="L385" s="37"/>
      <c r="M385" s="37"/>
      <c r="N385" s="37"/>
      <c r="O385" s="37"/>
      <c r="P385" s="37"/>
      <c r="Q385" s="37"/>
      <c r="R385" s="65"/>
      <c r="S385" s="65"/>
      <c r="T385" s="65"/>
      <c r="U385" s="65"/>
      <c r="V385" s="65"/>
      <c r="W385" s="65"/>
      <c r="X385" s="65"/>
      <c r="Y385" s="65"/>
      <c r="Z385" s="37"/>
      <c r="AA385" s="37"/>
      <c r="AB385" s="167"/>
    </row>
    <row r="386" spans="1:28" s="28" customFormat="1" x14ac:dyDescent="0.25">
      <c r="A386" s="35">
        <v>46008</v>
      </c>
      <c r="B386" s="36"/>
      <c r="C386" s="37"/>
      <c r="D386" s="37"/>
      <c r="E386" s="65"/>
      <c r="F386" s="65"/>
      <c r="G386" s="65"/>
      <c r="H386" s="65"/>
      <c r="I386" s="38"/>
      <c r="J386" s="37"/>
      <c r="K386" s="37"/>
      <c r="L386" s="37"/>
      <c r="M386" s="37"/>
      <c r="N386" s="37"/>
      <c r="O386" s="37"/>
      <c r="P386" s="37"/>
      <c r="Q386" s="37"/>
      <c r="R386" s="65"/>
      <c r="S386" s="65"/>
      <c r="T386" s="65"/>
      <c r="U386" s="65"/>
      <c r="V386" s="65"/>
      <c r="W386" s="65"/>
      <c r="X386" s="65"/>
      <c r="Y386" s="65"/>
      <c r="Z386" s="37"/>
      <c r="AA386" s="37"/>
      <c r="AB386" s="167"/>
    </row>
    <row r="387" spans="1:28" s="28" customFormat="1" x14ac:dyDescent="0.25">
      <c r="A387" s="35">
        <v>46009</v>
      </c>
      <c r="B387" s="36"/>
      <c r="C387" s="37"/>
      <c r="D387" s="37"/>
      <c r="E387" s="65"/>
      <c r="F387" s="65"/>
      <c r="G387" s="65"/>
      <c r="H387" s="65"/>
      <c r="I387" s="38"/>
      <c r="J387" s="65"/>
      <c r="K387" s="37"/>
      <c r="L387" s="37"/>
      <c r="M387" s="37"/>
      <c r="N387" s="37"/>
      <c r="O387" s="37"/>
      <c r="P387" s="37"/>
      <c r="Q387" s="37"/>
      <c r="R387" s="65"/>
      <c r="S387" s="65"/>
      <c r="T387" s="65"/>
      <c r="U387" s="65"/>
      <c r="V387" s="65"/>
      <c r="W387" s="65"/>
      <c r="X387" s="65"/>
      <c r="Y387" s="65"/>
      <c r="Z387" s="37"/>
      <c r="AA387" s="37"/>
      <c r="AB387" s="167"/>
    </row>
    <row r="388" spans="1:28" s="28" customFormat="1" x14ac:dyDescent="0.25">
      <c r="A388" s="35">
        <v>46010</v>
      </c>
      <c r="B388" s="36"/>
      <c r="C388" s="37"/>
      <c r="D388" s="37"/>
      <c r="E388" s="65"/>
      <c r="F388" s="65"/>
      <c r="G388" s="65"/>
      <c r="H388" s="65"/>
      <c r="I388" s="38"/>
      <c r="J388" s="37"/>
      <c r="K388" s="37"/>
      <c r="L388" s="37"/>
      <c r="M388" s="37"/>
      <c r="N388" s="37"/>
      <c r="O388" s="37"/>
      <c r="P388" s="37"/>
      <c r="Q388" s="37"/>
      <c r="R388" s="65"/>
      <c r="S388" s="65"/>
      <c r="T388" s="65"/>
      <c r="U388" s="65"/>
      <c r="V388" s="65"/>
      <c r="W388" s="65"/>
      <c r="X388" s="65"/>
      <c r="Y388" s="65"/>
      <c r="Z388" s="37"/>
      <c r="AA388" s="37"/>
      <c r="AB388" s="167"/>
    </row>
    <row r="389" spans="1:28" s="28" customFormat="1" x14ac:dyDescent="0.25">
      <c r="A389" s="35">
        <v>46011</v>
      </c>
      <c r="B389" s="36"/>
      <c r="C389" s="37"/>
      <c r="D389" s="37"/>
      <c r="E389" s="65"/>
      <c r="F389" s="65"/>
      <c r="G389" s="65"/>
      <c r="H389" s="65"/>
      <c r="I389" s="38"/>
      <c r="J389" s="37"/>
      <c r="K389" s="37"/>
      <c r="L389" s="37"/>
      <c r="M389" s="37"/>
      <c r="N389" s="37"/>
      <c r="O389" s="37"/>
      <c r="P389" s="37"/>
      <c r="Q389" s="37"/>
      <c r="R389" s="65"/>
      <c r="S389" s="65"/>
      <c r="T389" s="65"/>
      <c r="U389" s="65"/>
      <c r="V389" s="65"/>
      <c r="W389" s="65"/>
      <c r="X389" s="37"/>
      <c r="Y389" s="65"/>
      <c r="Z389" s="37"/>
      <c r="AA389" s="37"/>
      <c r="AB389" s="167"/>
    </row>
    <row r="390" spans="1:28" s="28" customFormat="1" x14ac:dyDescent="0.25">
      <c r="A390" s="35">
        <v>46011</v>
      </c>
      <c r="B390" s="36"/>
      <c r="C390" s="37"/>
      <c r="D390" s="37"/>
      <c r="E390" s="65"/>
      <c r="F390" s="65"/>
      <c r="G390" s="65"/>
      <c r="H390" s="65"/>
      <c r="I390" s="38"/>
      <c r="J390" s="39"/>
      <c r="K390" s="36"/>
      <c r="L390" s="37"/>
      <c r="M390" s="37"/>
      <c r="N390" s="37"/>
      <c r="O390" s="37"/>
      <c r="P390" s="37"/>
      <c r="Q390" s="37"/>
      <c r="R390" s="65"/>
      <c r="S390" s="65"/>
      <c r="T390" s="65"/>
      <c r="U390" s="65"/>
      <c r="V390" s="65"/>
      <c r="W390" s="65"/>
      <c r="X390" s="65"/>
      <c r="Y390" s="65"/>
      <c r="Z390" s="37"/>
      <c r="AA390" s="37"/>
      <c r="AB390" s="167"/>
    </row>
    <row r="391" spans="1:28" s="28" customFormat="1" x14ac:dyDescent="0.25">
      <c r="A391" s="35">
        <v>46012</v>
      </c>
      <c r="B391" s="36"/>
      <c r="C391" s="37"/>
      <c r="D391" s="37"/>
      <c r="E391" s="65"/>
      <c r="F391" s="65"/>
      <c r="G391" s="65"/>
      <c r="H391" s="65"/>
      <c r="I391" s="38"/>
      <c r="J391" s="37"/>
      <c r="K391" s="37"/>
      <c r="L391" s="37"/>
      <c r="M391" s="37"/>
      <c r="N391" s="37"/>
      <c r="O391" s="37"/>
      <c r="P391" s="37"/>
      <c r="Q391" s="37"/>
      <c r="R391" s="65"/>
      <c r="S391" s="65"/>
      <c r="T391" s="65"/>
      <c r="U391" s="65"/>
      <c r="V391" s="65"/>
      <c r="W391" s="65"/>
      <c r="X391" s="37"/>
      <c r="Y391" s="65"/>
      <c r="Z391" s="37"/>
      <c r="AA391" s="37"/>
      <c r="AB391" s="167"/>
    </row>
    <row r="392" spans="1:28" s="28" customFormat="1" x14ac:dyDescent="0.25">
      <c r="A392" s="35">
        <v>46013</v>
      </c>
      <c r="B392" s="36"/>
      <c r="C392" s="37"/>
      <c r="D392" s="37"/>
      <c r="E392" s="65"/>
      <c r="F392" s="65"/>
      <c r="G392" s="65"/>
      <c r="H392" s="65"/>
      <c r="I392" s="38"/>
      <c r="J392" s="37"/>
      <c r="K392" s="37"/>
      <c r="L392" s="37"/>
      <c r="M392" s="37"/>
      <c r="N392" s="37"/>
      <c r="O392" s="37"/>
      <c r="P392" s="37"/>
      <c r="Q392" s="37"/>
      <c r="R392" s="65"/>
      <c r="S392" s="65"/>
      <c r="T392" s="65"/>
      <c r="U392" s="65"/>
      <c r="V392" s="65"/>
      <c r="W392" s="65"/>
      <c r="X392" s="37"/>
      <c r="Y392" s="65"/>
      <c r="Z392" s="37"/>
      <c r="AA392" s="37"/>
      <c r="AB392" s="167"/>
    </row>
    <row r="393" spans="1:28" s="28" customFormat="1" x14ac:dyDescent="0.25">
      <c r="A393" s="35">
        <v>46014</v>
      </c>
      <c r="B393" s="36"/>
      <c r="C393" s="37"/>
      <c r="D393" s="37"/>
      <c r="E393" s="65"/>
      <c r="F393" s="65"/>
      <c r="G393" s="65"/>
      <c r="H393" s="65"/>
      <c r="I393" s="38"/>
      <c r="J393" s="37"/>
      <c r="K393" s="37"/>
      <c r="L393" s="37"/>
      <c r="M393" s="37"/>
      <c r="N393" s="37"/>
      <c r="O393" s="37"/>
      <c r="P393" s="37"/>
      <c r="Q393" s="37"/>
      <c r="R393" s="65"/>
      <c r="S393" s="65"/>
      <c r="T393" s="65"/>
      <c r="U393" s="65"/>
      <c r="V393" s="65"/>
      <c r="W393" s="65"/>
      <c r="X393" s="65"/>
      <c r="Y393" s="65"/>
      <c r="Z393" s="37"/>
      <c r="AA393" s="37"/>
      <c r="AB393" s="167"/>
    </row>
    <row r="394" spans="1:28" s="28" customFormat="1" x14ac:dyDescent="0.25">
      <c r="A394" s="35">
        <v>46015</v>
      </c>
      <c r="B394" s="36"/>
      <c r="C394" s="37"/>
      <c r="D394" s="37"/>
      <c r="E394" s="65"/>
      <c r="F394" s="65"/>
      <c r="G394" s="65"/>
      <c r="H394" s="65"/>
      <c r="I394" s="38"/>
      <c r="J394" s="37"/>
      <c r="K394" s="37"/>
      <c r="L394" s="37"/>
      <c r="M394" s="37"/>
      <c r="N394" s="37"/>
      <c r="O394" s="37"/>
      <c r="P394" s="37"/>
      <c r="Q394" s="37"/>
      <c r="R394" s="65"/>
      <c r="S394" s="65"/>
      <c r="T394" s="65"/>
      <c r="U394" s="65"/>
      <c r="V394" s="65"/>
      <c r="W394" s="65"/>
      <c r="X394" s="65"/>
      <c r="Y394" s="65"/>
      <c r="Z394" s="37"/>
      <c r="AA394" s="37"/>
      <c r="AB394" s="167"/>
    </row>
    <row r="395" spans="1:28" s="28" customFormat="1" x14ac:dyDescent="0.25">
      <c r="A395" s="35">
        <v>46016</v>
      </c>
      <c r="B395" s="36"/>
      <c r="C395" s="37"/>
      <c r="D395" s="37"/>
      <c r="E395" s="37"/>
      <c r="F395" s="37"/>
      <c r="G395" s="65"/>
      <c r="H395" s="37"/>
      <c r="I395" s="38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167"/>
    </row>
    <row r="396" spans="1:28" s="28" customFormat="1" x14ac:dyDescent="0.25">
      <c r="A396" s="35">
        <v>46017</v>
      </c>
      <c r="B396" s="36"/>
      <c r="C396" s="37"/>
      <c r="D396" s="37"/>
      <c r="E396" s="65"/>
      <c r="F396" s="65"/>
      <c r="G396" s="65"/>
      <c r="H396" s="65"/>
      <c r="I396" s="38"/>
      <c r="J396" s="37"/>
      <c r="K396" s="37"/>
      <c r="L396" s="37"/>
      <c r="M396" s="37"/>
      <c r="N396" s="37"/>
      <c r="O396" s="37"/>
      <c r="P396" s="37"/>
      <c r="Q396" s="37"/>
      <c r="R396" s="65"/>
      <c r="S396" s="65"/>
      <c r="T396" s="65"/>
      <c r="U396" s="65"/>
      <c r="V396" s="65"/>
      <c r="W396" s="65"/>
      <c r="X396" s="37"/>
      <c r="Y396" s="65"/>
      <c r="Z396" s="37"/>
      <c r="AA396" s="37"/>
      <c r="AB396" s="167"/>
    </row>
    <row r="397" spans="1:28" s="28" customFormat="1" x14ac:dyDescent="0.25">
      <c r="A397" s="35">
        <v>46018</v>
      </c>
      <c r="B397" s="36"/>
      <c r="C397" s="37"/>
      <c r="D397" s="37"/>
      <c r="E397" s="65"/>
      <c r="F397" s="65"/>
      <c r="G397" s="65"/>
      <c r="H397" s="65"/>
      <c r="I397" s="38"/>
      <c r="J397" s="37"/>
      <c r="K397" s="37"/>
      <c r="L397" s="37"/>
      <c r="M397" s="37"/>
      <c r="N397" s="37"/>
      <c r="O397" s="37"/>
      <c r="P397" s="37"/>
      <c r="Q397" s="37"/>
      <c r="R397" s="65"/>
      <c r="S397" s="65"/>
      <c r="T397" s="65"/>
      <c r="U397" s="65"/>
      <c r="V397" s="65"/>
      <c r="W397" s="65"/>
      <c r="X397" s="65"/>
      <c r="Y397" s="65"/>
      <c r="Z397" s="37"/>
      <c r="AA397" s="37"/>
      <c r="AB397" s="167"/>
    </row>
    <row r="398" spans="1:28" s="28" customFormat="1" x14ac:dyDescent="0.25">
      <c r="A398" s="35">
        <v>46019</v>
      </c>
      <c r="B398" s="36"/>
      <c r="C398" s="37"/>
      <c r="D398" s="37"/>
      <c r="E398" s="65"/>
      <c r="F398" s="65"/>
      <c r="G398" s="65"/>
      <c r="H398" s="65"/>
      <c r="I398" s="38"/>
      <c r="J398" s="37"/>
      <c r="K398" s="37"/>
      <c r="L398" s="37"/>
      <c r="M398" s="37"/>
      <c r="N398" s="37"/>
      <c r="O398" s="37"/>
      <c r="P398" s="37"/>
      <c r="Q398" s="37"/>
      <c r="R398" s="65"/>
      <c r="S398" s="65"/>
      <c r="T398" s="65"/>
      <c r="U398" s="65"/>
      <c r="V398" s="65"/>
      <c r="W398" s="65"/>
      <c r="X398" s="37"/>
      <c r="Y398" s="65"/>
      <c r="Z398" s="37"/>
      <c r="AA398" s="37"/>
      <c r="AB398" s="167"/>
    </row>
    <row r="399" spans="1:28" s="28" customFormat="1" x14ac:dyDescent="0.25">
      <c r="A399" s="35">
        <v>46020</v>
      </c>
      <c r="B399" s="36"/>
      <c r="C399" s="37"/>
      <c r="D399" s="37"/>
      <c r="E399" s="65"/>
      <c r="F399" s="65"/>
      <c r="G399" s="65"/>
      <c r="H399" s="65"/>
      <c r="I399" s="38"/>
      <c r="J399" s="37"/>
      <c r="K399" s="37"/>
      <c r="L399" s="37"/>
      <c r="M399" s="37"/>
      <c r="N399" s="37"/>
      <c r="O399" s="37"/>
      <c r="P399" s="37"/>
      <c r="Q399" s="37"/>
      <c r="R399" s="65"/>
      <c r="S399" s="65"/>
      <c r="T399" s="65"/>
      <c r="U399" s="65"/>
      <c r="V399" s="65"/>
      <c r="W399" s="65"/>
      <c r="X399" s="37"/>
      <c r="Y399" s="65"/>
      <c r="Z399" s="37"/>
      <c r="AA399" s="37"/>
      <c r="AB399" s="167"/>
    </row>
    <row r="400" spans="1:28" s="28" customFormat="1" x14ac:dyDescent="0.25">
      <c r="A400" s="35">
        <v>46021</v>
      </c>
      <c r="B400" s="36"/>
      <c r="C400" s="37"/>
      <c r="D400" s="37"/>
      <c r="E400" s="65"/>
      <c r="F400" s="65"/>
      <c r="G400" s="65"/>
      <c r="H400" s="65"/>
      <c r="I400" s="38"/>
      <c r="J400" s="37"/>
      <c r="K400" s="37"/>
      <c r="L400" s="37"/>
      <c r="M400" s="37"/>
      <c r="N400" s="37"/>
      <c r="O400" s="37"/>
      <c r="P400" s="37"/>
      <c r="Q400" s="37"/>
      <c r="R400" s="65"/>
      <c r="S400" s="65"/>
      <c r="T400" s="65"/>
      <c r="U400" s="65"/>
      <c r="V400" s="65"/>
      <c r="W400" s="65"/>
      <c r="X400" s="65"/>
      <c r="Y400" s="65"/>
      <c r="Z400" s="37"/>
      <c r="AA400" s="37"/>
      <c r="AB400" s="167"/>
    </row>
    <row r="401" spans="1:28" s="28" customFormat="1" x14ac:dyDescent="0.25">
      <c r="A401" s="35">
        <v>46022</v>
      </c>
      <c r="B401" s="36"/>
      <c r="C401" s="37"/>
      <c r="D401" s="37"/>
      <c r="E401" s="65"/>
      <c r="F401" s="65"/>
      <c r="G401" s="65"/>
      <c r="H401" s="65"/>
      <c r="I401" s="38"/>
      <c r="J401" s="37"/>
      <c r="K401" s="37"/>
      <c r="L401" s="37"/>
      <c r="M401" s="37"/>
      <c r="N401" s="37"/>
      <c r="O401" s="37"/>
      <c r="P401" s="37"/>
      <c r="Q401" s="37"/>
      <c r="R401" s="65"/>
      <c r="S401" s="65"/>
      <c r="T401" s="65"/>
      <c r="U401" s="65"/>
      <c r="V401" s="65"/>
      <c r="W401" s="65"/>
      <c r="X401" s="65"/>
      <c r="Y401" s="65"/>
      <c r="Z401" s="37"/>
      <c r="AA401" s="37"/>
      <c r="AB401" s="167"/>
    </row>
    <row r="402" spans="1:28" s="28" customFormat="1" x14ac:dyDescent="0.25">
      <c r="A402" s="35">
        <v>46023</v>
      </c>
      <c r="B402" s="36"/>
      <c r="C402" s="37"/>
      <c r="D402" s="37"/>
      <c r="E402" s="37"/>
      <c r="F402" s="37"/>
      <c r="G402" s="65"/>
      <c r="H402" s="37"/>
      <c r="I402" s="38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</row>
    <row r="403" spans="1:28" s="28" customFormat="1" x14ac:dyDescent="0.25">
      <c r="A403" s="35">
        <v>46024</v>
      </c>
      <c r="B403" s="36"/>
      <c r="C403" s="37"/>
      <c r="D403" s="37"/>
      <c r="E403" s="37"/>
      <c r="F403" s="37"/>
      <c r="G403" s="65"/>
      <c r="H403" s="37"/>
      <c r="I403" s="38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</row>
    <row r="404" spans="1:28" s="28" customFormat="1" ht="15.75" customHeight="1" x14ac:dyDescent="0.25">
      <c r="A404" s="35">
        <v>46025</v>
      </c>
      <c r="B404" s="241"/>
      <c r="C404" s="242"/>
      <c r="D404" s="242"/>
      <c r="E404" s="242"/>
      <c r="F404" s="242"/>
      <c r="G404" s="243"/>
      <c r="H404" s="242"/>
      <c r="I404" s="244"/>
      <c r="J404" s="242"/>
      <c r="K404" s="242"/>
      <c r="L404" s="242"/>
      <c r="M404" s="242"/>
      <c r="N404" s="242"/>
      <c r="O404" s="242"/>
      <c r="P404" s="242"/>
      <c r="Q404" s="242"/>
      <c r="R404" s="242"/>
      <c r="S404" s="242"/>
      <c r="T404" s="242"/>
      <c r="U404" s="242"/>
      <c r="V404" s="242"/>
      <c r="W404" s="242"/>
      <c r="X404" s="242"/>
      <c r="Y404" s="242"/>
      <c r="Z404" s="242"/>
      <c r="AA404" s="242"/>
      <c r="AB404" s="121"/>
    </row>
    <row r="405" spans="1:28" ht="15.75" customHeight="1" x14ac:dyDescent="0.25">
      <c r="A405" s="240">
        <v>46026</v>
      </c>
      <c r="B405" s="48"/>
      <c r="C405" s="28"/>
      <c r="D405" s="28"/>
      <c r="E405" s="28"/>
      <c r="F405" s="28"/>
      <c r="G405" s="28"/>
      <c r="H405" s="28"/>
      <c r="I405" s="239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</row>
    <row r="406" spans="1:28" x14ac:dyDescent="0.25">
      <c r="A406" s="240">
        <v>46027</v>
      </c>
      <c r="B406" s="48"/>
      <c r="C406" s="28"/>
      <c r="D406" s="28"/>
      <c r="E406" s="28"/>
      <c r="F406" s="28"/>
      <c r="G406" s="28"/>
      <c r="H406" s="28"/>
      <c r="I406" s="239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</row>
    <row r="407" spans="1:28" x14ac:dyDescent="0.25">
      <c r="A407" s="240">
        <v>46028</v>
      </c>
      <c r="B407" s="4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</row>
    <row r="408" spans="1:28" x14ac:dyDescent="0.25">
      <c r="A408" s="240">
        <v>46029</v>
      </c>
      <c r="B408" s="4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</row>
    <row r="409" spans="1:28" x14ac:dyDescent="0.25">
      <c r="A409" s="240">
        <v>46030</v>
      </c>
      <c r="B409" s="4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</row>
    <row r="410" spans="1:28" x14ac:dyDescent="0.25">
      <c r="A410" s="240">
        <v>46031</v>
      </c>
      <c r="B410" s="4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</row>
    <row r="411" spans="1:28" x14ac:dyDescent="0.25">
      <c r="A411" s="240">
        <v>46032</v>
      </c>
      <c r="B411" s="4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</row>
    <row r="412" spans="1:28" x14ac:dyDescent="0.25">
      <c r="A412" s="240">
        <v>46033</v>
      </c>
      <c r="B412" s="4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</row>
    <row r="413" spans="1:28" x14ac:dyDescent="0.25">
      <c r="A413" s="240">
        <v>46034</v>
      </c>
      <c r="B413" s="4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</row>
    <row r="414" spans="1:28" x14ac:dyDescent="0.25">
      <c r="A414" s="240">
        <v>46035</v>
      </c>
      <c r="B414" s="4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</row>
    <row r="415" spans="1:28" x14ac:dyDescent="0.25">
      <c r="A415" s="240">
        <v>46036</v>
      </c>
      <c r="B415" s="4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</row>
    <row r="416" spans="1:28" x14ac:dyDescent="0.25">
      <c r="A416" s="240">
        <v>46037</v>
      </c>
      <c r="B416" s="4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</row>
    <row r="417" spans="1:32" x14ac:dyDescent="0.25">
      <c r="A417" s="240">
        <v>46038</v>
      </c>
      <c r="B417" s="4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</row>
    <row r="418" spans="1:32" x14ac:dyDescent="0.25">
      <c r="A418" s="240">
        <v>46039</v>
      </c>
      <c r="B418" s="4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</row>
    <row r="419" spans="1:32" x14ac:dyDescent="0.25">
      <c r="A419" s="240">
        <v>46040</v>
      </c>
      <c r="B419" s="4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</row>
    <row r="420" spans="1:32" x14ac:dyDescent="0.25">
      <c r="A420" s="240">
        <v>46041</v>
      </c>
      <c r="B420" s="4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</row>
    <row r="421" spans="1:32" x14ac:dyDescent="0.25">
      <c r="A421" s="240">
        <v>46042</v>
      </c>
      <c r="B421" s="4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</row>
    <row r="422" spans="1:32" x14ac:dyDescent="0.25">
      <c r="A422" s="240">
        <v>46043</v>
      </c>
      <c r="B422" s="4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</row>
    <row r="423" spans="1:32" x14ac:dyDescent="0.25">
      <c r="A423" s="240">
        <v>46044</v>
      </c>
      <c r="B423" s="4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</row>
    <row r="424" spans="1:32" x14ac:dyDescent="0.25">
      <c r="A424" s="240">
        <v>46045</v>
      </c>
      <c r="B424" s="4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</row>
    <row r="425" spans="1:32" x14ac:dyDescent="0.25">
      <c r="A425" s="240">
        <v>46046</v>
      </c>
      <c r="B425" s="4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</row>
    <row r="426" spans="1:32" x14ac:dyDescent="0.25">
      <c r="A426" s="240">
        <v>46047</v>
      </c>
      <c r="B426" s="4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</row>
    <row r="427" spans="1:32" x14ac:dyDescent="0.25">
      <c r="A427" s="240">
        <v>46048</v>
      </c>
      <c r="B427" s="4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</row>
    <row r="428" spans="1:32" x14ac:dyDescent="0.25">
      <c r="A428" s="240">
        <v>46049</v>
      </c>
      <c r="B428" s="4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</row>
    <row r="429" spans="1:32" x14ac:dyDescent="0.25">
      <c r="A429" s="240">
        <v>46050</v>
      </c>
      <c r="B429" s="4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</row>
    <row r="430" spans="1:32" x14ac:dyDescent="0.25">
      <c r="A430" s="240">
        <v>46051</v>
      </c>
      <c r="B430" s="4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F430">
        <v>20</v>
      </c>
    </row>
    <row r="431" spans="1:32" x14ac:dyDescent="0.25">
      <c r="A431" s="240">
        <v>46052</v>
      </c>
      <c r="B431" s="4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</row>
    <row r="432" spans="1:32" x14ac:dyDescent="0.25">
      <c r="A432" s="240">
        <v>46053</v>
      </c>
      <c r="B432" s="4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</row>
    <row r="433" spans="2:28" x14ac:dyDescent="0.25">
      <c r="B433" s="4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</row>
    <row r="434" spans="2:28" x14ac:dyDescent="0.25">
      <c r="B434" s="4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</row>
    <row r="435" spans="2:28" x14ac:dyDescent="0.25">
      <c r="B435" s="4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</row>
    <row r="436" spans="2:28" x14ac:dyDescent="0.25">
      <c r="B436" s="4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</row>
    <row r="437" spans="2:28" x14ac:dyDescent="0.25">
      <c r="B437" s="4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</row>
    <row r="438" spans="2:28" x14ac:dyDescent="0.25">
      <c r="B438" s="4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</row>
    <row r="439" spans="2:28" x14ac:dyDescent="0.25">
      <c r="B439" s="4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</row>
    <row r="440" spans="2:28" x14ac:dyDescent="0.25">
      <c r="B440" s="4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</row>
  </sheetData>
  <protectedRanges>
    <protectedRange algorithmName="SHA-512" hashValue="wWxBWRkv4BaWtI4kpwLHJmVHSs1G7m2xHw0+NMhRBy9FAEw3SFXZSfwwKmqh1Px4P2yXmQ48OKhCP1gffosyiw==" saltValue="ullz9aDsFVHzjLVslRM0+w==" spinCount="100000" sqref="B101:H309 A310:H1048576 A84:A309 AB4:AB87 A1:H83 B84:H99" name="Rango1_1"/>
    <protectedRange algorithmName="SHA-512" hashValue="lZBzFGXt3LxEbl4sN5g6fZtiP35iXNQ8wfy0JDXR/jSOXMRC2sb8okXz03IUNyOI1AtOkyrSdXjzPjC9gRyLqA==" saltValue="VNxa233dB5WVLvznLY6dMA==" spinCount="100000" sqref="J101:AA119 B120:AA242 A243:AA1048576 B101:H119 AB4:AB48 A1:AA48 A84:A242 I84:I119 AB84:AB87 A49:AB83 J84:AA99 B84:H99" name="Rango2_1"/>
  </protectedRanges>
  <mergeCells count="32">
    <mergeCell ref="A2:Z2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X4:X6"/>
    <mergeCell ref="R5:R6"/>
    <mergeCell ref="S5:S6"/>
    <mergeCell ref="J4:J6"/>
    <mergeCell ref="K4:K6"/>
    <mergeCell ref="L4:L6"/>
    <mergeCell ref="M4:M6"/>
    <mergeCell ref="N4:O4"/>
    <mergeCell ref="P4:Q4"/>
    <mergeCell ref="N5:N6"/>
    <mergeCell ref="O5:O6"/>
    <mergeCell ref="P5:P6"/>
    <mergeCell ref="Q5:Q6"/>
    <mergeCell ref="AB4:AB6"/>
    <mergeCell ref="Y4:Y6"/>
    <mergeCell ref="Z4:Z6"/>
    <mergeCell ref="AA4:AA6"/>
    <mergeCell ref="R4:S4"/>
    <mergeCell ref="T4:T6"/>
    <mergeCell ref="U4:U6"/>
    <mergeCell ref="V4:V6"/>
    <mergeCell ref="W4:W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3AF9C-0E14-4F04-819E-DAE70CDE4363}">
  <sheetPr>
    <tabColor rgb="FF92D050"/>
  </sheetPr>
  <dimension ref="A1:NC39"/>
  <sheetViews>
    <sheetView topLeftCell="BB1" workbookViewId="0">
      <selection activeCell="BY12" sqref="BY12"/>
    </sheetView>
  </sheetViews>
  <sheetFormatPr baseColWidth="10" defaultColWidth="8.7109375" defaultRowHeight="15" x14ac:dyDescent="0.25"/>
  <cols>
    <col min="1" max="1" width="18" customWidth="1"/>
    <col min="2" max="2" width="9.5703125" hidden="1" customWidth="1"/>
    <col min="3" max="3" width="7.7109375" customWidth="1"/>
    <col min="4" max="4" width="9.28515625" bestFit="1" customWidth="1"/>
    <col min="5" max="14" width="9.140625"/>
    <col min="15" max="16" width="9.28515625" bestFit="1" customWidth="1"/>
    <col min="17" max="18" width="9.140625"/>
    <col min="19" max="19" width="9.42578125" customWidth="1"/>
    <col min="20" max="33" width="9.140625"/>
    <col min="34" max="34" width="9.28515625" bestFit="1" customWidth="1"/>
    <col min="35" max="36" width="9" bestFit="1" customWidth="1"/>
    <col min="37" max="40" width="9.140625"/>
    <col min="41" max="41" width="9.7109375" customWidth="1"/>
    <col min="42" max="44" width="9.140625"/>
    <col min="45" max="46" width="9" bestFit="1" customWidth="1"/>
    <col min="47" max="58" width="9.140625"/>
    <col min="59" max="59" width="10.85546875" customWidth="1"/>
    <col min="60" max="70" width="9.140625"/>
    <col min="71" max="71" width="9.42578125" customWidth="1"/>
    <col min="72" max="72" width="9.140625"/>
    <col min="73" max="74" width="9.28515625" bestFit="1" customWidth="1"/>
    <col min="75" max="84" width="9.140625"/>
    <col min="85" max="85" width="9" bestFit="1" customWidth="1"/>
    <col min="86" max="89" width="9.140625"/>
    <col min="90" max="90" width="9" bestFit="1" customWidth="1"/>
    <col min="91" max="119" width="9.140625"/>
    <col min="120" max="120" width="9.28515625" bestFit="1" customWidth="1"/>
    <col min="121" max="144" width="9.140625"/>
    <col min="145" max="145" width="9.28515625" bestFit="1" customWidth="1"/>
    <col min="146" max="146" width="9.140625"/>
    <col min="147" max="147" width="9.28515625" bestFit="1" customWidth="1"/>
    <col min="148" max="158" width="9.140625"/>
    <col min="159" max="159" width="9.28515625" bestFit="1" customWidth="1"/>
    <col min="160" max="171" width="9.140625"/>
    <col min="172" max="172" width="9.28515625" bestFit="1" customWidth="1"/>
    <col min="173" max="219" width="9.140625"/>
    <col min="220" max="220" width="9.28515625" bestFit="1" customWidth="1"/>
    <col min="221" max="228" width="9.140625"/>
    <col min="229" max="229" width="9.28515625" bestFit="1" customWidth="1"/>
    <col min="230" max="238" width="9.140625"/>
    <col min="239" max="239" width="9.28515625" bestFit="1" customWidth="1"/>
    <col min="240" max="258" width="9.140625"/>
    <col min="259" max="259" width="9.28515625" bestFit="1" customWidth="1"/>
    <col min="260" max="269" width="9.140625"/>
    <col min="270" max="270" width="9.28515625" bestFit="1" customWidth="1"/>
    <col min="271" max="275" width="9.140625"/>
    <col min="276" max="276" width="9.28515625" bestFit="1" customWidth="1"/>
    <col min="277" max="279" width="9.140625"/>
    <col min="280" max="280" width="9.28515625" bestFit="1" customWidth="1"/>
    <col min="281" max="286" width="9.140625"/>
    <col min="287" max="287" width="9.28515625" bestFit="1" customWidth="1"/>
    <col min="288" max="293" width="9.140625"/>
    <col min="294" max="294" width="9.28515625" bestFit="1" customWidth="1"/>
    <col min="295" max="297" width="9.140625"/>
    <col min="298" max="298" width="9.28515625" bestFit="1" customWidth="1"/>
    <col min="299" max="318" width="9.140625"/>
    <col min="319" max="319" width="9.28515625" bestFit="1" customWidth="1"/>
    <col min="320" max="325" width="9.140625"/>
    <col min="326" max="326" width="9.140625" customWidth="1"/>
    <col min="327" max="327" width="9.42578125" customWidth="1"/>
    <col min="328" max="331" width="9.140625"/>
    <col min="332" max="332" width="10.140625" customWidth="1"/>
  </cols>
  <sheetData>
    <row r="1" spans="1:367" x14ac:dyDescent="0.25">
      <c r="A1" s="92" t="s">
        <v>120</v>
      </c>
      <c r="B1" s="93">
        <v>45688</v>
      </c>
      <c r="C1" s="153">
        <v>46023</v>
      </c>
      <c r="D1" s="153">
        <v>46024</v>
      </c>
      <c r="E1" s="153">
        <v>46025</v>
      </c>
      <c r="F1" s="153">
        <v>46026</v>
      </c>
      <c r="G1" s="153">
        <v>46027</v>
      </c>
      <c r="H1" s="153">
        <v>46028</v>
      </c>
      <c r="I1" s="153">
        <v>46029</v>
      </c>
      <c r="J1" s="153">
        <v>46030</v>
      </c>
      <c r="K1" s="153">
        <v>46031</v>
      </c>
      <c r="L1" s="153">
        <v>46032</v>
      </c>
      <c r="M1" s="153">
        <v>46033</v>
      </c>
      <c r="N1" s="153">
        <v>46034</v>
      </c>
      <c r="O1" s="153">
        <v>46035</v>
      </c>
      <c r="P1" s="93">
        <v>46036</v>
      </c>
      <c r="Q1" s="93">
        <v>46037</v>
      </c>
      <c r="R1" s="93">
        <v>46038</v>
      </c>
      <c r="S1" s="93">
        <v>46039</v>
      </c>
      <c r="T1" s="93">
        <v>46040</v>
      </c>
      <c r="U1" s="93">
        <v>46041</v>
      </c>
      <c r="V1" s="93">
        <v>46042</v>
      </c>
      <c r="W1" s="93">
        <v>46043</v>
      </c>
      <c r="X1" s="93">
        <v>46044</v>
      </c>
      <c r="Y1" s="93">
        <v>46045</v>
      </c>
      <c r="Z1" s="93">
        <v>46046</v>
      </c>
      <c r="AA1" s="93">
        <v>46047</v>
      </c>
      <c r="AB1" s="93">
        <v>46048</v>
      </c>
      <c r="AC1" s="93">
        <v>46049</v>
      </c>
      <c r="AD1" s="93">
        <v>46050</v>
      </c>
      <c r="AE1" s="93">
        <v>46051</v>
      </c>
      <c r="AF1" s="93">
        <v>46052</v>
      </c>
      <c r="AG1" s="93">
        <v>46053</v>
      </c>
      <c r="AH1" s="93">
        <v>46054</v>
      </c>
      <c r="AI1" s="93">
        <v>46055</v>
      </c>
      <c r="AJ1" s="93">
        <v>46056</v>
      </c>
      <c r="AK1" s="93">
        <v>46057</v>
      </c>
      <c r="AL1" s="93">
        <v>46058</v>
      </c>
      <c r="AM1" s="93">
        <v>46059</v>
      </c>
      <c r="AN1" s="93">
        <v>46060</v>
      </c>
      <c r="AO1" s="93">
        <v>46061</v>
      </c>
      <c r="AP1" s="93">
        <v>46062</v>
      </c>
      <c r="AQ1" s="93">
        <v>46063</v>
      </c>
      <c r="AR1" s="93">
        <v>46064</v>
      </c>
      <c r="AS1" s="93">
        <v>46065</v>
      </c>
      <c r="AT1" s="93">
        <v>46066</v>
      </c>
      <c r="AU1" s="93">
        <v>46067</v>
      </c>
      <c r="AV1" s="93">
        <v>46068</v>
      </c>
      <c r="AW1" s="93">
        <v>46069</v>
      </c>
      <c r="AX1" s="93">
        <v>46070</v>
      </c>
      <c r="AY1" s="93">
        <v>46071</v>
      </c>
      <c r="AZ1" s="93">
        <v>46072</v>
      </c>
      <c r="BA1" s="93">
        <v>46073</v>
      </c>
      <c r="BB1" s="93">
        <v>46074</v>
      </c>
      <c r="BC1" s="93">
        <v>46075</v>
      </c>
      <c r="BD1" s="93">
        <v>46076</v>
      </c>
      <c r="BE1" s="93">
        <v>46077</v>
      </c>
      <c r="BF1" s="93">
        <v>46078</v>
      </c>
      <c r="BG1" s="93">
        <v>46079</v>
      </c>
      <c r="BH1" s="93">
        <v>46080</v>
      </c>
      <c r="BI1" s="93">
        <v>46081</v>
      </c>
      <c r="BJ1" s="93">
        <v>46082</v>
      </c>
      <c r="BK1" s="93">
        <v>46083</v>
      </c>
      <c r="BL1" s="93">
        <v>46084</v>
      </c>
      <c r="BM1" s="93">
        <v>46085</v>
      </c>
      <c r="BN1" s="93">
        <v>46086</v>
      </c>
      <c r="BO1" s="93">
        <v>46087</v>
      </c>
      <c r="BP1" s="93">
        <v>46088</v>
      </c>
      <c r="BQ1" s="93">
        <v>46089</v>
      </c>
      <c r="BR1" s="93">
        <v>46090</v>
      </c>
      <c r="BS1" s="93">
        <v>46091</v>
      </c>
      <c r="BT1" s="93">
        <v>46092</v>
      </c>
      <c r="BU1" s="93">
        <v>46093</v>
      </c>
      <c r="BV1" s="93">
        <v>46094</v>
      </c>
      <c r="BW1" s="93">
        <v>46095</v>
      </c>
      <c r="BX1" s="93">
        <v>46096</v>
      </c>
      <c r="BY1" s="93">
        <v>46097</v>
      </c>
      <c r="BZ1" s="93">
        <v>46098</v>
      </c>
      <c r="CA1" s="93">
        <v>46099</v>
      </c>
      <c r="CB1" s="93">
        <v>46100</v>
      </c>
      <c r="CC1" s="93">
        <v>46101</v>
      </c>
      <c r="CD1" s="93">
        <v>46102</v>
      </c>
      <c r="CE1" s="93">
        <v>46103</v>
      </c>
      <c r="CF1" s="93">
        <v>46104</v>
      </c>
      <c r="CG1" s="93">
        <v>46105</v>
      </c>
      <c r="CH1" s="93">
        <v>46106</v>
      </c>
      <c r="CI1" s="93">
        <v>46107</v>
      </c>
      <c r="CJ1" s="93">
        <v>46108</v>
      </c>
      <c r="CK1" s="93">
        <v>46109</v>
      </c>
      <c r="CL1" s="93">
        <v>46110</v>
      </c>
      <c r="CM1" s="93">
        <v>46111</v>
      </c>
      <c r="CN1" s="93">
        <v>46112</v>
      </c>
      <c r="CO1" s="93">
        <v>46113</v>
      </c>
      <c r="CP1" s="93">
        <v>46114</v>
      </c>
      <c r="CQ1" s="93">
        <v>46115</v>
      </c>
      <c r="CR1" s="93">
        <v>46116</v>
      </c>
      <c r="CS1" s="93">
        <v>46117</v>
      </c>
      <c r="CT1" s="93">
        <v>46118</v>
      </c>
      <c r="CU1" s="93">
        <v>46119</v>
      </c>
      <c r="CV1" s="93">
        <v>46120</v>
      </c>
      <c r="CW1" s="93">
        <v>46121</v>
      </c>
      <c r="CX1" s="93">
        <v>46122</v>
      </c>
      <c r="CY1" s="93">
        <v>46123</v>
      </c>
      <c r="CZ1" s="93">
        <v>46124</v>
      </c>
      <c r="DA1" s="93">
        <v>46125</v>
      </c>
      <c r="DB1" s="93">
        <v>46126</v>
      </c>
      <c r="DC1" s="93">
        <v>46127</v>
      </c>
      <c r="DD1" s="93">
        <v>46128</v>
      </c>
      <c r="DE1" s="93">
        <v>46129</v>
      </c>
      <c r="DF1" s="93">
        <v>46130</v>
      </c>
      <c r="DG1" s="93">
        <v>46131</v>
      </c>
      <c r="DH1" s="93">
        <v>46132</v>
      </c>
      <c r="DI1" s="93">
        <v>46133</v>
      </c>
      <c r="DJ1" s="93">
        <v>46134</v>
      </c>
      <c r="DK1" s="93">
        <v>46135</v>
      </c>
      <c r="DL1" s="93">
        <v>46136</v>
      </c>
      <c r="DM1" s="93">
        <v>46137</v>
      </c>
      <c r="DN1" s="93">
        <v>46138</v>
      </c>
      <c r="DO1" s="93">
        <v>46139</v>
      </c>
      <c r="DP1" s="93">
        <v>46140</v>
      </c>
      <c r="DQ1" s="93">
        <v>46141</v>
      </c>
      <c r="DR1" s="93">
        <v>46142</v>
      </c>
      <c r="DS1" s="93">
        <v>46143</v>
      </c>
      <c r="DT1" s="93">
        <v>46144</v>
      </c>
      <c r="DU1" s="93">
        <v>46145</v>
      </c>
      <c r="DV1" s="93">
        <v>46146</v>
      </c>
      <c r="DW1" s="93">
        <v>46147</v>
      </c>
      <c r="DX1" s="93">
        <v>46148</v>
      </c>
      <c r="DY1" s="93">
        <v>46149</v>
      </c>
      <c r="DZ1" s="93">
        <v>46150</v>
      </c>
      <c r="EA1" s="93">
        <v>46151</v>
      </c>
      <c r="EB1" s="93">
        <v>46152</v>
      </c>
      <c r="EC1" s="93">
        <v>46153</v>
      </c>
      <c r="ED1" s="93">
        <v>46154</v>
      </c>
      <c r="EE1" s="93">
        <v>46155</v>
      </c>
      <c r="EF1" s="93">
        <v>46156</v>
      </c>
      <c r="EG1" s="93">
        <v>46157</v>
      </c>
      <c r="EH1" s="93">
        <v>46158</v>
      </c>
      <c r="EI1" s="93">
        <v>46159</v>
      </c>
      <c r="EJ1" s="93">
        <v>46160</v>
      </c>
      <c r="EK1" s="93">
        <v>46161</v>
      </c>
      <c r="EL1" s="93">
        <v>46162</v>
      </c>
      <c r="EM1" s="93">
        <v>46163</v>
      </c>
      <c r="EN1" s="93">
        <v>46164</v>
      </c>
      <c r="EO1" s="93">
        <v>46165</v>
      </c>
      <c r="EP1" s="93">
        <v>46166</v>
      </c>
      <c r="EQ1" s="93">
        <v>46167</v>
      </c>
      <c r="ER1" s="93">
        <v>46168</v>
      </c>
      <c r="ES1" s="93">
        <v>46169</v>
      </c>
      <c r="ET1" s="93">
        <v>46170</v>
      </c>
      <c r="EU1" s="93">
        <v>46171</v>
      </c>
      <c r="EV1" s="93">
        <v>46172</v>
      </c>
      <c r="EW1" s="93">
        <v>46173</v>
      </c>
      <c r="EX1" s="93">
        <v>46174</v>
      </c>
      <c r="EY1" s="93">
        <v>46175</v>
      </c>
      <c r="EZ1" s="93">
        <v>46176</v>
      </c>
      <c r="FA1" s="93">
        <v>46177</v>
      </c>
      <c r="FB1" s="93">
        <v>46178</v>
      </c>
      <c r="FC1" s="93">
        <v>46179</v>
      </c>
      <c r="FD1" s="93">
        <v>46180</v>
      </c>
      <c r="FE1" s="93">
        <v>46181</v>
      </c>
      <c r="FF1" s="93">
        <v>46182</v>
      </c>
      <c r="FG1" s="93">
        <v>46183</v>
      </c>
      <c r="FH1" s="93">
        <v>46184</v>
      </c>
      <c r="FI1" s="93">
        <v>46185</v>
      </c>
      <c r="FJ1" s="93">
        <v>46186</v>
      </c>
      <c r="FK1" s="93">
        <v>46187</v>
      </c>
      <c r="FL1" s="93">
        <v>46188</v>
      </c>
      <c r="FM1" s="93">
        <v>46189</v>
      </c>
      <c r="FN1" s="93">
        <v>46190</v>
      </c>
      <c r="FO1" s="93">
        <v>46191</v>
      </c>
      <c r="FP1" s="93">
        <v>46192</v>
      </c>
      <c r="FQ1" s="93">
        <v>46193</v>
      </c>
      <c r="FR1" s="93">
        <v>46194</v>
      </c>
      <c r="FS1" s="93">
        <v>46195</v>
      </c>
      <c r="FT1" s="93">
        <v>46196</v>
      </c>
      <c r="FU1" s="93">
        <v>46197</v>
      </c>
      <c r="FV1" s="93">
        <v>46198</v>
      </c>
      <c r="FW1" s="93">
        <v>46199</v>
      </c>
      <c r="FX1" s="93">
        <v>46200</v>
      </c>
      <c r="FY1" s="93">
        <v>46201</v>
      </c>
      <c r="FZ1" s="93">
        <v>46202</v>
      </c>
      <c r="GA1" s="93">
        <v>46203</v>
      </c>
      <c r="GB1" s="93">
        <v>46204</v>
      </c>
      <c r="GC1" s="93">
        <v>46205</v>
      </c>
      <c r="GD1" s="93">
        <v>46206</v>
      </c>
      <c r="GE1" s="93">
        <v>46207</v>
      </c>
      <c r="GF1" s="93">
        <v>46208</v>
      </c>
      <c r="GG1" s="93">
        <v>46209</v>
      </c>
      <c r="GH1" s="93">
        <v>46210</v>
      </c>
      <c r="GI1" s="93">
        <v>46211</v>
      </c>
      <c r="GJ1" s="93">
        <v>46212</v>
      </c>
      <c r="GK1" s="93">
        <v>46213</v>
      </c>
      <c r="GL1" s="93">
        <v>46214</v>
      </c>
      <c r="GM1" s="93">
        <v>46215</v>
      </c>
      <c r="GN1" s="93">
        <v>46216</v>
      </c>
      <c r="GO1" s="93">
        <v>46217</v>
      </c>
      <c r="GP1" s="93">
        <v>46218</v>
      </c>
      <c r="GQ1" s="93">
        <v>46219</v>
      </c>
      <c r="GR1" s="93">
        <v>46220</v>
      </c>
      <c r="GS1" s="93">
        <v>46221</v>
      </c>
      <c r="GT1" s="93">
        <v>46222</v>
      </c>
      <c r="GU1" s="93">
        <v>46223</v>
      </c>
      <c r="GV1" s="93">
        <v>46224</v>
      </c>
      <c r="GW1" s="93">
        <v>46225</v>
      </c>
      <c r="GX1" s="93">
        <v>46226</v>
      </c>
      <c r="GY1" s="93">
        <v>46227</v>
      </c>
      <c r="GZ1" s="93">
        <v>46228</v>
      </c>
      <c r="HA1" s="93">
        <v>46229</v>
      </c>
      <c r="HB1" s="93">
        <v>46230</v>
      </c>
      <c r="HC1" s="93">
        <v>46231</v>
      </c>
      <c r="HD1" s="93">
        <v>46232</v>
      </c>
      <c r="HE1" s="93">
        <v>46233</v>
      </c>
      <c r="HF1" s="93">
        <v>46234</v>
      </c>
      <c r="HG1" s="93">
        <v>46235</v>
      </c>
      <c r="HH1" s="93">
        <v>46236</v>
      </c>
      <c r="HI1" s="93">
        <v>46237</v>
      </c>
      <c r="HJ1" s="93">
        <v>46238</v>
      </c>
      <c r="HK1" s="93">
        <v>46239</v>
      </c>
      <c r="HL1" s="93">
        <v>46240</v>
      </c>
      <c r="HM1" s="93">
        <v>46241</v>
      </c>
      <c r="HN1" s="93">
        <v>46242</v>
      </c>
      <c r="HO1" s="93">
        <v>46243</v>
      </c>
      <c r="HP1" s="93">
        <v>46244</v>
      </c>
      <c r="HQ1" s="93">
        <v>46245</v>
      </c>
      <c r="HR1" s="93">
        <v>46246</v>
      </c>
      <c r="HS1" s="93">
        <v>46247</v>
      </c>
      <c r="HT1" s="93">
        <v>46248</v>
      </c>
      <c r="HU1" s="93">
        <v>46249</v>
      </c>
      <c r="HV1" s="93">
        <v>46250</v>
      </c>
      <c r="HW1" s="93">
        <v>46251</v>
      </c>
      <c r="HX1" s="93">
        <v>46252</v>
      </c>
      <c r="HY1" s="93">
        <v>46253</v>
      </c>
      <c r="HZ1" s="93">
        <v>46254</v>
      </c>
      <c r="IA1" s="93">
        <v>46255</v>
      </c>
      <c r="IB1" s="93">
        <v>46256</v>
      </c>
      <c r="IC1" s="93">
        <v>46257</v>
      </c>
      <c r="ID1" s="93">
        <v>46258</v>
      </c>
      <c r="IE1" s="93">
        <v>46259</v>
      </c>
      <c r="IF1" s="93">
        <v>46260</v>
      </c>
      <c r="IG1" s="93">
        <v>46261</v>
      </c>
      <c r="IH1" s="93">
        <v>46262</v>
      </c>
      <c r="II1" s="93">
        <v>46263</v>
      </c>
      <c r="IJ1" s="93">
        <v>46264</v>
      </c>
      <c r="IK1" s="93">
        <v>46265</v>
      </c>
      <c r="IL1" s="93">
        <v>46266</v>
      </c>
      <c r="IM1" s="93">
        <v>46267</v>
      </c>
      <c r="IN1" s="93">
        <v>46268</v>
      </c>
      <c r="IO1" s="93">
        <v>46269</v>
      </c>
      <c r="IP1" s="93">
        <v>46270</v>
      </c>
      <c r="IQ1" s="93">
        <v>46271</v>
      </c>
      <c r="IR1" s="93">
        <v>46272</v>
      </c>
      <c r="IS1" s="93">
        <v>46273</v>
      </c>
      <c r="IT1" s="93">
        <v>46274</v>
      </c>
      <c r="IU1" s="93">
        <v>46275</v>
      </c>
      <c r="IV1" s="93">
        <v>46276</v>
      </c>
      <c r="IW1" s="93">
        <v>46277</v>
      </c>
      <c r="IX1" s="93">
        <v>46278</v>
      </c>
      <c r="IY1" s="93">
        <v>46279</v>
      </c>
      <c r="IZ1" s="93">
        <v>46280</v>
      </c>
      <c r="JA1" s="93">
        <v>46281</v>
      </c>
      <c r="JB1" s="93">
        <v>46282</v>
      </c>
      <c r="JC1" s="93">
        <v>46283</v>
      </c>
      <c r="JD1" s="93">
        <v>46284</v>
      </c>
      <c r="JE1" s="93">
        <v>46285</v>
      </c>
      <c r="JF1" s="93">
        <v>46286</v>
      </c>
      <c r="JG1" s="93">
        <v>46287</v>
      </c>
      <c r="JH1" s="93">
        <v>46288</v>
      </c>
      <c r="JI1" s="93">
        <v>46289</v>
      </c>
      <c r="JJ1" s="93">
        <v>46290</v>
      </c>
      <c r="JK1" s="93">
        <v>46291</v>
      </c>
      <c r="JL1" s="93">
        <v>46292</v>
      </c>
      <c r="JM1" s="93">
        <v>46293</v>
      </c>
      <c r="JN1" s="93">
        <v>46294</v>
      </c>
      <c r="JO1" s="93">
        <v>46295</v>
      </c>
      <c r="JP1" s="93">
        <v>46296</v>
      </c>
      <c r="JQ1" s="93">
        <v>46297</v>
      </c>
      <c r="JR1" s="93">
        <v>46298</v>
      </c>
      <c r="JS1" s="93">
        <v>46299</v>
      </c>
      <c r="JT1" s="93">
        <v>46300</v>
      </c>
      <c r="JU1" s="93">
        <v>46301</v>
      </c>
      <c r="JV1" s="93">
        <v>46302</v>
      </c>
      <c r="JW1" s="93">
        <v>46303</v>
      </c>
      <c r="JX1" s="93">
        <v>46304</v>
      </c>
      <c r="JY1" s="93">
        <v>46305</v>
      </c>
      <c r="JZ1" s="93">
        <v>46306</v>
      </c>
      <c r="KA1" s="93">
        <v>46307</v>
      </c>
      <c r="KB1" s="93">
        <v>46308</v>
      </c>
      <c r="KC1" s="93">
        <v>46309</v>
      </c>
      <c r="KD1" s="93">
        <v>46310</v>
      </c>
      <c r="KE1" s="93">
        <v>46311</v>
      </c>
      <c r="KF1" s="93">
        <v>46312</v>
      </c>
      <c r="KG1" s="93">
        <v>46313</v>
      </c>
      <c r="KH1" s="93">
        <v>46314</v>
      </c>
      <c r="KI1" s="93">
        <v>46315</v>
      </c>
      <c r="KJ1" s="93">
        <v>46316</v>
      </c>
      <c r="KK1" s="93">
        <v>46317</v>
      </c>
      <c r="KL1" s="93">
        <v>46318</v>
      </c>
      <c r="KM1" s="93">
        <v>46319</v>
      </c>
      <c r="KN1" s="93">
        <v>46320</v>
      </c>
      <c r="KO1" s="93">
        <v>46321</v>
      </c>
      <c r="KP1" s="93">
        <v>46322</v>
      </c>
      <c r="KQ1" s="93">
        <v>46323</v>
      </c>
      <c r="KR1" s="93">
        <v>46324</v>
      </c>
      <c r="KS1" s="93">
        <v>46325</v>
      </c>
      <c r="KT1" s="93">
        <v>46326</v>
      </c>
      <c r="KU1" s="93">
        <v>46327</v>
      </c>
      <c r="KV1" s="93">
        <v>46328</v>
      </c>
      <c r="KW1" s="93">
        <v>46329</v>
      </c>
      <c r="KX1" s="93">
        <v>46330</v>
      </c>
      <c r="KY1" s="93">
        <v>46331</v>
      </c>
      <c r="KZ1" s="93">
        <v>46332</v>
      </c>
      <c r="LA1" s="93">
        <v>46333</v>
      </c>
      <c r="LB1" s="93">
        <v>46334</v>
      </c>
      <c r="LC1" s="93">
        <v>46335</v>
      </c>
      <c r="LD1" s="93">
        <v>46336</v>
      </c>
      <c r="LE1" s="93">
        <v>46337</v>
      </c>
      <c r="LF1" s="93">
        <v>46338</v>
      </c>
      <c r="LG1" s="93">
        <v>46339</v>
      </c>
      <c r="LH1" s="93">
        <v>46340</v>
      </c>
      <c r="LI1" s="93">
        <v>46341</v>
      </c>
      <c r="LJ1" s="93">
        <v>46342</v>
      </c>
      <c r="LK1" s="93">
        <v>46343</v>
      </c>
      <c r="LL1" s="93">
        <v>46344</v>
      </c>
      <c r="LM1" s="93">
        <v>46345</v>
      </c>
      <c r="LN1" s="93">
        <v>46346</v>
      </c>
      <c r="LO1" s="93">
        <v>46347</v>
      </c>
      <c r="LP1" s="93">
        <v>46348</v>
      </c>
      <c r="LQ1" s="93">
        <v>46349</v>
      </c>
      <c r="LR1" s="93">
        <v>46350</v>
      </c>
      <c r="LS1" s="93">
        <v>46351</v>
      </c>
      <c r="LT1" s="93">
        <v>46352</v>
      </c>
      <c r="LU1" s="93">
        <v>46353</v>
      </c>
      <c r="LV1" s="93">
        <v>46354</v>
      </c>
      <c r="LW1" s="93">
        <v>46355</v>
      </c>
      <c r="LX1" s="93">
        <v>46356</v>
      </c>
      <c r="LY1" s="93">
        <v>46357</v>
      </c>
      <c r="LZ1" s="93">
        <v>46358</v>
      </c>
      <c r="MA1" s="93">
        <v>46359</v>
      </c>
      <c r="MB1" s="93">
        <v>46360</v>
      </c>
      <c r="MC1" s="93">
        <v>46361</v>
      </c>
      <c r="MD1" s="93">
        <v>46362</v>
      </c>
      <c r="ME1" s="93">
        <v>46363</v>
      </c>
      <c r="MF1" s="93">
        <v>46364</v>
      </c>
      <c r="MG1" s="93">
        <v>46365</v>
      </c>
      <c r="MH1" s="93">
        <v>46366</v>
      </c>
      <c r="MI1" s="93">
        <v>46367</v>
      </c>
      <c r="MJ1" s="93">
        <v>46368</v>
      </c>
      <c r="MK1" s="93">
        <v>46369</v>
      </c>
      <c r="ML1" s="93">
        <v>46370</v>
      </c>
      <c r="MM1" s="93">
        <v>46371</v>
      </c>
      <c r="MN1" s="93">
        <v>46372</v>
      </c>
      <c r="MO1" s="93">
        <v>46373</v>
      </c>
      <c r="MP1" s="93">
        <v>46374</v>
      </c>
      <c r="MQ1" s="93">
        <v>46375</v>
      </c>
      <c r="MR1" s="93">
        <v>46376</v>
      </c>
      <c r="MS1" s="93">
        <v>46377</v>
      </c>
      <c r="MT1" s="93">
        <v>46378</v>
      </c>
      <c r="MU1" s="93">
        <v>46379</v>
      </c>
      <c r="MV1" s="93">
        <v>46380</v>
      </c>
      <c r="MW1" s="93">
        <v>46381</v>
      </c>
      <c r="MX1" s="93">
        <v>46382</v>
      </c>
      <c r="MY1" s="93">
        <v>46383</v>
      </c>
      <c r="MZ1" s="93">
        <v>46384</v>
      </c>
      <c r="NA1" s="93">
        <v>46385</v>
      </c>
      <c r="NB1" s="93">
        <v>46386</v>
      </c>
      <c r="NC1" s="93">
        <v>46387</v>
      </c>
    </row>
    <row r="2" spans="1:367" x14ac:dyDescent="0.25">
      <c r="A2" s="98">
        <v>1</v>
      </c>
      <c r="B2" s="99">
        <v>0.21666666666666667</v>
      </c>
      <c r="C2" s="151"/>
      <c r="D2" s="151">
        <v>0.23541666666666666</v>
      </c>
      <c r="E2" s="151" t="s">
        <v>121</v>
      </c>
      <c r="F2" s="151" t="s">
        <v>121</v>
      </c>
      <c r="G2" s="151">
        <v>0.21875</v>
      </c>
      <c r="H2" s="151">
        <v>0.25486111111111109</v>
      </c>
      <c r="I2" s="151">
        <v>0.24722222222222223</v>
      </c>
      <c r="J2" s="151">
        <v>0.24305555555555555</v>
      </c>
      <c r="K2" s="151">
        <v>0.22500000000000001</v>
      </c>
      <c r="L2" s="151">
        <v>0.28749999999999998</v>
      </c>
      <c r="M2" s="151">
        <v>0.27083333333333331</v>
      </c>
      <c r="N2" s="151" t="s">
        <v>122</v>
      </c>
      <c r="O2" s="151">
        <v>0.24930555555555556</v>
      </c>
      <c r="P2" s="112">
        <v>0.23541666666666666</v>
      </c>
      <c r="Q2" s="113">
        <v>0.26180555555555557</v>
      </c>
      <c r="R2" s="113">
        <v>0.24583333333333332</v>
      </c>
      <c r="S2" s="113">
        <v>0.26874999999999999</v>
      </c>
      <c r="T2" s="113">
        <v>0.29583333333333334</v>
      </c>
      <c r="U2" s="113">
        <v>0.25</v>
      </c>
      <c r="V2" s="113">
        <v>0.25</v>
      </c>
      <c r="W2" s="113">
        <v>0.23472222222222222</v>
      </c>
      <c r="X2" s="113">
        <v>0.23055555555555557</v>
      </c>
      <c r="Y2" s="113">
        <v>0.22916666666666666</v>
      </c>
      <c r="Z2" s="113">
        <v>0.30486111111111114</v>
      </c>
      <c r="AA2" s="113">
        <v>0.28125</v>
      </c>
      <c r="AB2" s="113">
        <v>0.22638888888888889</v>
      </c>
      <c r="AC2" s="113">
        <v>0.24652777777777779</v>
      </c>
      <c r="AD2" s="113">
        <v>0.24027777777777778</v>
      </c>
      <c r="AE2" s="113">
        <v>0.24097222222222223</v>
      </c>
      <c r="AF2" s="113">
        <v>0.24444444444444444</v>
      </c>
      <c r="AG2" s="113">
        <v>0.28749999999999998</v>
      </c>
      <c r="AH2" s="113">
        <v>0.28749999999999998</v>
      </c>
      <c r="AI2" s="113"/>
      <c r="AJ2" s="113">
        <v>0.27500000000000002</v>
      </c>
      <c r="AK2" s="113">
        <v>0.28333333333333333</v>
      </c>
      <c r="AL2" s="113">
        <v>0.27013888888888887</v>
      </c>
      <c r="AM2" s="113">
        <v>0.31111111111111112</v>
      </c>
      <c r="AN2" s="113">
        <v>0.28402777777777777</v>
      </c>
      <c r="AO2" s="113">
        <v>0.29722222222222222</v>
      </c>
      <c r="AP2" s="113">
        <v>0.29791666666666666</v>
      </c>
      <c r="AQ2" s="113">
        <v>0.28749999999999998</v>
      </c>
      <c r="AR2" s="113">
        <v>0.26597222222222222</v>
      </c>
      <c r="AS2" s="113">
        <v>0.25277777777777777</v>
      </c>
      <c r="AT2" s="113">
        <v>0.27986111111111112</v>
      </c>
      <c r="AU2" s="113" t="s">
        <v>123</v>
      </c>
      <c r="AV2" s="113" t="s">
        <v>124</v>
      </c>
      <c r="AW2" s="113" t="s">
        <v>125</v>
      </c>
      <c r="AX2" s="113">
        <v>0.27152777777777776</v>
      </c>
      <c r="AY2" s="113">
        <v>0.24513888888888888</v>
      </c>
      <c r="AZ2" s="113">
        <v>0.22847222222222222</v>
      </c>
      <c r="BA2" s="113">
        <v>0.30694444444444446</v>
      </c>
      <c r="BB2" s="113">
        <v>0.2986111111111111</v>
      </c>
      <c r="BC2" s="113" t="s">
        <v>124</v>
      </c>
      <c r="BD2" s="113">
        <v>0.23402777777777778</v>
      </c>
      <c r="BE2" s="113">
        <v>0.36666666666666664</v>
      </c>
      <c r="BF2" s="113">
        <v>0.23333333333333334</v>
      </c>
      <c r="BG2" s="113">
        <v>0.24374999999999999</v>
      </c>
      <c r="BH2" s="113">
        <v>0.25347222222222221</v>
      </c>
      <c r="BI2" s="113">
        <v>0.31527777777777777</v>
      </c>
      <c r="BJ2" s="113" t="s">
        <v>123</v>
      </c>
      <c r="BK2" s="113" t="s">
        <v>126</v>
      </c>
      <c r="BL2" s="113">
        <v>0.24722222222222223</v>
      </c>
      <c r="BM2" s="113">
        <v>0.24791666666666667</v>
      </c>
      <c r="BN2" s="113">
        <v>0.24722222222222223</v>
      </c>
      <c r="BO2" s="113">
        <v>0.38680555555555557</v>
      </c>
      <c r="BP2" s="113">
        <v>0.25</v>
      </c>
      <c r="BQ2" s="113">
        <v>0.28888888888888886</v>
      </c>
      <c r="BR2" s="113" t="s">
        <v>127</v>
      </c>
      <c r="BS2" s="113">
        <v>0.24583333333333332</v>
      </c>
      <c r="BT2" s="113">
        <v>0.24236111111111111</v>
      </c>
      <c r="BU2" s="113">
        <v>0.24722222222222223</v>
      </c>
      <c r="BV2" s="113">
        <v>0.22291666666666668</v>
      </c>
      <c r="BW2" s="113">
        <v>0.26874999999999999</v>
      </c>
      <c r="BX2" s="113">
        <v>0.2638888888888889</v>
      </c>
      <c r="BY2" s="113">
        <v>0.4465277777777778</v>
      </c>
      <c r="BZ2" s="113">
        <v>0.25</v>
      </c>
      <c r="CA2" s="113"/>
      <c r="CB2" s="113"/>
      <c r="CC2" s="48"/>
      <c r="CD2" s="113"/>
      <c r="CE2" s="113"/>
      <c r="CF2" s="113"/>
      <c r="CG2" s="113"/>
      <c r="CH2" s="113"/>
      <c r="CI2" s="113"/>
      <c r="CJ2" s="48"/>
      <c r="CK2" s="113"/>
      <c r="CL2" s="113"/>
      <c r="CM2" s="113"/>
      <c r="CN2" s="113"/>
      <c r="CO2" s="113"/>
      <c r="CP2" s="113"/>
      <c r="CQ2" s="48"/>
      <c r="CR2" s="113"/>
      <c r="CS2" s="113"/>
      <c r="CT2" s="113"/>
      <c r="CU2" s="113"/>
      <c r="CV2" s="113"/>
      <c r="CW2" s="113"/>
      <c r="CX2" s="48"/>
      <c r="CY2" s="113"/>
      <c r="CZ2" s="113"/>
      <c r="DA2" s="113"/>
      <c r="DB2" s="113"/>
      <c r="DC2" s="113"/>
      <c r="DD2" s="113"/>
      <c r="DE2" s="48"/>
      <c r="DF2" s="113"/>
      <c r="DG2" s="113"/>
      <c r="DH2" s="113"/>
      <c r="DI2" s="113"/>
      <c r="DJ2" s="113"/>
      <c r="DK2" s="113"/>
      <c r="DL2" s="48"/>
      <c r="DM2" s="113"/>
      <c r="DN2" s="113"/>
      <c r="DO2" s="113"/>
      <c r="DP2" s="113"/>
      <c r="DQ2" s="113"/>
      <c r="DR2" s="113"/>
      <c r="DS2" s="48"/>
      <c r="DT2" s="113"/>
      <c r="DU2" s="113"/>
      <c r="DV2" s="113"/>
      <c r="DW2" s="113"/>
      <c r="DX2" s="113"/>
      <c r="DY2" s="113"/>
      <c r="DZ2" s="48"/>
      <c r="EA2" s="113"/>
      <c r="EB2" s="113"/>
      <c r="EC2" s="113"/>
      <c r="ED2" s="113"/>
      <c r="EE2" s="113"/>
      <c r="EF2" s="135"/>
      <c r="EG2" s="28"/>
      <c r="EH2" s="135"/>
      <c r="EI2" s="135"/>
      <c r="EJ2" s="135"/>
      <c r="EK2" s="135"/>
      <c r="EL2" s="28"/>
      <c r="EM2" s="135"/>
      <c r="EN2" s="135"/>
      <c r="EO2" s="135"/>
      <c r="EP2" s="135"/>
      <c r="EQ2" s="135"/>
      <c r="ER2" s="135"/>
      <c r="ES2" s="135"/>
      <c r="ET2" s="135"/>
      <c r="EU2" s="28"/>
      <c r="EV2" s="135"/>
      <c r="EW2" s="135"/>
      <c r="EX2" s="135"/>
      <c r="EY2" s="135"/>
      <c r="EZ2" s="135"/>
      <c r="FA2" s="135"/>
      <c r="FB2" s="28"/>
      <c r="FC2" s="135"/>
      <c r="FD2" s="135"/>
      <c r="FE2" s="135"/>
      <c r="FF2" s="225"/>
      <c r="FG2" s="225"/>
      <c r="FH2" s="225"/>
      <c r="FI2" s="225"/>
      <c r="FJ2" s="225"/>
      <c r="FK2" s="225"/>
      <c r="FL2" s="225"/>
      <c r="FM2" s="225"/>
      <c r="FN2" s="225"/>
      <c r="FO2" s="225"/>
      <c r="FP2" s="225"/>
      <c r="FQ2" s="225"/>
      <c r="FR2" s="225"/>
      <c r="FS2" s="225"/>
      <c r="FT2" s="225"/>
      <c r="FU2" s="225"/>
      <c r="FV2" s="225"/>
      <c r="FW2" s="225"/>
      <c r="FX2" s="225"/>
      <c r="FY2" s="225"/>
      <c r="FZ2" s="225"/>
      <c r="GA2" s="225"/>
      <c r="GB2" s="225"/>
      <c r="GC2" s="225"/>
      <c r="GD2" s="225"/>
      <c r="GE2" s="225"/>
      <c r="GF2" s="225"/>
      <c r="GG2" s="225"/>
      <c r="GH2" s="225"/>
      <c r="GI2" s="225"/>
      <c r="GJ2" s="225"/>
      <c r="GK2" s="225"/>
      <c r="GL2" s="225"/>
      <c r="GM2" s="225"/>
      <c r="GN2" s="225"/>
      <c r="GO2" s="225"/>
      <c r="GP2" s="225"/>
      <c r="GQ2" s="225"/>
      <c r="GR2" s="225"/>
      <c r="GS2" s="225"/>
      <c r="GT2" s="225"/>
      <c r="GU2" s="42"/>
      <c r="GV2" s="225"/>
      <c r="GW2" s="225"/>
      <c r="GX2" s="225"/>
      <c r="GY2" s="42"/>
      <c r="GZ2" s="225"/>
      <c r="HA2" s="225"/>
      <c r="HB2" s="225"/>
      <c r="HC2" s="225"/>
      <c r="HD2" s="225"/>
      <c r="HE2" s="225"/>
      <c r="HF2" s="225"/>
      <c r="HG2" s="225"/>
      <c r="HH2" s="225"/>
      <c r="HI2" s="225"/>
      <c r="HJ2" s="225"/>
      <c r="HK2" s="225"/>
      <c r="HL2" s="225"/>
      <c r="HM2" s="225"/>
      <c r="HN2" s="225"/>
      <c r="HO2" s="225"/>
      <c r="HP2" s="225"/>
      <c r="HQ2" s="225"/>
      <c r="HR2" s="225"/>
      <c r="HS2" s="225"/>
      <c r="HT2" s="225"/>
      <c r="HU2" s="225"/>
      <c r="HV2" s="42"/>
      <c r="HW2" s="225"/>
      <c r="HX2" s="225"/>
      <c r="HY2" s="225"/>
      <c r="HZ2" s="225"/>
      <c r="IA2" s="225"/>
      <c r="IB2" s="235"/>
      <c r="IC2" s="225"/>
      <c r="ID2" s="225"/>
      <c r="IE2" s="225"/>
      <c r="IF2" s="225"/>
      <c r="IG2" s="225"/>
      <c r="IH2" s="225"/>
      <c r="II2" s="234"/>
      <c r="IJ2" s="225"/>
      <c r="IK2" s="225"/>
      <c r="IL2" s="225"/>
      <c r="IM2" s="225"/>
      <c r="IN2" s="225"/>
      <c r="IO2" s="225"/>
      <c r="IP2" s="234"/>
      <c r="IQ2" s="42"/>
      <c r="IR2" s="225"/>
      <c r="IS2" s="225"/>
      <c r="IT2" s="225"/>
      <c r="IU2" s="225"/>
      <c r="IV2" s="225"/>
      <c r="IW2" s="225"/>
      <c r="IX2" s="42"/>
      <c r="IY2" s="225"/>
      <c r="IZ2" s="225"/>
      <c r="JA2" s="225"/>
      <c r="JB2" s="225"/>
      <c r="JC2" s="225"/>
      <c r="JD2" s="225"/>
      <c r="JE2" s="42"/>
      <c r="JF2" s="225"/>
      <c r="JG2" s="225"/>
      <c r="JH2" s="225"/>
      <c r="JI2" s="225"/>
      <c r="JJ2" s="225"/>
      <c r="JK2" s="42"/>
      <c r="JL2" s="42"/>
      <c r="JM2" s="225"/>
      <c r="JN2" s="225"/>
      <c r="JO2" s="225"/>
      <c r="JP2" s="225"/>
      <c r="JQ2" s="225"/>
      <c r="JR2" s="225"/>
      <c r="JS2" s="225"/>
      <c r="JT2" s="225"/>
      <c r="JU2" s="225"/>
      <c r="JV2" s="225"/>
      <c r="JW2" s="225"/>
      <c r="JX2" s="225"/>
      <c r="JY2" s="225"/>
      <c r="JZ2" s="225"/>
      <c r="KA2" s="225"/>
      <c r="KB2" s="225"/>
      <c r="KC2" s="225"/>
      <c r="KD2" s="225"/>
      <c r="KE2" s="225"/>
      <c r="KF2" s="225"/>
      <c r="KG2" s="42"/>
      <c r="KH2" s="225"/>
      <c r="KI2" s="225"/>
      <c r="KJ2" s="225"/>
      <c r="KK2" s="225"/>
      <c r="KL2" s="225"/>
      <c r="KM2" s="225"/>
      <c r="KN2" s="225"/>
      <c r="KO2" s="225"/>
      <c r="KP2" s="225"/>
      <c r="KQ2" s="225"/>
      <c r="KR2" s="225"/>
      <c r="KS2" s="225"/>
      <c r="KT2" s="225"/>
      <c r="KU2" s="42"/>
      <c r="KV2" s="42"/>
      <c r="KW2" s="225"/>
      <c r="KX2" s="225"/>
      <c r="KY2" s="225"/>
      <c r="KZ2" s="225"/>
      <c r="LA2" s="42"/>
      <c r="LB2" s="42"/>
      <c r="LC2" s="225"/>
      <c r="LD2" s="225"/>
      <c r="LE2" s="225"/>
      <c r="LF2" s="225"/>
      <c r="LG2" s="225"/>
      <c r="LH2" s="225"/>
      <c r="LI2" s="42"/>
      <c r="LJ2" s="225"/>
      <c r="LK2" s="225"/>
      <c r="LL2" s="225"/>
      <c r="LM2" s="225"/>
      <c r="LN2" s="42"/>
      <c r="LO2" s="42"/>
      <c r="LP2" s="42"/>
      <c r="LQ2" s="225"/>
      <c r="LR2" s="225"/>
      <c r="LS2" s="42"/>
      <c r="LT2" s="42"/>
      <c r="LU2" s="42"/>
      <c r="LV2" s="42"/>
      <c r="LW2" s="225"/>
      <c r="LX2" s="225"/>
      <c r="LY2" s="42"/>
      <c r="LZ2" s="42"/>
      <c r="MA2" s="42"/>
      <c r="MB2" s="42"/>
      <c r="MC2" s="42"/>
      <c r="MD2" s="42"/>
      <c r="ME2" s="42"/>
      <c r="MF2" s="42"/>
      <c r="MG2" s="42"/>
      <c r="MH2" s="42"/>
      <c r="MI2" s="42"/>
      <c r="MJ2" s="42"/>
      <c r="MK2" s="42"/>
      <c r="ML2" s="42"/>
      <c r="MM2" s="42"/>
      <c r="MN2" s="42"/>
      <c r="MO2" s="42"/>
      <c r="MP2" s="42"/>
      <c r="MQ2" s="42"/>
      <c r="MR2" s="42"/>
      <c r="MS2" s="42"/>
      <c r="MT2" s="42"/>
      <c r="MU2" s="42"/>
      <c r="MV2" s="42"/>
      <c r="MW2" s="42"/>
      <c r="MX2" s="42"/>
      <c r="MY2" s="42"/>
      <c r="MZ2" s="42"/>
      <c r="NA2" s="42"/>
      <c r="NB2" s="42"/>
      <c r="NC2" s="42"/>
    </row>
    <row r="3" spans="1:367" x14ac:dyDescent="0.25">
      <c r="A3" s="102">
        <v>2</v>
      </c>
      <c r="B3" s="97">
        <v>0.22013888888888888</v>
      </c>
      <c r="C3" s="151"/>
      <c r="D3" s="151">
        <v>0.2388888888888889</v>
      </c>
      <c r="E3" s="151" t="s">
        <v>123</v>
      </c>
      <c r="F3" s="151" t="s">
        <v>123</v>
      </c>
      <c r="G3" s="151">
        <v>0.22708333333333333</v>
      </c>
      <c r="H3" s="151">
        <v>0.25763888888888886</v>
      </c>
      <c r="I3" s="151">
        <v>0.24930555555555556</v>
      </c>
      <c r="J3" s="151">
        <v>0.24444444444444444</v>
      </c>
      <c r="K3" s="151">
        <v>0.2326388888888889</v>
      </c>
      <c r="L3" s="151">
        <v>0.28958333333333336</v>
      </c>
      <c r="M3" s="151">
        <v>0.27986111111111112</v>
      </c>
      <c r="N3" s="151" t="s">
        <v>128</v>
      </c>
      <c r="O3" s="151">
        <v>0.25833333333333336</v>
      </c>
      <c r="P3" s="112">
        <v>0.23749999999999999</v>
      </c>
      <c r="Q3" s="113">
        <v>0.2638888888888889</v>
      </c>
      <c r="R3" s="113">
        <v>0.24861111111111112</v>
      </c>
      <c r="S3" s="113">
        <v>0.27152777777777776</v>
      </c>
      <c r="T3" s="113">
        <v>0.29791666666666666</v>
      </c>
      <c r="U3" s="113">
        <v>0.25208333333333333</v>
      </c>
      <c r="V3" s="113">
        <v>0.25277777777777777</v>
      </c>
      <c r="W3" s="113">
        <v>0.23541666666666666</v>
      </c>
      <c r="X3" s="113">
        <v>0.24236111111111111</v>
      </c>
      <c r="Y3" s="113">
        <v>0.2326388888888889</v>
      </c>
      <c r="Z3" s="113">
        <v>0.30694444444444446</v>
      </c>
      <c r="AA3" s="113">
        <v>0.28958333333333336</v>
      </c>
      <c r="AB3" s="113">
        <v>0.22847222222222222</v>
      </c>
      <c r="AC3" s="113">
        <v>0.25069444444444444</v>
      </c>
      <c r="AD3" s="113">
        <v>0.24305555555555555</v>
      </c>
      <c r="AE3" s="113">
        <v>0.24305555555555555</v>
      </c>
      <c r="AF3" s="113">
        <v>0.25</v>
      </c>
      <c r="AG3" s="113">
        <v>0.2951388888888889</v>
      </c>
      <c r="AH3" s="113">
        <v>0.29097222222222224</v>
      </c>
      <c r="AI3" s="113" t="s">
        <v>129</v>
      </c>
      <c r="AJ3" s="113">
        <v>0.27847222222222223</v>
      </c>
      <c r="AK3" s="113">
        <v>0.28611111111111109</v>
      </c>
      <c r="AL3" s="113">
        <v>0.27500000000000002</v>
      </c>
      <c r="AM3" s="113">
        <v>0.31388888888888888</v>
      </c>
      <c r="AN3" s="113">
        <v>0.28749999999999998</v>
      </c>
      <c r="AO3" s="113" t="s">
        <v>130</v>
      </c>
      <c r="AP3" s="113" t="s">
        <v>130</v>
      </c>
      <c r="AQ3" s="113">
        <v>0.28958333333333336</v>
      </c>
      <c r="AR3" s="113">
        <v>0.27430555555555558</v>
      </c>
      <c r="AS3" s="113" t="s">
        <v>131</v>
      </c>
      <c r="AT3" s="113">
        <v>0.28194444444444444</v>
      </c>
      <c r="AU3" s="113" t="s">
        <v>132</v>
      </c>
      <c r="AV3" s="113" t="s">
        <v>133</v>
      </c>
      <c r="AW3" s="113" t="s">
        <v>127</v>
      </c>
      <c r="AX3" s="113"/>
      <c r="AY3" s="113">
        <v>0.24861111111111112</v>
      </c>
      <c r="AZ3" s="113">
        <v>0.23125000000000001</v>
      </c>
      <c r="BA3" s="113">
        <v>0.30763888888888891</v>
      </c>
      <c r="BB3" s="113">
        <v>0.30138888888888887</v>
      </c>
      <c r="BC3" s="113" t="s">
        <v>134</v>
      </c>
      <c r="BD3" s="113">
        <v>0.23472222222222222</v>
      </c>
      <c r="BE3" s="113">
        <v>0.36944444444444446</v>
      </c>
      <c r="BF3" s="113">
        <v>0.23541666666666666</v>
      </c>
      <c r="BG3" s="113">
        <v>0.24583333333333332</v>
      </c>
      <c r="BH3" s="113">
        <v>0.25763888888888886</v>
      </c>
      <c r="BI3" s="113">
        <v>0.31805555555555554</v>
      </c>
      <c r="BJ3" s="113" t="s">
        <v>135</v>
      </c>
      <c r="BK3" s="113" t="s">
        <v>123</v>
      </c>
      <c r="BL3" s="113">
        <v>0.25</v>
      </c>
      <c r="BM3" s="113">
        <v>0.25138888888888888</v>
      </c>
      <c r="BN3" s="113">
        <v>0.25</v>
      </c>
      <c r="BO3" s="113">
        <v>0.39513888888888887</v>
      </c>
      <c r="BP3" s="113">
        <v>0.25277777777777777</v>
      </c>
      <c r="BQ3" s="113">
        <v>0.29097222222222224</v>
      </c>
      <c r="BR3" s="113" t="s">
        <v>136</v>
      </c>
      <c r="BS3" s="113">
        <v>0.25069444444444444</v>
      </c>
      <c r="BT3" s="113">
        <v>0.24513888888888888</v>
      </c>
      <c r="BU3" s="113">
        <v>0.25</v>
      </c>
      <c r="BV3" s="113">
        <v>0.23055555555555557</v>
      </c>
      <c r="BW3" s="113">
        <v>0.27916666666666667</v>
      </c>
      <c r="BX3" s="113">
        <v>0.2722222222222222</v>
      </c>
      <c r="BY3" s="113">
        <v>0.44861111111111113</v>
      </c>
      <c r="BZ3" s="113">
        <v>0.25277777777777777</v>
      </c>
      <c r="CA3" s="113"/>
      <c r="CB3" s="113"/>
      <c r="CC3" s="48"/>
      <c r="CD3" s="113"/>
      <c r="CE3" s="113"/>
      <c r="CF3" s="113"/>
      <c r="CG3" s="113"/>
      <c r="CH3" s="113"/>
      <c r="CI3" s="113"/>
      <c r="CJ3" s="48"/>
      <c r="CK3" s="113"/>
      <c r="CL3" s="113"/>
      <c r="CM3" s="113"/>
      <c r="CN3" s="113"/>
      <c r="CO3" s="113"/>
      <c r="CP3" s="113"/>
      <c r="CQ3" s="48"/>
      <c r="CR3" s="113"/>
      <c r="CS3" s="113"/>
      <c r="CT3" s="113"/>
      <c r="CU3" s="113"/>
      <c r="CV3" s="113"/>
      <c r="CW3" s="113"/>
      <c r="CX3" s="48"/>
      <c r="CY3" s="113"/>
      <c r="CZ3" s="113"/>
      <c r="DA3" s="113"/>
      <c r="DB3" s="113"/>
      <c r="DC3" s="113"/>
      <c r="DD3" s="113"/>
      <c r="DE3" s="48"/>
      <c r="DF3" s="113"/>
      <c r="DG3" s="113"/>
      <c r="DH3" s="113"/>
      <c r="DI3" s="113"/>
      <c r="DJ3" s="113"/>
      <c r="DK3" s="113"/>
      <c r="DL3" s="48"/>
      <c r="DM3" s="113"/>
      <c r="DN3" s="113"/>
      <c r="DO3" s="113"/>
      <c r="DP3" s="113"/>
      <c r="DQ3" s="113"/>
      <c r="DR3" s="113"/>
      <c r="DS3" s="48"/>
      <c r="DT3" s="113"/>
      <c r="DU3" s="113"/>
      <c r="DV3" s="113"/>
      <c r="DW3" s="113"/>
      <c r="DX3" s="113"/>
      <c r="DY3" s="113"/>
      <c r="DZ3" s="48"/>
      <c r="EA3" s="113"/>
      <c r="EB3" s="113"/>
      <c r="EC3" s="113"/>
      <c r="ED3" s="113"/>
      <c r="EE3" s="113"/>
      <c r="EF3" s="135"/>
      <c r="EG3" s="28"/>
      <c r="EH3" s="135"/>
      <c r="EI3" s="135"/>
      <c r="EJ3" s="135"/>
      <c r="EK3" s="135"/>
      <c r="EL3" s="28"/>
      <c r="EM3" s="135"/>
      <c r="EN3" s="135"/>
      <c r="EO3" s="135"/>
      <c r="EP3" s="135"/>
      <c r="EQ3" s="135"/>
      <c r="ER3" s="135"/>
      <c r="ES3" s="135"/>
      <c r="ET3" s="135"/>
      <c r="EU3" s="28"/>
      <c r="EV3" s="135"/>
      <c r="EW3" s="135"/>
      <c r="EX3" s="135"/>
      <c r="EY3" s="135"/>
      <c r="EZ3" s="135"/>
      <c r="FA3" s="135"/>
      <c r="FB3" s="28"/>
      <c r="FC3" s="135"/>
      <c r="FD3" s="135"/>
      <c r="FE3" s="135"/>
      <c r="FF3" s="225"/>
      <c r="FG3" s="225"/>
      <c r="FH3" s="225"/>
      <c r="FI3" s="225"/>
      <c r="FJ3" s="225"/>
      <c r="FK3" s="225"/>
      <c r="FL3" s="225"/>
      <c r="FM3" s="225"/>
      <c r="FN3" s="225"/>
      <c r="FO3" s="225"/>
      <c r="FP3" s="225"/>
      <c r="FQ3" s="225"/>
      <c r="FR3" s="225"/>
      <c r="FS3" s="225"/>
      <c r="FT3" s="225"/>
      <c r="FU3" s="225"/>
      <c r="FV3" s="225"/>
      <c r="FW3" s="225"/>
      <c r="FX3" s="225"/>
      <c r="FY3" s="225"/>
      <c r="FZ3" s="225"/>
      <c r="GA3" s="225"/>
      <c r="GB3" s="225"/>
      <c r="GC3" s="225"/>
      <c r="GD3" s="225"/>
      <c r="GE3" s="225"/>
      <c r="GF3" s="225"/>
      <c r="GG3" s="225"/>
      <c r="GH3" s="225"/>
      <c r="GI3" s="225"/>
      <c r="GJ3" s="225"/>
      <c r="GK3" s="225"/>
      <c r="GL3" s="225"/>
      <c r="GM3" s="225"/>
      <c r="GN3" s="225"/>
      <c r="GO3" s="225"/>
      <c r="GP3" s="225"/>
      <c r="GQ3" s="225"/>
      <c r="GR3" s="225"/>
      <c r="GS3" s="225"/>
      <c r="GT3" s="225"/>
      <c r="GU3" s="42"/>
      <c r="GV3" s="225"/>
      <c r="GW3" s="225"/>
      <c r="GX3" s="225"/>
      <c r="GY3" s="42"/>
      <c r="GZ3" s="225"/>
      <c r="HA3" s="225"/>
      <c r="HB3" s="225"/>
      <c r="HC3" s="225"/>
      <c r="HD3" s="225"/>
      <c r="HE3" s="225"/>
      <c r="HF3" s="225"/>
      <c r="HG3" s="42"/>
      <c r="HH3" s="225"/>
      <c r="HI3" s="225"/>
      <c r="HJ3" s="225"/>
      <c r="HK3" s="225"/>
      <c r="HL3" s="225"/>
      <c r="HM3" s="225"/>
      <c r="HN3" s="225"/>
      <c r="HO3" s="225"/>
      <c r="HP3" s="225"/>
      <c r="HQ3" s="225"/>
      <c r="HR3" s="225"/>
      <c r="HS3" s="225"/>
      <c r="HT3" s="225"/>
      <c r="HU3" s="225"/>
      <c r="HV3" s="42"/>
      <c r="HW3" s="225"/>
      <c r="HX3" s="225"/>
      <c r="HY3" s="225"/>
      <c r="HZ3" s="225"/>
      <c r="IA3" s="225"/>
      <c r="IB3" s="235"/>
      <c r="IC3" s="42"/>
      <c r="ID3" s="225"/>
      <c r="IE3" s="225"/>
      <c r="IF3" s="225"/>
      <c r="IG3" s="225"/>
      <c r="IH3" s="225"/>
      <c r="II3" s="234"/>
      <c r="IJ3" s="225"/>
      <c r="IK3" s="225"/>
      <c r="IL3" s="225"/>
      <c r="IM3" s="225"/>
      <c r="IN3" s="225"/>
      <c r="IO3" s="225"/>
      <c r="IP3" s="234"/>
      <c r="IQ3" s="42"/>
      <c r="IR3" s="225"/>
      <c r="IS3" s="225"/>
      <c r="IT3" s="225"/>
      <c r="IU3" s="225"/>
      <c r="IV3" s="225"/>
      <c r="IW3" s="225"/>
      <c r="IX3" s="42"/>
      <c r="IY3" s="225"/>
      <c r="IZ3" s="225"/>
      <c r="JA3" s="225"/>
      <c r="JB3" s="225"/>
      <c r="JC3" s="225"/>
      <c r="JD3" s="225"/>
      <c r="JE3" s="42"/>
      <c r="JF3" s="225"/>
      <c r="JG3" s="225"/>
      <c r="JH3" s="225"/>
      <c r="JI3" s="225"/>
      <c r="JJ3" s="225"/>
      <c r="JK3" s="42"/>
      <c r="JL3" s="42"/>
      <c r="JM3" s="225"/>
      <c r="JN3" s="225"/>
      <c r="JO3" s="225"/>
      <c r="JP3" s="225"/>
      <c r="JQ3" s="225"/>
      <c r="JR3" s="225"/>
      <c r="JS3" s="225"/>
      <c r="JT3" s="225"/>
      <c r="JU3" s="225"/>
      <c r="JV3" s="225"/>
      <c r="JW3" s="225"/>
      <c r="JX3" s="225"/>
      <c r="JY3" s="42"/>
      <c r="JZ3" s="225"/>
      <c r="KA3" s="225"/>
      <c r="KB3" s="225"/>
      <c r="KC3" s="225"/>
      <c r="KD3" s="225"/>
      <c r="KE3" s="225"/>
      <c r="KF3" s="225"/>
      <c r="KG3" s="42"/>
      <c r="KH3" s="225"/>
      <c r="KI3" s="225"/>
      <c r="KJ3" s="225"/>
      <c r="KK3" s="225"/>
      <c r="KL3" s="225"/>
      <c r="KM3" s="225"/>
      <c r="KN3" s="225"/>
      <c r="KO3" s="225"/>
      <c r="KP3" s="225"/>
      <c r="KQ3" s="225"/>
      <c r="KR3" s="225"/>
      <c r="KS3" s="225"/>
      <c r="KT3" s="225"/>
      <c r="KU3" s="42"/>
      <c r="KV3" s="42"/>
      <c r="KW3" s="225"/>
      <c r="KX3" s="225"/>
      <c r="KY3" s="225"/>
      <c r="KZ3" s="225"/>
      <c r="LA3" s="42"/>
      <c r="LB3" s="42"/>
      <c r="LC3" s="225"/>
      <c r="LD3" s="225"/>
      <c r="LE3" s="225"/>
      <c r="LF3" s="225"/>
      <c r="LG3" s="225"/>
      <c r="LH3" s="225"/>
      <c r="LI3" s="42"/>
      <c r="LJ3" s="225"/>
      <c r="LK3" s="225"/>
      <c r="LL3" s="225"/>
      <c r="LM3" s="225"/>
      <c r="LN3" s="42"/>
      <c r="LO3" s="42"/>
      <c r="LP3" s="42"/>
      <c r="LQ3" s="225"/>
      <c r="LR3" s="225"/>
      <c r="LS3" s="42"/>
      <c r="LT3" s="42"/>
      <c r="LU3" s="42"/>
      <c r="LV3" s="42"/>
      <c r="LW3" s="225"/>
      <c r="LX3" s="225"/>
      <c r="LY3" s="42"/>
      <c r="LZ3" s="42"/>
      <c r="MA3" s="42"/>
      <c r="MB3" s="42"/>
      <c r="MC3" s="42"/>
      <c r="MD3" s="42"/>
      <c r="ME3" s="42"/>
      <c r="MF3" s="42"/>
      <c r="MG3" s="42"/>
      <c r="MH3" s="42"/>
      <c r="MI3" s="42"/>
      <c r="MJ3" s="42"/>
      <c r="MK3" s="42"/>
      <c r="ML3" s="42"/>
      <c r="MM3" s="42"/>
      <c r="MN3" s="42"/>
      <c r="MO3" s="42"/>
      <c r="MP3" s="42"/>
      <c r="MQ3" s="42"/>
      <c r="MR3" s="42"/>
      <c r="MS3" s="42"/>
      <c r="MT3" s="42"/>
      <c r="MU3" s="42"/>
      <c r="MV3" s="42"/>
      <c r="MW3" s="42"/>
      <c r="MX3" s="42"/>
      <c r="MY3" s="42"/>
      <c r="MZ3" s="42"/>
      <c r="NA3" s="42"/>
      <c r="NB3" s="42"/>
      <c r="NC3" s="42"/>
    </row>
    <row r="4" spans="1:367" x14ac:dyDescent="0.25">
      <c r="A4" s="102">
        <v>3</v>
      </c>
      <c r="B4" s="97">
        <v>0.22847222222222222</v>
      </c>
      <c r="C4" s="151"/>
      <c r="D4" s="151">
        <v>0.24513888888888888</v>
      </c>
      <c r="E4" s="151" t="s">
        <v>137</v>
      </c>
      <c r="F4" s="151" t="s">
        <v>137</v>
      </c>
      <c r="G4" s="151">
        <v>0.23055555555555557</v>
      </c>
      <c r="H4" s="151">
        <v>0.26041666666666669</v>
      </c>
      <c r="I4" s="151">
        <v>0.25277777777777777</v>
      </c>
      <c r="J4" s="151">
        <v>0.24652777777777779</v>
      </c>
      <c r="K4" s="151">
        <v>0.2361111111111111</v>
      </c>
      <c r="L4" s="151">
        <v>0.29305555555555557</v>
      </c>
      <c r="M4" s="151">
        <v>0.28194444444444444</v>
      </c>
      <c r="N4" s="151" t="s">
        <v>137</v>
      </c>
      <c r="O4" s="151">
        <v>0.26319444444444445</v>
      </c>
      <c r="P4" s="112">
        <v>0.24027777777777778</v>
      </c>
      <c r="Q4" s="113">
        <v>0.27083333333333331</v>
      </c>
      <c r="R4" s="113">
        <v>0.25</v>
      </c>
      <c r="S4" s="113">
        <v>0.27430555555555558</v>
      </c>
      <c r="T4" s="113">
        <v>0.30069444444444443</v>
      </c>
      <c r="U4" s="113">
        <v>0.25486111111111109</v>
      </c>
      <c r="V4" s="113">
        <v>0.25416666666666665</v>
      </c>
      <c r="W4" s="113">
        <v>0.23680555555555555</v>
      </c>
      <c r="X4" s="113">
        <v>0.24444444444444444</v>
      </c>
      <c r="Y4" s="113">
        <v>0.23472222222222222</v>
      </c>
      <c r="Z4" s="113">
        <v>0.30972222222222223</v>
      </c>
      <c r="AA4" s="113">
        <v>0.30069444444444443</v>
      </c>
      <c r="AB4" s="113">
        <v>0.23055555555555557</v>
      </c>
      <c r="AC4" s="113">
        <v>0.25208333333333333</v>
      </c>
      <c r="AD4" s="113">
        <v>0.24722222222222223</v>
      </c>
      <c r="AE4" s="113"/>
      <c r="AF4" s="113">
        <v>0.25277777777777777</v>
      </c>
      <c r="AG4" s="113">
        <v>0.3</v>
      </c>
      <c r="AH4" s="113">
        <v>0.29375000000000001</v>
      </c>
      <c r="AI4" s="113" t="s">
        <v>138</v>
      </c>
      <c r="AJ4" s="113">
        <v>0.28263888888888888</v>
      </c>
      <c r="AK4" s="113">
        <v>0.29652777777777778</v>
      </c>
      <c r="AL4" s="113" t="s">
        <v>139</v>
      </c>
      <c r="AM4" s="113">
        <v>0.31805555555555554</v>
      </c>
      <c r="AN4" s="113">
        <v>0.28888888888888886</v>
      </c>
      <c r="AO4" s="113" t="s">
        <v>140</v>
      </c>
      <c r="AP4" s="113" t="s">
        <v>140</v>
      </c>
      <c r="AQ4" s="113">
        <v>0.31041666666666667</v>
      </c>
      <c r="AR4" s="113" t="s">
        <v>133</v>
      </c>
      <c r="AS4" s="113" t="s">
        <v>141</v>
      </c>
      <c r="AT4" s="113">
        <v>0.28888888888888886</v>
      </c>
      <c r="AU4" s="113" t="s">
        <v>126</v>
      </c>
      <c r="AV4" s="113" t="s">
        <v>127</v>
      </c>
      <c r="AW4" s="113" t="s">
        <v>142</v>
      </c>
      <c r="AX4" s="113"/>
      <c r="AY4" s="113">
        <v>0.25138888888888888</v>
      </c>
      <c r="AZ4" s="113">
        <v>0.23333333333333334</v>
      </c>
      <c r="BA4" s="113">
        <v>0.30833333333333335</v>
      </c>
      <c r="BB4" s="113">
        <v>0.30416666666666664</v>
      </c>
      <c r="BC4" s="113" t="s">
        <v>127</v>
      </c>
      <c r="BD4" s="113" t="s">
        <v>143</v>
      </c>
      <c r="BE4" s="113">
        <v>0.38124999999999998</v>
      </c>
      <c r="BF4" s="113">
        <v>0.24374999999999999</v>
      </c>
      <c r="BG4" s="113">
        <v>0.24791666666666667</v>
      </c>
      <c r="BH4" s="113">
        <v>0.25972222222222224</v>
      </c>
      <c r="BI4" s="113">
        <v>0.32083333333333336</v>
      </c>
      <c r="BJ4" s="113" t="s">
        <v>127</v>
      </c>
      <c r="BK4" s="113" t="s">
        <v>144</v>
      </c>
      <c r="BL4" s="113">
        <v>0.25277777777777777</v>
      </c>
      <c r="BM4" s="113">
        <v>0.25416666666666665</v>
      </c>
      <c r="BN4" s="113">
        <v>0.25277777777777777</v>
      </c>
      <c r="BO4" s="113">
        <v>0.40486111111111112</v>
      </c>
      <c r="BP4" s="113">
        <v>0.25555555555555554</v>
      </c>
      <c r="BQ4" s="113">
        <v>0.29930555555555555</v>
      </c>
      <c r="BR4" s="113" t="s">
        <v>145</v>
      </c>
      <c r="BS4" s="113">
        <v>0.25208333333333333</v>
      </c>
      <c r="BT4" s="113">
        <v>0.24791666666666667</v>
      </c>
      <c r="BU4" s="113">
        <v>0.25138888888888888</v>
      </c>
      <c r="BV4" s="113">
        <v>0.23749999999999999</v>
      </c>
      <c r="BW4" s="113">
        <v>0.28402777777777777</v>
      </c>
      <c r="BX4" s="113">
        <v>0.27430555555555558</v>
      </c>
      <c r="BY4" s="113">
        <v>0.46944444444444444</v>
      </c>
      <c r="BZ4" s="113">
        <v>0.25624999999999998</v>
      </c>
      <c r="CA4" s="113"/>
      <c r="CB4" s="113"/>
      <c r="CC4" s="48"/>
      <c r="CD4" s="113"/>
      <c r="CE4" s="113"/>
      <c r="CF4" s="113"/>
      <c r="CG4" s="113"/>
      <c r="CH4" s="113"/>
      <c r="CI4" s="113"/>
      <c r="CJ4" s="48"/>
      <c r="CK4" s="113"/>
      <c r="CL4" s="113"/>
      <c r="CM4" s="113"/>
      <c r="CN4" s="113"/>
      <c r="CO4" s="113"/>
      <c r="CP4" s="113"/>
      <c r="CQ4" s="48"/>
      <c r="CR4" s="113"/>
      <c r="CS4" s="113"/>
      <c r="CT4" s="113"/>
      <c r="CU4" s="113"/>
      <c r="CV4" s="113"/>
      <c r="CW4" s="113"/>
      <c r="CX4" s="48"/>
      <c r="CY4" s="113"/>
      <c r="CZ4" s="113"/>
      <c r="DA4" s="113"/>
      <c r="DB4" s="113"/>
      <c r="DC4" s="113"/>
      <c r="DD4" s="113"/>
      <c r="DE4" s="48"/>
      <c r="DF4" s="113"/>
      <c r="DG4" s="113"/>
      <c r="DH4" s="113"/>
      <c r="DI4" s="113"/>
      <c r="DJ4" s="113"/>
      <c r="DK4" s="113"/>
      <c r="DL4" s="48"/>
      <c r="DM4" s="113"/>
      <c r="DN4" s="113"/>
      <c r="DO4" s="113"/>
      <c r="DP4" s="113"/>
      <c r="DQ4" s="113"/>
      <c r="DR4" s="113"/>
      <c r="DS4" s="48"/>
      <c r="DT4" s="113"/>
      <c r="DU4" s="113"/>
      <c r="DV4" s="113"/>
      <c r="DW4" s="113"/>
      <c r="DX4" s="113"/>
      <c r="DY4" s="113"/>
      <c r="DZ4" s="48"/>
      <c r="EA4" s="113"/>
      <c r="EB4" s="113"/>
      <c r="EC4" s="113"/>
      <c r="ED4" s="113"/>
      <c r="EE4" s="113"/>
      <c r="EF4" s="135"/>
      <c r="EG4" s="28"/>
      <c r="EH4" s="135"/>
      <c r="EI4" s="135"/>
      <c r="EJ4" s="135"/>
      <c r="EK4" s="135"/>
      <c r="EL4" s="28"/>
      <c r="EM4" s="135"/>
      <c r="EN4" s="135"/>
      <c r="EO4" s="135"/>
      <c r="EP4" s="135"/>
      <c r="EQ4" s="135"/>
      <c r="ER4" s="135"/>
      <c r="ES4" s="135"/>
      <c r="ET4" s="135"/>
      <c r="EU4" s="28"/>
      <c r="EV4" s="135"/>
      <c r="EW4" s="135"/>
      <c r="EX4" s="135"/>
      <c r="EY4" s="135"/>
      <c r="EZ4" s="135"/>
      <c r="FA4" s="135"/>
      <c r="FB4" s="28"/>
      <c r="FC4" s="135"/>
      <c r="FD4" s="135"/>
      <c r="FE4" s="135"/>
      <c r="FF4" s="225"/>
      <c r="FG4" s="225"/>
      <c r="FH4" s="225"/>
      <c r="FI4" s="225"/>
      <c r="FJ4" s="225"/>
      <c r="FK4" s="225"/>
      <c r="FL4" s="225"/>
      <c r="FM4" s="225"/>
      <c r="FN4" s="225"/>
      <c r="FO4" s="225"/>
      <c r="FP4" s="225"/>
      <c r="FQ4" s="225"/>
      <c r="FR4" s="225"/>
      <c r="FS4" s="225"/>
      <c r="FT4" s="225"/>
      <c r="FU4" s="225"/>
      <c r="FV4" s="225"/>
      <c r="FW4" s="225"/>
      <c r="FX4" s="225"/>
      <c r="FY4" s="225"/>
      <c r="FZ4" s="225"/>
      <c r="GA4" s="225"/>
      <c r="GB4" s="225"/>
      <c r="GC4" s="225"/>
      <c r="GD4" s="225"/>
      <c r="GE4" s="225"/>
      <c r="GF4" s="225"/>
      <c r="GG4" s="225"/>
      <c r="GH4" s="225"/>
      <c r="GI4" s="225"/>
      <c r="GJ4" s="225"/>
      <c r="GK4" s="225"/>
      <c r="GL4" s="225"/>
      <c r="GM4" s="225"/>
      <c r="GN4" s="225"/>
      <c r="GO4" s="225"/>
      <c r="GP4" s="225"/>
      <c r="GQ4" s="225"/>
      <c r="GR4" s="225"/>
      <c r="GS4" s="225"/>
      <c r="GT4" s="42"/>
      <c r="GU4" s="42"/>
      <c r="GV4" s="225"/>
      <c r="GW4" s="225"/>
      <c r="GX4" s="225"/>
      <c r="GY4" s="42"/>
      <c r="GZ4" s="42"/>
      <c r="HA4" s="225"/>
      <c r="HB4" s="225"/>
      <c r="HC4" s="225"/>
      <c r="HD4" s="225"/>
      <c r="HE4" s="225"/>
      <c r="HF4" s="225"/>
      <c r="HG4" s="42"/>
      <c r="HH4" s="225"/>
      <c r="HI4" s="225"/>
      <c r="HJ4" s="225"/>
      <c r="HK4" s="225"/>
      <c r="HL4" s="225"/>
      <c r="HM4" s="225"/>
      <c r="HN4" s="225"/>
      <c r="HO4" s="225"/>
      <c r="HP4" s="225"/>
      <c r="HQ4" s="225"/>
      <c r="HR4" s="225"/>
      <c r="HS4" s="225"/>
      <c r="HT4" s="225"/>
      <c r="HU4" s="225"/>
      <c r="HV4" s="42"/>
      <c r="HW4" s="225"/>
      <c r="HX4" s="225"/>
      <c r="HY4" s="225"/>
      <c r="HZ4" s="225"/>
      <c r="IA4" s="225"/>
      <c r="IB4" s="235"/>
      <c r="IC4" s="42"/>
      <c r="ID4" s="225"/>
      <c r="IE4" s="225"/>
      <c r="IF4" s="225"/>
      <c r="IG4" s="225"/>
      <c r="IH4" s="225"/>
      <c r="II4" s="234"/>
      <c r="IJ4" s="42"/>
      <c r="IK4" s="225"/>
      <c r="IL4" s="225"/>
      <c r="IM4" s="225"/>
      <c r="IN4" s="225"/>
      <c r="IO4" s="225"/>
      <c r="IP4" s="234"/>
      <c r="IQ4" s="42"/>
      <c r="IR4" s="225"/>
      <c r="IS4" s="225"/>
      <c r="IT4" s="225"/>
      <c r="IU4" s="225"/>
      <c r="IV4" s="225"/>
      <c r="IW4" s="225"/>
      <c r="IX4" s="42"/>
      <c r="IY4" s="225"/>
      <c r="IZ4" s="225"/>
      <c r="JA4" s="225"/>
      <c r="JB4" s="225"/>
      <c r="JC4" s="225"/>
      <c r="JD4" s="225"/>
      <c r="JE4" s="42"/>
      <c r="JF4" s="225"/>
      <c r="JG4" s="225"/>
      <c r="JH4" s="225"/>
      <c r="JI4" s="225"/>
      <c r="JJ4" s="225"/>
      <c r="JK4" s="42"/>
      <c r="JL4" s="42"/>
      <c r="JM4" s="225"/>
      <c r="JN4" s="225"/>
      <c r="JO4" s="225"/>
      <c r="JP4" s="225"/>
      <c r="JQ4" s="225"/>
      <c r="JR4" s="225"/>
      <c r="JS4" s="42"/>
      <c r="JT4" s="225"/>
      <c r="JU4" s="225"/>
      <c r="JV4" s="225"/>
      <c r="JW4" s="225"/>
      <c r="JX4" s="225"/>
      <c r="JY4" s="42"/>
      <c r="JZ4" s="225"/>
      <c r="KA4" s="225"/>
      <c r="KB4" s="225"/>
      <c r="KC4" s="225"/>
      <c r="KD4" s="225"/>
      <c r="KE4" s="225"/>
      <c r="KF4" s="225"/>
      <c r="KG4" s="42"/>
      <c r="KH4" s="225"/>
      <c r="KI4" s="225"/>
      <c r="KJ4" s="225"/>
      <c r="KK4" s="225"/>
      <c r="KL4" s="225"/>
      <c r="KM4" s="225"/>
      <c r="KN4" s="225"/>
      <c r="KO4" s="225"/>
      <c r="KP4" s="225"/>
      <c r="KQ4" s="225"/>
      <c r="KR4" s="225"/>
      <c r="KS4" s="225"/>
      <c r="KT4" s="225"/>
      <c r="KU4" s="42"/>
      <c r="KV4" s="42"/>
      <c r="KW4" s="225"/>
      <c r="KX4" s="225"/>
      <c r="KY4" s="225"/>
      <c r="KZ4" s="225"/>
      <c r="LA4" s="42"/>
      <c r="LB4" s="42"/>
      <c r="LC4" s="225"/>
      <c r="LD4" s="225"/>
      <c r="LE4" s="42"/>
      <c r="LF4" s="225"/>
      <c r="LG4" s="225"/>
      <c r="LH4" s="225"/>
      <c r="LI4" s="42"/>
      <c r="LJ4" s="225"/>
      <c r="LK4" s="225"/>
      <c r="LL4" s="225"/>
      <c r="LM4" s="225"/>
      <c r="LN4" s="42"/>
      <c r="LO4" s="42"/>
      <c r="LP4" s="42"/>
      <c r="LQ4" s="42"/>
      <c r="LR4" s="225"/>
      <c r="LS4" s="42"/>
      <c r="LT4" s="42"/>
      <c r="LU4" s="42"/>
      <c r="LV4" s="42"/>
      <c r="LW4" s="225"/>
      <c r="LX4" s="225"/>
      <c r="LY4" s="42"/>
      <c r="LZ4" s="42"/>
      <c r="MA4" s="42"/>
      <c r="MB4" s="42"/>
      <c r="MC4" s="42"/>
      <c r="MD4" s="42"/>
      <c r="ME4" s="42"/>
      <c r="MF4" s="42"/>
      <c r="MG4" s="42"/>
      <c r="MH4" s="42"/>
      <c r="MI4" s="42"/>
      <c r="MJ4" s="42"/>
      <c r="MK4" s="42"/>
      <c r="ML4" s="42"/>
      <c r="MM4" s="42"/>
      <c r="MN4" s="42"/>
      <c r="MO4" s="42"/>
      <c r="MP4" s="42"/>
      <c r="MQ4" s="42"/>
      <c r="MR4" s="42"/>
      <c r="MS4" s="42"/>
      <c r="MT4" s="42"/>
      <c r="MU4" s="42"/>
      <c r="MV4" s="42"/>
      <c r="MW4" s="42"/>
      <c r="MX4" s="42"/>
      <c r="MY4" s="42"/>
      <c r="MZ4" s="42"/>
      <c r="NA4" s="42"/>
      <c r="NB4" s="42"/>
      <c r="NC4" s="42"/>
    </row>
    <row r="5" spans="1:367" x14ac:dyDescent="0.25">
      <c r="A5" s="102">
        <v>4</v>
      </c>
      <c r="B5" s="97">
        <v>0.25972222222222224</v>
      </c>
      <c r="C5" s="151"/>
      <c r="D5" s="150"/>
      <c r="E5" s="151" t="s">
        <v>146</v>
      </c>
      <c r="F5" s="151" t="s">
        <v>147</v>
      </c>
      <c r="G5" s="151">
        <v>0.23472222222222222</v>
      </c>
      <c r="H5" s="151">
        <v>0.2638888888888889</v>
      </c>
      <c r="I5" s="151">
        <v>0.26041666666666669</v>
      </c>
      <c r="J5" s="151">
        <v>0.25347222222222221</v>
      </c>
      <c r="K5" s="151">
        <v>0.2388888888888889</v>
      </c>
      <c r="L5" s="151">
        <v>0.29583333333333334</v>
      </c>
      <c r="M5" s="151">
        <v>0.3</v>
      </c>
      <c r="N5" s="151" t="s">
        <v>148</v>
      </c>
      <c r="O5" s="151">
        <v>0.26597222222222222</v>
      </c>
      <c r="P5" s="112">
        <v>0.24305555555555555</v>
      </c>
      <c r="Q5" s="113">
        <v>0.27291666666666664</v>
      </c>
      <c r="R5" s="113">
        <v>0.25277777777777777</v>
      </c>
      <c r="S5" s="113">
        <v>0.27638888888888891</v>
      </c>
      <c r="T5" s="113">
        <v>0.30277777777777776</v>
      </c>
      <c r="U5" s="113">
        <v>0.25694444444444442</v>
      </c>
      <c r="V5" s="113">
        <v>0.25694444444444442</v>
      </c>
      <c r="W5" s="113">
        <v>0.2388888888888889</v>
      </c>
      <c r="X5" s="113">
        <v>0.24722222222222223</v>
      </c>
      <c r="Y5" s="113">
        <v>0.24513888888888888</v>
      </c>
      <c r="Z5" s="113"/>
      <c r="AA5" s="113">
        <v>0.30277777777777776</v>
      </c>
      <c r="AB5" s="113">
        <v>0.23333333333333334</v>
      </c>
      <c r="AC5" s="113"/>
      <c r="AD5" s="113">
        <v>0.25069444444444444</v>
      </c>
      <c r="AE5" s="113">
        <v>0.24652777777777779</v>
      </c>
      <c r="AF5" s="113">
        <v>0.25555555555555554</v>
      </c>
      <c r="AG5" s="113">
        <v>0.30486111111111114</v>
      </c>
      <c r="AH5" s="113">
        <v>0.29652777777777778</v>
      </c>
      <c r="AI5" s="113" t="s">
        <v>127</v>
      </c>
      <c r="AJ5" s="113"/>
      <c r="AK5" s="113">
        <v>0.30555555555555558</v>
      </c>
      <c r="AL5" s="113" t="s">
        <v>149</v>
      </c>
      <c r="AM5" s="113">
        <v>0.32083333333333336</v>
      </c>
      <c r="AN5" s="113" t="s">
        <v>126</v>
      </c>
      <c r="AO5" s="113" t="s">
        <v>150</v>
      </c>
      <c r="AP5" s="113" t="s">
        <v>150</v>
      </c>
      <c r="AQ5" s="113">
        <v>0.31527777777777777</v>
      </c>
      <c r="AR5" s="113" t="s">
        <v>151</v>
      </c>
      <c r="AS5" s="113" t="s">
        <v>127</v>
      </c>
      <c r="AT5" s="113">
        <v>0.29097222222222224</v>
      </c>
      <c r="AU5" s="113" t="s">
        <v>152</v>
      </c>
      <c r="AV5" s="113" t="s">
        <v>153</v>
      </c>
      <c r="AW5" s="113" t="s">
        <v>154</v>
      </c>
      <c r="AX5" s="113">
        <v>0.27361111111111114</v>
      </c>
      <c r="AY5" s="113">
        <v>0.25486111111111109</v>
      </c>
      <c r="AZ5" s="113">
        <v>0.23749999999999999</v>
      </c>
      <c r="BA5" s="113">
        <v>0.30972222222222223</v>
      </c>
      <c r="BB5" s="113">
        <v>0.30694444444444446</v>
      </c>
      <c r="BC5" s="113" t="s">
        <v>154</v>
      </c>
      <c r="BD5" s="113" t="s">
        <v>127</v>
      </c>
      <c r="BE5" s="113"/>
      <c r="BF5" s="113">
        <v>0.25347222222222221</v>
      </c>
      <c r="BG5" s="113">
        <v>0.24930555555555556</v>
      </c>
      <c r="BH5" s="113">
        <v>0.2638888888888889</v>
      </c>
      <c r="BI5" s="113">
        <v>0.33124999999999999</v>
      </c>
      <c r="BJ5" s="113" t="s">
        <v>155</v>
      </c>
      <c r="BK5" s="113" t="s">
        <v>156</v>
      </c>
      <c r="BL5" s="113">
        <v>0.25555555555555554</v>
      </c>
      <c r="BM5" s="113">
        <v>0.25624999999999998</v>
      </c>
      <c r="BN5" s="113">
        <v>0.25555555555555554</v>
      </c>
      <c r="BO5" s="113">
        <v>0.40694444444444444</v>
      </c>
      <c r="BP5" s="113">
        <v>0.26041666666666669</v>
      </c>
      <c r="BQ5" s="113" t="s">
        <v>157</v>
      </c>
      <c r="BR5" s="113" t="s">
        <v>158</v>
      </c>
      <c r="BS5" s="113">
        <v>0.25347222222222221</v>
      </c>
      <c r="BT5" s="113">
        <v>0.25</v>
      </c>
      <c r="BU5" s="113">
        <v>0.25624999999999998</v>
      </c>
      <c r="BV5" s="113">
        <v>0.24097222222222223</v>
      </c>
      <c r="BW5" s="113">
        <v>0.28958333333333336</v>
      </c>
      <c r="BX5" s="113">
        <v>0.27638888888888891</v>
      </c>
      <c r="BY5" s="113">
        <v>0.50694444444444442</v>
      </c>
      <c r="BZ5" s="113">
        <v>0.26111111111111113</v>
      </c>
      <c r="CA5" s="113"/>
      <c r="CB5" s="113"/>
      <c r="CC5" s="48"/>
      <c r="CD5" s="113"/>
      <c r="CE5" s="113"/>
      <c r="CF5" s="113"/>
      <c r="CG5" s="113"/>
      <c r="CH5" s="113"/>
      <c r="CI5" s="113"/>
      <c r="CJ5" s="48"/>
      <c r="CK5" s="113"/>
      <c r="CL5" s="113"/>
      <c r="CM5" s="113"/>
      <c r="CN5" s="113"/>
      <c r="CO5" s="113"/>
      <c r="CP5" s="113"/>
      <c r="CQ5" s="48"/>
      <c r="CR5" s="113"/>
      <c r="CS5" s="113"/>
      <c r="CT5" s="113"/>
      <c r="CU5" s="48"/>
      <c r="CV5" s="113"/>
      <c r="CW5" s="113"/>
      <c r="CX5" s="48"/>
      <c r="CY5" s="113"/>
      <c r="CZ5" s="113"/>
      <c r="DA5" s="48"/>
      <c r="DB5" s="113"/>
      <c r="DC5" s="113"/>
      <c r="DD5" s="113"/>
      <c r="DE5" s="48"/>
      <c r="DF5" s="113"/>
      <c r="DG5" s="113"/>
      <c r="DH5" s="48"/>
      <c r="DI5" s="113"/>
      <c r="DJ5" s="113"/>
      <c r="DK5" s="113"/>
      <c r="DL5" s="48"/>
      <c r="DM5" s="113"/>
      <c r="DN5" s="113"/>
      <c r="DO5" s="113"/>
      <c r="DP5" s="113"/>
      <c r="DQ5" s="113"/>
      <c r="DR5" s="113"/>
      <c r="DS5" s="48"/>
      <c r="DT5" s="113"/>
      <c r="DU5" s="113"/>
      <c r="DV5" s="113"/>
      <c r="DW5" s="113"/>
      <c r="DX5" s="113"/>
      <c r="DY5" s="113"/>
      <c r="DZ5" s="48"/>
      <c r="EA5" s="113"/>
      <c r="EB5" s="113"/>
      <c r="EC5" s="113"/>
      <c r="ED5" s="113"/>
      <c r="EE5" s="113"/>
      <c r="EF5" s="135"/>
      <c r="EG5" s="28"/>
      <c r="EH5" s="135"/>
      <c r="EI5" s="135"/>
      <c r="EJ5" s="135"/>
      <c r="EK5" s="135"/>
      <c r="EL5" s="28"/>
      <c r="EM5" s="135"/>
      <c r="EN5" s="135"/>
      <c r="EO5" s="135"/>
      <c r="EP5" s="135"/>
      <c r="EQ5" s="135"/>
      <c r="ER5" s="135"/>
      <c r="ES5" s="135"/>
      <c r="ET5" s="135"/>
      <c r="EU5" s="28"/>
      <c r="EV5" s="135"/>
      <c r="EW5" s="135"/>
      <c r="EX5" s="135"/>
      <c r="EY5" s="135"/>
      <c r="EZ5" s="135"/>
      <c r="FA5" s="135"/>
      <c r="FB5" s="28"/>
      <c r="FC5" s="135"/>
      <c r="FD5" s="135"/>
      <c r="FE5" s="135"/>
      <c r="FF5" s="225"/>
      <c r="FG5" s="225"/>
      <c r="FH5" s="225"/>
      <c r="FI5" s="225"/>
      <c r="FJ5" s="225"/>
      <c r="FK5" s="225"/>
      <c r="FL5" s="225"/>
      <c r="FM5" s="225"/>
      <c r="FN5" s="225"/>
      <c r="FO5" s="225"/>
      <c r="FP5" s="225"/>
      <c r="FQ5" s="225"/>
      <c r="FR5" s="225"/>
      <c r="FS5" s="225"/>
      <c r="FT5" s="225"/>
      <c r="FU5" s="225"/>
      <c r="FV5" s="225"/>
      <c r="FW5" s="225"/>
      <c r="FX5" s="225"/>
      <c r="FY5" s="225"/>
      <c r="FZ5" s="225"/>
      <c r="GA5" s="225"/>
      <c r="GB5" s="225"/>
      <c r="GC5" s="225"/>
      <c r="GD5" s="225"/>
      <c r="GE5" s="225"/>
      <c r="GF5" s="225"/>
      <c r="GG5" s="225"/>
      <c r="GH5" s="225"/>
      <c r="GI5" s="225"/>
      <c r="GJ5" s="225"/>
      <c r="GK5" s="225"/>
      <c r="GL5" s="225"/>
      <c r="GM5" s="225"/>
      <c r="GN5" s="42"/>
      <c r="GO5" s="42"/>
      <c r="GP5" s="225"/>
      <c r="GQ5" s="225"/>
      <c r="GR5" s="225"/>
      <c r="GS5" s="42"/>
      <c r="GT5" s="42"/>
      <c r="GU5" s="42"/>
      <c r="GV5" s="225"/>
      <c r="GW5" s="225"/>
      <c r="GX5" s="225"/>
      <c r="GY5" s="42"/>
      <c r="GZ5" s="42"/>
      <c r="HA5" s="225"/>
      <c r="HB5" s="42"/>
      <c r="HC5" s="225"/>
      <c r="HD5" s="225"/>
      <c r="HE5" s="225"/>
      <c r="HF5" s="225"/>
      <c r="HG5" s="42"/>
      <c r="HH5" s="225"/>
      <c r="HI5" s="225"/>
      <c r="HJ5" s="225"/>
      <c r="HK5" s="225"/>
      <c r="HL5" s="225"/>
      <c r="HM5" s="225"/>
      <c r="HN5" s="225"/>
      <c r="HO5" s="225"/>
      <c r="HP5" s="225"/>
      <c r="HQ5" s="225"/>
      <c r="HR5" s="225"/>
      <c r="HS5" s="225"/>
      <c r="HT5" s="225"/>
      <c r="HU5" s="225"/>
      <c r="HV5" s="42"/>
      <c r="HW5" s="225"/>
      <c r="HX5" s="225"/>
      <c r="HY5" s="225"/>
      <c r="HZ5" s="225"/>
      <c r="IA5" s="225"/>
      <c r="IB5" s="235"/>
      <c r="IC5" s="42"/>
      <c r="ID5" s="225"/>
      <c r="IE5" s="225"/>
      <c r="IF5" s="225"/>
      <c r="IG5" s="225"/>
      <c r="IH5" s="225"/>
      <c r="II5" s="234"/>
      <c r="IJ5" s="42"/>
      <c r="IK5" s="225"/>
      <c r="IL5" s="225"/>
      <c r="IM5" s="225"/>
      <c r="IN5" s="225"/>
      <c r="IO5" s="225"/>
      <c r="IP5" s="234"/>
      <c r="IQ5" s="42"/>
      <c r="IR5" s="225"/>
      <c r="IS5" s="225"/>
      <c r="IT5" s="225"/>
      <c r="IU5" s="225"/>
      <c r="IV5" s="225"/>
      <c r="IW5" s="225"/>
      <c r="IX5" s="42"/>
      <c r="IY5" s="225"/>
      <c r="IZ5" s="225"/>
      <c r="JA5" s="225"/>
      <c r="JB5" s="225"/>
      <c r="JC5" s="225"/>
      <c r="JD5" s="225"/>
      <c r="JE5" s="42"/>
      <c r="JF5" s="225"/>
      <c r="JG5" s="225"/>
      <c r="JH5" s="225"/>
      <c r="JI5" s="225"/>
      <c r="JJ5" s="225"/>
      <c r="JK5" s="42"/>
      <c r="JL5" s="42"/>
      <c r="JM5" s="225"/>
      <c r="JN5" s="225"/>
      <c r="JO5" s="225"/>
      <c r="JP5" s="225"/>
      <c r="JQ5" s="225"/>
      <c r="JR5" s="225"/>
      <c r="JS5" s="42"/>
      <c r="JT5" s="225"/>
      <c r="JU5" s="225"/>
      <c r="JV5" s="225"/>
      <c r="JW5" s="225"/>
      <c r="JX5" s="225"/>
      <c r="JY5" s="42"/>
      <c r="JZ5" s="225"/>
      <c r="KA5" s="225"/>
      <c r="KB5" s="225"/>
      <c r="KC5" s="225"/>
      <c r="KD5" s="225"/>
      <c r="KE5" s="225"/>
      <c r="KF5" s="225"/>
      <c r="KG5" s="42"/>
      <c r="KH5" s="225"/>
      <c r="KI5" s="225"/>
      <c r="KJ5" s="225"/>
      <c r="KK5" s="225"/>
      <c r="KL5" s="225"/>
      <c r="KM5" s="225"/>
      <c r="KN5" s="225"/>
      <c r="KO5" s="225"/>
      <c r="KP5" s="225"/>
      <c r="KQ5" s="225"/>
      <c r="KR5" s="225"/>
      <c r="KS5" s="225"/>
      <c r="KT5" s="225"/>
      <c r="KU5" s="42"/>
      <c r="KV5" s="42"/>
      <c r="KW5" s="225"/>
      <c r="KX5" s="42"/>
      <c r="KY5" s="225"/>
      <c r="KZ5" s="225"/>
      <c r="LA5" s="42"/>
      <c r="LB5" s="42"/>
      <c r="LC5" s="42"/>
      <c r="LD5" s="225"/>
      <c r="LE5" s="42"/>
      <c r="LF5" s="225"/>
      <c r="LG5" s="225"/>
      <c r="LH5" s="225"/>
      <c r="LI5" s="42"/>
      <c r="LJ5" s="42"/>
      <c r="LK5" s="42"/>
      <c r="LL5" s="225"/>
      <c r="LM5" s="225"/>
      <c r="LN5" s="42"/>
      <c r="LO5" s="42"/>
      <c r="LP5" s="42"/>
      <c r="LQ5" s="42"/>
      <c r="LR5" s="42"/>
      <c r="LS5" s="42"/>
      <c r="LT5" s="42"/>
      <c r="LU5" s="42"/>
      <c r="LV5" s="42"/>
      <c r="LW5" s="225"/>
      <c r="LX5" s="225"/>
      <c r="LY5" s="42"/>
      <c r="LZ5" s="42"/>
      <c r="MA5" s="42"/>
      <c r="MB5" s="42"/>
      <c r="MC5" s="42"/>
      <c r="MD5" s="42"/>
      <c r="ME5" s="42"/>
      <c r="MF5" s="42"/>
      <c r="MG5" s="42"/>
      <c r="MH5" s="42"/>
      <c r="MI5" s="42"/>
      <c r="MJ5" s="42"/>
      <c r="MK5" s="42"/>
      <c r="ML5" s="42"/>
      <c r="MM5" s="42"/>
      <c r="MN5" s="42"/>
      <c r="MO5" s="42"/>
      <c r="MP5" s="42"/>
      <c r="MQ5" s="42"/>
      <c r="MR5" s="42"/>
      <c r="MS5" s="42"/>
      <c r="MT5" s="42"/>
      <c r="MU5" s="42"/>
      <c r="MV5" s="42"/>
      <c r="MW5" s="42"/>
      <c r="MX5" s="42"/>
      <c r="MY5" s="42"/>
      <c r="MZ5" s="42"/>
      <c r="NA5" s="42"/>
      <c r="NB5" s="42"/>
      <c r="NC5" s="42"/>
    </row>
    <row r="6" spans="1:367" x14ac:dyDescent="0.25">
      <c r="A6" s="102">
        <v>5</v>
      </c>
      <c r="B6" s="97">
        <v>0.26250000000000001</v>
      </c>
      <c r="C6" s="151"/>
      <c r="D6" s="150"/>
      <c r="E6" s="151"/>
      <c r="F6" s="151"/>
      <c r="G6" s="151">
        <v>0.23819444444444443</v>
      </c>
      <c r="H6" s="151"/>
      <c r="I6" s="151">
        <v>0.26527777777777778</v>
      </c>
      <c r="J6" s="151">
        <v>0.25555555555555554</v>
      </c>
      <c r="K6" s="151">
        <v>0.24097222222222223</v>
      </c>
      <c r="L6" s="151">
        <v>0.29791666666666666</v>
      </c>
      <c r="M6" s="151">
        <v>0.30208333333333331</v>
      </c>
      <c r="N6" s="151"/>
      <c r="O6" s="151">
        <v>0.27500000000000002</v>
      </c>
      <c r="P6" s="112">
        <v>0.24374999999999999</v>
      </c>
      <c r="Q6" s="113">
        <v>0.28194444444444444</v>
      </c>
      <c r="R6" s="113">
        <v>0.25972222222222224</v>
      </c>
      <c r="S6" s="113">
        <v>0.27847222222222223</v>
      </c>
      <c r="T6" s="113">
        <v>0.30486111111111114</v>
      </c>
      <c r="U6" s="113">
        <v>0.25972222222222224</v>
      </c>
      <c r="V6" s="113">
        <v>0.25833333333333336</v>
      </c>
      <c r="W6" s="113">
        <v>0.24027777777777778</v>
      </c>
      <c r="X6" s="113">
        <v>0.25</v>
      </c>
      <c r="Y6" s="113">
        <v>0.25069444444444444</v>
      </c>
      <c r="Z6" s="113"/>
      <c r="AA6" s="113">
        <v>0.30555555555555558</v>
      </c>
      <c r="AB6" s="113">
        <v>0.2361111111111111</v>
      </c>
      <c r="AC6" s="113"/>
      <c r="AD6" s="113">
        <v>0.25277777777777777</v>
      </c>
      <c r="AE6" s="113"/>
      <c r="AF6" s="113">
        <v>0.25763888888888886</v>
      </c>
      <c r="AG6" s="113">
        <v>0.31041666666666667</v>
      </c>
      <c r="AH6" s="113">
        <v>0.29791666666666666</v>
      </c>
      <c r="AI6" s="113" t="s">
        <v>128</v>
      </c>
      <c r="AJ6" s="113"/>
      <c r="AK6" s="113" t="s">
        <v>159</v>
      </c>
      <c r="AL6" s="113" t="s">
        <v>160</v>
      </c>
      <c r="AM6" s="113"/>
      <c r="AN6" s="113" t="s">
        <v>123</v>
      </c>
      <c r="AO6" s="113" t="s">
        <v>161</v>
      </c>
      <c r="AP6" s="113" t="s">
        <v>161</v>
      </c>
      <c r="AQ6" s="113">
        <v>0.31805555555555554</v>
      </c>
      <c r="AR6" s="113" t="s">
        <v>127</v>
      </c>
      <c r="AS6" s="113" t="s">
        <v>128</v>
      </c>
      <c r="AT6" s="113">
        <v>0.29444444444444445</v>
      </c>
      <c r="AU6" s="113" t="s">
        <v>160</v>
      </c>
      <c r="AV6" s="113" t="s">
        <v>162</v>
      </c>
      <c r="AW6" s="113" t="s">
        <v>163</v>
      </c>
      <c r="AX6" s="113">
        <v>0.29652777777777778</v>
      </c>
      <c r="AY6" s="113">
        <v>0.26597222222222222</v>
      </c>
      <c r="AZ6" s="113">
        <v>0.23958333333333334</v>
      </c>
      <c r="BA6" s="113">
        <v>0.31736111111111109</v>
      </c>
      <c r="BB6" s="113">
        <v>0.31041666666666667</v>
      </c>
      <c r="BC6" s="113" t="s">
        <v>163</v>
      </c>
      <c r="BD6" s="113" t="s">
        <v>164</v>
      </c>
      <c r="BE6" s="113">
        <v>0.3923611111111111</v>
      </c>
      <c r="BF6" s="113">
        <v>0.27152777777777776</v>
      </c>
      <c r="BG6" s="113">
        <v>0.25208333333333333</v>
      </c>
      <c r="BH6" s="113">
        <v>0.26527777777777778</v>
      </c>
      <c r="BI6" s="113">
        <v>0.33958333333333335</v>
      </c>
      <c r="BJ6" s="113" t="s">
        <v>165</v>
      </c>
      <c r="BK6" s="113" t="s">
        <v>129</v>
      </c>
      <c r="BL6" s="113">
        <v>0.26319444444444445</v>
      </c>
      <c r="BM6" s="113"/>
      <c r="BN6" s="113">
        <v>0.26319444444444445</v>
      </c>
      <c r="BO6" s="113">
        <v>0.41041666666666665</v>
      </c>
      <c r="BP6" s="113">
        <v>0.26319444444444445</v>
      </c>
      <c r="BQ6" s="113" t="s">
        <v>166</v>
      </c>
      <c r="BR6" s="113" t="s">
        <v>167</v>
      </c>
      <c r="BS6" s="113">
        <v>0.25624999999999998</v>
      </c>
      <c r="BT6" s="113">
        <v>0.25208333333333333</v>
      </c>
      <c r="BU6" s="113">
        <v>0.26111111111111113</v>
      </c>
      <c r="BV6" s="113">
        <v>0.24444444444444444</v>
      </c>
      <c r="BW6" s="113">
        <v>0.29236111111111113</v>
      </c>
      <c r="BX6" s="113">
        <v>0.27847222222222223</v>
      </c>
      <c r="BY6" s="113"/>
      <c r="BZ6" s="113">
        <v>0.26250000000000001</v>
      </c>
      <c r="CA6" s="113"/>
      <c r="CB6" s="113"/>
      <c r="CC6" s="48"/>
      <c r="CD6" s="113"/>
      <c r="CE6" s="113"/>
      <c r="CF6" s="113"/>
      <c r="CG6" s="113"/>
      <c r="CH6" s="113"/>
      <c r="CI6" s="113"/>
      <c r="CJ6" s="48"/>
      <c r="CK6" s="113"/>
      <c r="CL6" s="113"/>
      <c r="CM6" s="113"/>
      <c r="CN6" s="113"/>
      <c r="CO6" s="113"/>
      <c r="CP6" s="113"/>
      <c r="CQ6" s="48"/>
      <c r="CR6" s="113"/>
      <c r="CS6" s="113"/>
      <c r="CT6" s="113"/>
      <c r="CU6" s="48"/>
      <c r="CV6" s="48"/>
      <c r="CW6" s="113"/>
      <c r="CX6" s="48"/>
      <c r="CY6" s="113"/>
      <c r="CZ6" s="113"/>
      <c r="DA6" s="113"/>
      <c r="DB6" s="113"/>
      <c r="DC6" s="113"/>
      <c r="DD6" s="113"/>
      <c r="DE6" s="48"/>
      <c r="DF6" s="113"/>
      <c r="DG6" s="113"/>
      <c r="DH6" s="48"/>
      <c r="DI6" s="48"/>
      <c r="DJ6" s="113"/>
      <c r="DK6" s="113"/>
      <c r="DL6" s="48"/>
      <c r="DM6" s="113"/>
      <c r="DN6" s="113"/>
      <c r="DO6" s="48"/>
      <c r="DP6" s="113"/>
      <c r="DQ6" s="113"/>
      <c r="DR6" s="113"/>
      <c r="DS6" s="48"/>
      <c r="DT6" s="113"/>
      <c r="DU6" s="113"/>
      <c r="DV6" s="113"/>
      <c r="DW6" s="113"/>
      <c r="DX6" s="113"/>
      <c r="DY6" s="113"/>
      <c r="DZ6" s="48"/>
      <c r="EA6" s="113"/>
      <c r="EB6" s="113"/>
      <c r="EC6" s="48"/>
      <c r="ED6" s="113"/>
      <c r="EE6" s="113"/>
      <c r="EF6" s="135"/>
      <c r="EG6" s="28"/>
      <c r="EH6" s="135"/>
      <c r="EI6" s="135"/>
      <c r="EJ6" s="135"/>
      <c r="EK6" s="135"/>
      <c r="EL6" s="28"/>
      <c r="EM6" s="135"/>
      <c r="EN6" s="135"/>
      <c r="EO6" s="135"/>
      <c r="EP6" s="135"/>
      <c r="EQ6" s="135"/>
      <c r="ER6" s="135"/>
      <c r="ES6" s="135"/>
      <c r="ET6" s="135"/>
      <c r="EU6" s="28"/>
      <c r="EV6" s="135"/>
      <c r="EW6" s="135"/>
      <c r="EX6" s="135"/>
      <c r="EY6" s="135"/>
      <c r="EZ6" s="135"/>
      <c r="FA6" s="135"/>
      <c r="FB6" s="28"/>
      <c r="FC6" s="135"/>
      <c r="FD6" s="135"/>
      <c r="FE6" s="135"/>
      <c r="FF6" s="225"/>
      <c r="FG6" s="225"/>
      <c r="FH6" s="225"/>
      <c r="FI6" s="225"/>
      <c r="FJ6" s="225"/>
      <c r="FK6" s="225"/>
      <c r="FL6" s="225"/>
      <c r="FM6" s="225"/>
      <c r="FN6" s="225"/>
      <c r="FO6" s="225"/>
      <c r="FP6" s="225"/>
      <c r="FQ6" s="225"/>
      <c r="FR6" s="225"/>
      <c r="FS6" s="225"/>
      <c r="FT6" s="227"/>
      <c r="FU6" s="225"/>
      <c r="FV6" s="225"/>
      <c r="FW6" s="42"/>
      <c r="FX6" s="225"/>
      <c r="FY6" s="225"/>
      <c r="FZ6" s="42"/>
      <c r="GA6" s="225"/>
      <c r="GB6" s="225"/>
      <c r="GC6" s="225"/>
      <c r="GD6" s="225"/>
      <c r="GE6" s="225"/>
      <c r="GF6" s="225"/>
      <c r="GG6" s="225"/>
      <c r="GH6" s="225"/>
      <c r="GI6" s="225"/>
      <c r="GJ6" s="42"/>
      <c r="GK6" s="225"/>
      <c r="GL6" s="42"/>
      <c r="GM6" s="42"/>
      <c r="GN6" s="42"/>
      <c r="GO6" s="42"/>
      <c r="GP6" s="225"/>
      <c r="GQ6" s="225"/>
      <c r="GR6" s="225"/>
      <c r="GS6" s="42"/>
      <c r="GT6" s="42"/>
      <c r="GU6" s="42"/>
      <c r="GV6" s="225"/>
      <c r="GW6" s="225"/>
      <c r="GX6" s="225"/>
      <c r="GY6" s="42"/>
      <c r="GZ6" s="42"/>
      <c r="HA6" s="225"/>
      <c r="HB6" s="42"/>
      <c r="HC6" s="225"/>
      <c r="HD6" s="225"/>
      <c r="HE6" s="225"/>
      <c r="HF6" s="225"/>
      <c r="HG6" s="42"/>
      <c r="HH6" s="42"/>
      <c r="HI6" s="42"/>
      <c r="HJ6" s="225"/>
      <c r="HK6" s="225"/>
      <c r="HL6" s="225"/>
      <c r="HM6" s="225"/>
      <c r="HN6" s="42"/>
      <c r="HO6" s="225"/>
      <c r="HP6" s="225"/>
      <c r="HQ6" s="225"/>
      <c r="HR6" s="225"/>
      <c r="HS6" s="225"/>
      <c r="HT6" s="225"/>
      <c r="HU6" s="42"/>
      <c r="HV6" s="42"/>
      <c r="HW6" s="225"/>
      <c r="HX6" s="225"/>
      <c r="HY6" s="225"/>
      <c r="HZ6" s="225"/>
      <c r="IA6" s="225"/>
      <c r="IB6" s="235"/>
      <c r="IC6" s="42"/>
      <c r="ID6" s="225"/>
      <c r="IE6" s="225"/>
      <c r="IF6" s="225"/>
      <c r="IG6" s="225"/>
      <c r="IH6" s="225"/>
      <c r="II6" s="234"/>
      <c r="IJ6" s="42"/>
      <c r="IK6" s="225"/>
      <c r="IL6" s="225"/>
      <c r="IM6" s="225"/>
      <c r="IN6" s="225"/>
      <c r="IO6" s="225"/>
      <c r="IP6" s="234"/>
      <c r="IQ6" s="42"/>
      <c r="IR6" s="42"/>
      <c r="IS6" s="225"/>
      <c r="IT6" s="225"/>
      <c r="IU6" s="225"/>
      <c r="IV6" s="225"/>
      <c r="IW6" s="42"/>
      <c r="IX6" s="42"/>
      <c r="IY6" s="225"/>
      <c r="IZ6" s="225"/>
      <c r="JA6" s="225"/>
      <c r="JB6" s="225"/>
      <c r="JC6" s="225"/>
      <c r="JD6" s="42"/>
      <c r="JE6" s="42"/>
      <c r="JF6" s="225"/>
      <c r="JG6" s="225"/>
      <c r="JH6" s="225"/>
      <c r="JI6" s="225"/>
      <c r="JJ6" s="225"/>
      <c r="JK6" s="42"/>
      <c r="JL6" s="42"/>
      <c r="JM6" s="225"/>
      <c r="JN6" s="225"/>
      <c r="JO6" s="225"/>
      <c r="JP6" s="225"/>
      <c r="JQ6" s="225"/>
      <c r="JR6" s="225"/>
      <c r="JS6" s="42"/>
      <c r="JT6" s="225"/>
      <c r="JU6" s="225"/>
      <c r="JV6" s="225"/>
      <c r="JW6" s="225"/>
      <c r="JX6" s="225"/>
      <c r="JY6" s="42"/>
      <c r="JZ6" s="225"/>
      <c r="KA6" s="225"/>
      <c r="KB6" s="225"/>
      <c r="KC6" s="225"/>
      <c r="KD6" s="225"/>
      <c r="KE6" s="225"/>
      <c r="KF6" s="225"/>
      <c r="KG6" s="42"/>
      <c r="KH6" s="225"/>
      <c r="KI6" s="225"/>
      <c r="KJ6" s="225"/>
      <c r="KK6" s="42"/>
      <c r="KL6" s="225"/>
      <c r="KM6" s="225"/>
      <c r="KN6" s="225"/>
      <c r="KO6" s="225"/>
      <c r="KP6" s="225"/>
      <c r="KQ6" s="225"/>
      <c r="KR6" s="225"/>
      <c r="KS6" s="225"/>
      <c r="KT6" s="225"/>
      <c r="KU6" s="42"/>
      <c r="KV6" s="42"/>
      <c r="KW6" s="225"/>
      <c r="KX6" s="42"/>
      <c r="KY6" s="225"/>
      <c r="KZ6" s="42"/>
      <c r="LA6" s="42"/>
      <c r="LB6" s="42"/>
      <c r="LC6" s="42"/>
      <c r="LD6" s="225"/>
      <c r="LE6" s="42"/>
      <c r="LF6" s="225"/>
      <c r="LG6" s="42"/>
      <c r="LH6" s="225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225"/>
      <c r="LX6" s="225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</row>
    <row r="7" spans="1:367" x14ac:dyDescent="0.25">
      <c r="A7" s="102">
        <v>6</v>
      </c>
      <c r="B7" s="97">
        <v>0.26458333333333334</v>
      </c>
      <c r="C7" s="151"/>
      <c r="D7" s="151"/>
      <c r="E7" s="151"/>
      <c r="F7" s="150"/>
      <c r="G7" s="151">
        <v>0.24097222222222223</v>
      </c>
      <c r="H7" s="151"/>
      <c r="I7" s="151"/>
      <c r="J7" s="151">
        <v>0.27152777777777776</v>
      </c>
      <c r="K7" s="151">
        <v>0.24374999999999999</v>
      </c>
      <c r="L7" s="151">
        <v>0.3</v>
      </c>
      <c r="M7" s="151">
        <v>0.30625000000000002</v>
      </c>
      <c r="N7" s="151"/>
      <c r="O7" s="151">
        <v>0.27708333333333335</v>
      </c>
      <c r="P7" s="112">
        <v>0.24374999999999999</v>
      </c>
      <c r="Q7" s="113">
        <v>0.28888888888888886</v>
      </c>
      <c r="R7" s="113">
        <v>0.27013888888888887</v>
      </c>
      <c r="S7" s="113">
        <v>0.28888888888888886</v>
      </c>
      <c r="T7" s="113">
        <v>0.32083333333333336</v>
      </c>
      <c r="U7" s="113">
        <v>0.26597222222222222</v>
      </c>
      <c r="V7" s="113">
        <v>0.26041666666666669</v>
      </c>
      <c r="W7" s="113">
        <v>0.24236111111111111</v>
      </c>
      <c r="X7" s="113">
        <v>0.25277777777777777</v>
      </c>
      <c r="Y7" s="113">
        <v>0.25416666666666665</v>
      </c>
      <c r="Z7" s="113"/>
      <c r="AA7" s="113">
        <v>0.30833333333333335</v>
      </c>
      <c r="AB7" s="113">
        <v>0.23819444444444443</v>
      </c>
      <c r="AC7" s="113"/>
      <c r="AD7" s="113">
        <v>0.25555555555555554</v>
      </c>
      <c r="AE7" s="113"/>
      <c r="AF7" s="113">
        <v>0.26805555555555555</v>
      </c>
      <c r="AG7" s="113">
        <v>0.31805555555555554</v>
      </c>
      <c r="AH7" s="113">
        <v>0.30069444444444443</v>
      </c>
      <c r="AI7" s="48" t="s">
        <v>168</v>
      </c>
      <c r="AJ7" s="113"/>
      <c r="AK7" s="113" t="s">
        <v>127</v>
      </c>
      <c r="AL7" s="113" t="s">
        <v>129</v>
      </c>
      <c r="AM7" s="48"/>
      <c r="AN7" s="113" t="s">
        <v>137</v>
      </c>
      <c r="AO7" s="113" t="s">
        <v>169</v>
      </c>
      <c r="AP7" s="113" t="s">
        <v>169</v>
      </c>
      <c r="AQ7" s="113">
        <v>0.32361111111111113</v>
      </c>
      <c r="AR7" s="113" t="s">
        <v>149</v>
      </c>
      <c r="AS7" s="48" t="s">
        <v>137</v>
      </c>
      <c r="AT7" s="113">
        <v>0.29722222222222222</v>
      </c>
      <c r="AU7" s="113" t="s">
        <v>170</v>
      </c>
      <c r="AV7" s="113" t="s">
        <v>171</v>
      </c>
      <c r="AW7" s="113" t="s">
        <v>172</v>
      </c>
      <c r="AX7" s="113">
        <v>0.2986111111111111</v>
      </c>
      <c r="AY7" s="113">
        <v>0.26944444444444443</v>
      </c>
      <c r="AZ7" s="113" t="s">
        <v>173</v>
      </c>
      <c r="BA7" s="113">
        <v>0.32222222222222224</v>
      </c>
      <c r="BB7" s="113">
        <v>0.31319444444444444</v>
      </c>
      <c r="BC7" s="113" t="s">
        <v>172</v>
      </c>
      <c r="BD7" s="113" t="s">
        <v>174</v>
      </c>
      <c r="BE7" s="113"/>
      <c r="BF7" s="113">
        <v>0.27361111111111114</v>
      </c>
      <c r="BG7" s="113">
        <v>0.25833333333333336</v>
      </c>
      <c r="BH7" s="113">
        <v>0.2673611111111111</v>
      </c>
      <c r="BI7" s="113">
        <v>0.34166666666666667</v>
      </c>
      <c r="BJ7" s="113" t="s">
        <v>175</v>
      </c>
      <c r="BK7" s="113" t="s">
        <v>130</v>
      </c>
      <c r="BL7" s="113">
        <v>0.26597222222222222</v>
      </c>
      <c r="BM7" s="113"/>
      <c r="BN7" s="113">
        <v>0.26597222222222222</v>
      </c>
      <c r="BO7" s="113">
        <v>0.41736111111111113</v>
      </c>
      <c r="BP7" s="113">
        <v>0.29236111111111113</v>
      </c>
      <c r="BQ7" s="113" t="s">
        <v>176</v>
      </c>
      <c r="BR7" s="113" t="s">
        <v>177</v>
      </c>
      <c r="BS7" s="113">
        <v>0.26250000000000001</v>
      </c>
      <c r="BT7" s="113">
        <v>0.25624999999999998</v>
      </c>
      <c r="BU7" s="113">
        <v>0.26319444444444445</v>
      </c>
      <c r="BV7" s="113">
        <v>0.25486111111111109</v>
      </c>
      <c r="BW7" s="113">
        <v>0.3034722222222222</v>
      </c>
      <c r="BX7" s="113">
        <v>0.28194444444444444</v>
      </c>
      <c r="BY7" s="113">
        <v>0.5083333333333333</v>
      </c>
      <c r="BZ7" s="113">
        <v>0.26458333333333334</v>
      </c>
      <c r="CA7" s="113"/>
      <c r="CB7" s="113"/>
      <c r="CC7" s="48"/>
      <c r="CD7" s="113"/>
      <c r="CE7" s="113"/>
      <c r="CF7" s="113"/>
      <c r="CG7" s="113"/>
      <c r="CH7" s="113"/>
      <c r="CI7" s="113"/>
      <c r="CJ7" s="48"/>
      <c r="CK7" s="113"/>
      <c r="CL7" s="113"/>
      <c r="CM7" s="113"/>
      <c r="CN7" s="113"/>
      <c r="CO7" s="113"/>
      <c r="CP7" s="113"/>
      <c r="CQ7" s="48"/>
      <c r="CR7" s="113"/>
      <c r="CS7" s="113"/>
      <c r="CT7" s="113"/>
      <c r="CU7" s="48"/>
      <c r="CV7" s="48"/>
      <c r="CW7" s="113"/>
      <c r="CX7" s="48"/>
      <c r="CY7" s="48"/>
      <c r="CZ7" s="48"/>
      <c r="DA7" s="113"/>
      <c r="DB7" s="48"/>
      <c r="DC7" s="113"/>
      <c r="DD7" s="113"/>
      <c r="DE7" s="48"/>
      <c r="DF7" s="113"/>
      <c r="DG7" s="113"/>
      <c r="DH7" s="48"/>
      <c r="DI7" s="48"/>
      <c r="DJ7" s="113"/>
      <c r="DK7" s="113"/>
      <c r="DL7" s="48"/>
      <c r="DM7" s="48"/>
      <c r="DN7" s="113"/>
      <c r="DO7" s="48"/>
      <c r="DP7" s="113"/>
      <c r="DQ7" s="113"/>
      <c r="DR7" s="113"/>
      <c r="DS7" s="48"/>
      <c r="DT7" s="113"/>
      <c r="DU7" s="113"/>
      <c r="DV7" s="113"/>
      <c r="DW7" s="113"/>
      <c r="DX7" s="113"/>
      <c r="DY7" s="113"/>
      <c r="DZ7" s="48"/>
      <c r="EA7" s="113"/>
      <c r="EB7" s="113"/>
      <c r="EC7" s="48"/>
      <c r="ED7" s="113"/>
      <c r="EE7" s="113"/>
      <c r="EF7" s="135"/>
      <c r="EG7" s="28"/>
      <c r="EH7" s="135"/>
      <c r="EI7" s="28"/>
      <c r="EJ7" s="135"/>
      <c r="EK7" s="135"/>
      <c r="EL7" s="28"/>
      <c r="EM7" s="135"/>
      <c r="EN7" s="135"/>
      <c r="EO7" s="28"/>
      <c r="EP7" s="135"/>
      <c r="EQ7" s="135"/>
      <c r="ER7" s="135"/>
      <c r="ES7" s="135"/>
      <c r="ET7" s="135"/>
      <c r="EU7" s="28"/>
      <c r="EV7" s="135"/>
      <c r="EW7" s="135"/>
      <c r="EX7" s="135"/>
      <c r="EY7" s="135"/>
      <c r="EZ7" s="135"/>
      <c r="FA7" s="135"/>
      <c r="FB7" s="28"/>
      <c r="FC7" s="135"/>
      <c r="FD7" s="135"/>
      <c r="FE7" s="28"/>
      <c r="FF7" s="42"/>
      <c r="FG7" s="42"/>
      <c r="FH7" s="225"/>
      <c r="FI7" s="42"/>
      <c r="FJ7" s="225"/>
      <c r="FK7" s="42"/>
      <c r="FL7" s="225"/>
      <c r="FM7" s="225"/>
      <c r="FN7" s="225"/>
      <c r="FO7" s="225"/>
      <c r="FP7" s="225"/>
      <c r="FQ7" s="42"/>
      <c r="FR7" s="42"/>
      <c r="FS7" s="225"/>
      <c r="FT7" s="225"/>
      <c r="FU7" s="225"/>
      <c r="FV7" s="225"/>
      <c r="FW7" s="42"/>
      <c r="FX7" s="225"/>
      <c r="FY7" s="42"/>
      <c r="FZ7" s="42"/>
      <c r="GA7" s="225"/>
      <c r="GB7" s="225"/>
      <c r="GC7" s="42"/>
      <c r="GD7" s="225"/>
      <c r="GE7" s="42"/>
      <c r="GF7" s="42"/>
      <c r="GG7" s="225"/>
      <c r="GH7" s="42"/>
      <c r="GI7" s="42"/>
      <c r="GJ7" s="42"/>
      <c r="GK7" s="225"/>
      <c r="GL7" s="42"/>
      <c r="GM7" s="42"/>
      <c r="GN7" s="42"/>
      <c r="GO7" s="42"/>
      <c r="GP7" s="42"/>
      <c r="GQ7" s="225"/>
      <c r="GR7" s="225"/>
      <c r="GS7" s="42"/>
      <c r="GT7" s="42"/>
      <c r="GU7" s="42"/>
      <c r="GV7" s="42"/>
      <c r="GW7" s="225"/>
      <c r="GX7" s="225"/>
      <c r="GY7" s="42"/>
      <c r="GZ7" s="42"/>
      <c r="HA7" s="225"/>
      <c r="HB7" s="42"/>
      <c r="HC7" s="42"/>
      <c r="HD7" s="42"/>
      <c r="HE7" s="42"/>
      <c r="HF7" s="225"/>
      <c r="HG7" s="42"/>
      <c r="HH7" s="42"/>
      <c r="HI7" s="42"/>
      <c r="HJ7" s="225"/>
      <c r="HK7" s="225"/>
      <c r="HL7" s="42"/>
      <c r="HM7" s="225"/>
      <c r="HN7" s="42"/>
      <c r="HO7" s="42"/>
      <c r="HP7" s="225"/>
      <c r="HQ7" s="42"/>
      <c r="HR7" s="225"/>
      <c r="HS7" s="225"/>
      <c r="HT7" s="225"/>
      <c r="HU7" s="42"/>
      <c r="HV7" s="42"/>
      <c r="HW7" s="225"/>
      <c r="HX7" s="225"/>
      <c r="HY7" s="225"/>
      <c r="HZ7" s="225"/>
      <c r="IA7" s="225"/>
      <c r="IB7" s="235"/>
      <c r="IC7" s="42"/>
      <c r="ID7" s="42"/>
      <c r="IE7" s="225"/>
      <c r="IF7" s="225"/>
      <c r="IG7" s="225"/>
      <c r="IH7" s="225"/>
      <c r="II7" s="234"/>
      <c r="IJ7" s="42"/>
      <c r="IK7" s="42"/>
      <c r="IL7" s="42"/>
      <c r="IM7" s="225"/>
      <c r="IN7" s="225"/>
      <c r="IO7" s="225"/>
      <c r="IP7" s="234"/>
      <c r="IQ7" s="42"/>
      <c r="IR7" s="42"/>
      <c r="IS7" s="225"/>
      <c r="IT7" s="225"/>
      <c r="IU7" s="225"/>
      <c r="IV7" s="225"/>
      <c r="IW7" s="42"/>
      <c r="IX7" s="42"/>
      <c r="IY7" s="42"/>
      <c r="IZ7" s="225"/>
      <c r="JA7" s="225"/>
      <c r="JB7" s="225"/>
      <c r="JC7" s="225"/>
      <c r="JD7" s="42"/>
      <c r="JE7" s="42"/>
      <c r="JF7" s="225"/>
      <c r="JG7" s="225"/>
      <c r="JH7" s="225"/>
      <c r="JI7" s="225"/>
      <c r="JJ7" s="225"/>
      <c r="JK7" s="42"/>
      <c r="JL7" s="42"/>
      <c r="JM7" s="225"/>
      <c r="JN7" s="225"/>
      <c r="JO7" s="225"/>
      <c r="JP7" s="42"/>
      <c r="JQ7" s="225"/>
      <c r="JR7" s="225"/>
      <c r="JS7" s="42"/>
      <c r="JT7" s="225"/>
      <c r="JU7" s="225"/>
      <c r="JV7" s="225"/>
      <c r="JW7" s="225"/>
      <c r="JX7" s="225"/>
      <c r="JY7" s="225"/>
      <c r="JZ7" s="225"/>
      <c r="KA7" s="225"/>
      <c r="KB7" s="225"/>
      <c r="KC7" s="225"/>
      <c r="KD7" s="225"/>
      <c r="KE7" s="225"/>
      <c r="KF7" s="225"/>
      <c r="KG7" s="42"/>
      <c r="KH7" s="225"/>
      <c r="KI7" s="225"/>
      <c r="KJ7" s="225"/>
      <c r="KK7" s="42"/>
      <c r="KL7" s="225"/>
      <c r="KM7" s="225"/>
      <c r="KN7" s="42"/>
      <c r="KO7" s="42"/>
      <c r="KP7" s="225"/>
      <c r="KQ7" s="225"/>
      <c r="KR7" s="225"/>
      <c r="KS7" s="225"/>
      <c r="KT7" s="225"/>
      <c r="KU7" s="42"/>
      <c r="KV7" s="42"/>
      <c r="KW7" s="225"/>
      <c r="KX7" s="42"/>
      <c r="KY7" s="225"/>
      <c r="KZ7" s="42"/>
      <c r="LA7" s="42"/>
      <c r="LB7" s="42"/>
      <c r="LC7" s="42"/>
      <c r="LD7" s="225"/>
      <c r="LE7" s="225"/>
      <c r="LF7" s="225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225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</row>
    <row r="8" spans="1:367" x14ac:dyDescent="0.25">
      <c r="A8" s="102">
        <v>7</v>
      </c>
      <c r="B8" s="97">
        <v>0.27152777777777776</v>
      </c>
      <c r="C8" s="151"/>
      <c r="D8" s="151">
        <v>0.24513888888888888</v>
      </c>
      <c r="E8" s="150"/>
      <c r="F8" s="150"/>
      <c r="G8" s="151">
        <v>0.24097222222222223</v>
      </c>
      <c r="H8" s="151"/>
      <c r="I8" s="151"/>
      <c r="J8" s="151">
        <v>0.27361111111111114</v>
      </c>
      <c r="K8" s="151">
        <v>0.24652777777777779</v>
      </c>
      <c r="L8" s="151">
        <v>0.30277777777777776</v>
      </c>
      <c r="M8" s="151">
        <v>0.30833333333333335</v>
      </c>
      <c r="N8" s="151"/>
      <c r="O8" s="151">
        <v>0.27916666666666667</v>
      </c>
      <c r="P8" s="112">
        <v>0.24374999999999999</v>
      </c>
      <c r="Q8" s="113">
        <v>0.29236111111111113</v>
      </c>
      <c r="R8" s="113">
        <v>0.2722222222222222</v>
      </c>
      <c r="S8" s="113">
        <v>0.29166666666666669</v>
      </c>
      <c r="T8" s="113">
        <v>0.32291666666666669</v>
      </c>
      <c r="U8" s="113"/>
      <c r="V8" s="113">
        <v>0.26250000000000001</v>
      </c>
      <c r="W8" s="113"/>
      <c r="X8" s="113">
        <v>0.25555555555555554</v>
      </c>
      <c r="Y8" s="113">
        <v>0.26805555555555555</v>
      </c>
      <c r="Z8" s="113"/>
      <c r="AA8" s="113"/>
      <c r="AB8" s="113">
        <v>0.24027777777777778</v>
      </c>
      <c r="AC8" s="113">
        <v>0.25763888888888886</v>
      </c>
      <c r="AD8" s="113">
        <v>0.25972222222222224</v>
      </c>
      <c r="AE8" s="113"/>
      <c r="AF8" s="113">
        <v>0.27013888888888887</v>
      </c>
      <c r="AG8" s="113">
        <v>0.32430555555555557</v>
      </c>
      <c r="AH8" s="113">
        <v>0.30208333333333331</v>
      </c>
      <c r="AI8" s="48" t="s">
        <v>178</v>
      </c>
      <c r="AJ8" s="113"/>
      <c r="AK8" s="113" t="s">
        <v>136</v>
      </c>
      <c r="AL8" s="113" t="s">
        <v>130</v>
      </c>
      <c r="AM8" s="48"/>
      <c r="AN8" s="113" t="s">
        <v>179</v>
      </c>
      <c r="AO8" s="113" t="s">
        <v>180</v>
      </c>
      <c r="AP8" s="113" t="s">
        <v>180</v>
      </c>
      <c r="AQ8" s="48" t="s">
        <v>181</v>
      </c>
      <c r="AR8" s="113" t="s">
        <v>160</v>
      </c>
      <c r="AS8" s="48" t="s">
        <v>179</v>
      </c>
      <c r="AT8" s="48"/>
      <c r="AU8" s="113" t="s">
        <v>182</v>
      </c>
      <c r="AV8" s="48" t="s">
        <v>183</v>
      </c>
      <c r="AW8" s="113" t="s">
        <v>183</v>
      </c>
      <c r="AX8" s="48"/>
      <c r="AY8" s="113"/>
      <c r="AZ8" s="113"/>
      <c r="BA8" s="113">
        <v>0.32777777777777778</v>
      </c>
      <c r="BB8" s="113">
        <v>0.32430555555555557</v>
      </c>
      <c r="BC8" s="113" t="s">
        <v>184</v>
      </c>
      <c r="BD8" s="113" t="s">
        <v>185</v>
      </c>
      <c r="BE8" s="113"/>
      <c r="BF8" s="113">
        <v>0.27638888888888891</v>
      </c>
      <c r="BG8" s="113"/>
      <c r="BH8" s="113">
        <v>0.27152777777777776</v>
      </c>
      <c r="BI8" s="113">
        <v>0.34652777777777777</v>
      </c>
      <c r="BJ8" s="113" t="s">
        <v>130</v>
      </c>
      <c r="BK8" s="113" t="s">
        <v>186</v>
      </c>
      <c r="BL8" s="113">
        <v>0.26944444444444443</v>
      </c>
      <c r="BM8" s="113"/>
      <c r="BN8" s="113">
        <v>0.26944444444444443</v>
      </c>
      <c r="BO8" s="113">
        <v>0.41944444444444445</v>
      </c>
      <c r="BP8" s="113">
        <v>0.29583333333333334</v>
      </c>
      <c r="BQ8" s="113" t="s">
        <v>187</v>
      </c>
      <c r="BR8" s="113" t="s">
        <v>188</v>
      </c>
      <c r="BS8" s="113">
        <v>0.2638888888888889</v>
      </c>
      <c r="BT8" s="113">
        <v>0.2673611111111111</v>
      </c>
      <c r="BU8" s="113">
        <v>0.2722222222222222</v>
      </c>
      <c r="BV8" s="113">
        <v>0.25694444444444442</v>
      </c>
      <c r="BW8" s="113">
        <v>0.30972222222222223</v>
      </c>
      <c r="BX8" s="113">
        <v>0.28333333333333333</v>
      </c>
      <c r="BY8" s="113"/>
      <c r="BZ8" s="113">
        <v>0.27430555555555558</v>
      </c>
      <c r="CA8" s="113"/>
      <c r="CB8" s="113"/>
      <c r="CC8" s="48"/>
      <c r="CD8" s="113"/>
      <c r="CE8" s="113"/>
      <c r="CF8" s="113"/>
      <c r="CG8" s="113"/>
      <c r="CH8" s="113"/>
      <c r="CI8" s="113"/>
      <c r="CJ8" s="48"/>
      <c r="CK8" s="113"/>
      <c r="CL8" s="113"/>
      <c r="CM8" s="113"/>
      <c r="CN8" s="113"/>
      <c r="CO8" s="113"/>
      <c r="CP8" s="113"/>
      <c r="CQ8" s="48"/>
      <c r="CR8" s="113"/>
      <c r="CS8" s="113"/>
      <c r="CT8" s="113"/>
      <c r="CU8" s="113"/>
      <c r="CV8" s="113"/>
      <c r="CW8" s="113"/>
      <c r="CX8" s="48"/>
      <c r="CY8" s="113"/>
      <c r="CZ8" s="113"/>
      <c r="DA8" s="113"/>
      <c r="DB8" s="113"/>
      <c r="DC8" s="113"/>
      <c r="DD8" s="113"/>
      <c r="DE8" s="48"/>
      <c r="DF8" s="113"/>
      <c r="DG8" s="113"/>
      <c r="DH8" s="113"/>
      <c r="DI8" s="113"/>
      <c r="DJ8" s="113"/>
      <c r="DK8" s="113"/>
      <c r="DL8" s="48"/>
      <c r="DM8" s="113"/>
      <c r="DN8" s="113"/>
      <c r="DO8" s="113"/>
      <c r="DP8" s="113"/>
      <c r="DQ8" s="113"/>
      <c r="DR8" s="113"/>
      <c r="DS8" s="48"/>
      <c r="DT8" s="113"/>
      <c r="DU8" s="113"/>
      <c r="DV8" s="113"/>
      <c r="DW8" s="113"/>
      <c r="DX8" s="113"/>
      <c r="DY8" s="113"/>
      <c r="DZ8" s="48"/>
      <c r="EA8" s="113"/>
      <c r="EB8" s="113"/>
      <c r="EC8" s="113"/>
      <c r="ED8" s="113"/>
      <c r="EE8" s="113"/>
      <c r="EF8" s="135"/>
      <c r="EG8" s="28"/>
      <c r="EH8" s="135"/>
      <c r="EI8" s="135"/>
      <c r="EJ8" s="28"/>
      <c r="EK8" s="135"/>
      <c r="EL8" s="28"/>
      <c r="EM8" s="135"/>
      <c r="EN8" s="135"/>
      <c r="EO8" s="135"/>
      <c r="EP8" s="135"/>
      <c r="EQ8" s="135"/>
      <c r="ER8" s="135"/>
      <c r="ES8" s="135"/>
      <c r="ET8" s="135"/>
      <c r="EU8" s="28"/>
      <c r="EV8" s="135"/>
      <c r="EW8" s="135"/>
      <c r="EX8" s="135"/>
      <c r="EY8" s="135"/>
      <c r="EZ8" s="135"/>
      <c r="FA8" s="135"/>
      <c r="FB8" s="28"/>
      <c r="FC8" s="135"/>
      <c r="FD8" s="135"/>
      <c r="FE8" s="135"/>
      <c r="FF8" s="225"/>
      <c r="FG8" s="225"/>
      <c r="FH8" s="225"/>
      <c r="FI8" s="225"/>
      <c r="FJ8" s="225"/>
      <c r="FK8" s="225"/>
      <c r="FL8" s="225"/>
      <c r="FM8" s="225"/>
      <c r="FN8" s="225"/>
      <c r="FO8" s="225"/>
      <c r="FP8" s="225"/>
      <c r="FQ8" s="225"/>
      <c r="FR8" s="225"/>
      <c r="FS8" s="225"/>
      <c r="FT8" s="225"/>
      <c r="FU8" s="225"/>
      <c r="FV8" s="225"/>
      <c r="FW8" s="225"/>
      <c r="FX8" s="225"/>
      <c r="FY8" s="225"/>
      <c r="FZ8" s="225"/>
      <c r="GA8" s="225"/>
      <c r="GB8" s="225"/>
      <c r="GC8" s="225"/>
      <c r="GD8" s="225"/>
      <c r="GE8" s="225"/>
      <c r="GF8" s="225"/>
      <c r="GG8" s="225"/>
      <c r="GH8" s="225"/>
      <c r="GI8" s="225"/>
      <c r="GJ8" s="225"/>
      <c r="GK8" s="225"/>
      <c r="GL8" s="225"/>
      <c r="GM8" s="225"/>
      <c r="GN8" s="225"/>
      <c r="GO8" s="225"/>
      <c r="GP8" s="225"/>
      <c r="GQ8" s="225"/>
      <c r="GR8" s="225"/>
      <c r="GS8" s="225"/>
      <c r="GT8" s="225"/>
      <c r="GU8" s="42"/>
      <c r="GV8" s="225"/>
      <c r="GW8" s="225"/>
      <c r="GX8" s="225"/>
      <c r="GY8" s="42"/>
      <c r="GZ8" s="225"/>
      <c r="HA8" s="225"/>
      <c r="HB8" s="225"/>
      <c r="HC8" s="225"/>
      <c r="HD8" s="225"/>
      <c r="HE8" s="225"/>
      <c r="HF8" s="225"/>
      <c r="HG8" s="225"/>
      <c r="HH8" s="225"/>
      <c r="HI8" s="225"/>
      <c r="HJ8" s="225"/>
      <c r="HK8" s="225"/>
      <c r="HL8" s="225"/>
      <c r="HM8" s="225"/>
      <c r="HN8" s="225"/>
      <c r="HO8" s="225"/>
      <c r="HP8" s="225"/>
      <c r="HQ8" s="225"/>
      <c r="HR8" s="225"/>
      <c r="HS8" s="225"/>
      <c r="HT8" s="225"/>
      <c r="HU8" s="225"/>
      <c r="HV8" s="42"/>
      <c r="HW8" s="225"/>
      <c r="HX8" s="225"/>
      <c r="HY8" s="225"/>
      <c r="HZ8" s="225"/>
      <c r="IA8" s="225"/>
      <c r="IB8" s="235"/>
      <c r="IC8" s="225"/>
      <c r="ID8" s="225"/>
      <c r="IE8" s="225"/>
      <c r="IF8" s="225"/>
      <c r="IG8" s="225"/>
      <c r="IH8" s="225"/>
      <c r="II8" s="234"/>
      <c r="IJ8" s="225"/>
      <c r="IK8" s="225"/>
      <c r="IL8" s="225"/>
      <c r="IM8" s="225"/>
      <c r="IN8" s="225"/>
      <c r="IO8" s="225"/>
      <c r="IP8" s="234"/>
      <c r="IQ8" s="42"/>
      <c r="IR8" s="225"/>
      <c r="IS8" s="225"/>
      <c r="IT8" s="225"/>
      <c r="IU8" s="225"/>
      <c r="IV8" s="225"/>
      <c r="IW8" s="225"/>
      <c r="IX8" s="42"/>
      <c r="IY8" s="225"/>
      <c r="IZ8" s="225"/>
      <c r="JA8" s="225"/>
      <c r="JB8" s="225"/>
      <c r="JC8" s="225"/>
      <c r="JD8" s="225"/>
      <c r="JE8" s="42"/>
      <c r="JF8" s="225"/>
      <c r="JG8" s="225"/>
      <c r="JH8" s="225"/>
      <c r="JI8" s="225"/>
      <c r="JJ8" s="225"/>
      <c r="JK8" s="42"/>
      <c r="JL8" s="42"/>
      <c r="JM8" s="225"/>
      <c r="JN8" s="225"/>
      <c r="JO8" s="225"/>
      <c r="JP8" s="225"/>
      <c r="JQ8" s="225"/>
      <c r="JR8" s="225"/>
      <c r="JS8" s="225"/>
      <c r="JT8" s="225"/>
      <c r="JU8" s="225"/>
      <c r="JV8" s="225"/>
      <c r="JW8" s="225"/>
      <c r="JX8" s="225"/>
      <c r="JY8" s="225"/>
      <c r="JZ8" s="225"/>
      <c r="KA8" s="225"/>
      <c r="KB8" s="225"/>
      <c r="KC8" s="225"/>
      <c r="KD8" s="225"/>
      <c r="KE8" s="225"/>
      <c r="KF8" s="225"/>
      <c r="KG8" s="42"/>
      <c r="KH8" s="225"/>
      <c r="KI8" s="225"/>
      <c r="KJ8" s="225"/>
      <c r="KK8" s="225"/>
      <c r="KL8" s="225"/>
      <c r="KM8" s="225"/>
      <c r="KN8" s="225"/>
      <c r="KO8" s="225"/>
      <c r="KP8" s="225"/>
      <c r="KQ8" s="225"/>
      <c r="KR8" s="225"/>
      <c r="KS8" s="225"/>
      <c r="KT8" s="225"/>
      <c r="KU8" s="42"/>
      <c r="KV8" s="42"/>
      <c r="KW8" s="225"/>
      <c r="KX8" s="225"/>
      <c r="KY8" s="225"/>
      <c r="KZ8" s="225"/>
      <c r="LA8" s="42"/>
      <c r="LB8" s="42"/>
      <c r="LC8" s="225"/>
      <c r="LD8" s="225"/>
      <c r="LE8" s="225"/>
      <c r="LF8" s="225"/>
      <c r="LG8" s="225"/>
      <c r="LH8" s="225"/>
      <c r="LI8" s="42"/>
      <c r="LJ8" s="225"/>
      <c r="LK8" s="225"/>
      <c r="LL8" s="225"/>
      <c r="LM8" s="225"/>
      <c r="LN8" s="225"/>
      <c r="LO8" s="42"/>
      <c r="LP8" s="42"/>
      <c r="LQ8" s="225"/>
      <c r="LR8" s="225"/>
      <c r="LS8" s="42"/>
      <c r="LT8" s="42"/>
      <c r="LU8" s="42"/>
      <c r="LV8" s="42"/>
      <c r="LW8" s="225"/>
      <c r="LX8" s="225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</row>
    <row r="9" spans="1:367" x14ac:dyDescent="0.25">
      <c r="A9" s="102">
        <v>8</v>
      </c>
      <c r="B9" s="96"/>
      <c r="C9" s="150"/>
      <c r="D9" s="151"/>
      <c r="E9" s="150"/>
      <c r="F9" s="150"/>
      <c r="G9" s="151"/>
      <c r="H9" s="151"/>
      <c r="I9" s="151"/>
      <c r="J9" s="151">
        <v>0.27569444444444446</v>
      </c>
      <c r="K9" s="151">
        <v>0.25069444444444444</v>
      </c>
      <c r="L9" s="151">
        <v>0.30486111111111114</v>
      </c>
      <c r="M9" s="151"/>
      <c r="N9" s="150"/>
      <c r="O9" s="150"/>
      <c r="P9" s="112">
        <v>0.24930555555555556</v>
      </c>
      <c r="Q9" s="113">
        <v>0.27500000000000002</v>
      </c>
      <c r="R9" s="48"/>
      <c r="S9" s="113">
        <v>0.29375000000000001</v>
      </c>
      <c r="T9" s="113">
        <v>0.32430555555555557</v>
      </c>
      <c r="U9" s="113"/>
      <c r="V9" s="113">
        <v>0.26458333333333334</v>
      </c>
      <c r="W9" s="113"/>
      <c r="X9" s="113">
        <v>0.25833333333333336</v>
      </c>
      <c r="Y9" s="113">
        <v>0.27083333333333331</v>
      </c>
      <c r="Z9" s="113"/>
      <c r="AA9" s="113">
        <v>0.31111111111111112</v>
      </c>
      <c r="AB9" s="48"/>
      <c r="AC9" s="48"/>
      <c r="AD9" s="113"/>
      <c r="AE9" s="113"/>
      <c r="AF9" s="113">
        <v>0.27291666666666664</v>
      </c>
      <c r="AG9" s="113">
        <v>0.32708333333333334</v>
      </c>
      <c r="AH9" s="113">
        <v>0.30416666666666664</v>
      </c>
      <c r="AI9" s="48"/>
      <c r="AJ9" s="113"/>
      <c r="AK9" s="113" t="s">
        <v>189</v>
      </c>
      <c r="AL9" s="113" t="s">
        <v>127</v>
      </c>
      <c r="AM9" s="48"/>
      <c r="AN9" s="113" t="s">
        <v>160</v>
      </c>
      <c r="AO9" s="113" t="s">
        <v>190</v>
      </c>
      <c r="AP9" s="113" t="s">
        <v>190</v>
      </c>
      <c r="AQ9" s="48" t="s">
        <v>127</v>
      </c>
      <c r="AR9" s="113" t="s">
        <v>129</v>
      </c>
      <c r="AS9" s="48"/>
      <c r="AT9" s="48"/>
      <c r="AU9" s="113" t="s">
        <v>137</v>
      </c>
      <c r="AV9" s="48" t="s">
        <v>130</v>
      </c>
      <c r="AW9" s="113" t="s">
        <v>127</v>
      </c>
      <c r="AX9" s="48"/>
      <c r="AY9" s="113"/>
      <c r="AZ9" s="113"/>
      <c r="BA9" s="113"/>
      <c r="BB9" s="113"/>
      <c r="BC9" s="48" t="s">
        <v>127</v>
      </c>
      <c r="BD9" s="48" t="s">
        <v>171</v>
      </c>
      <c r="BE9" s="113"/>
      <c r="BF9" s="113">
        <v>0.27847222222222223</v>
      </c>
      <c r="BG9" s="113">
        <v>0.26041666666666669</v>
      </c>
      <c r="BH9" s="113">
        <v>0.27569444444444446</v>
      </c>
      <c r="BI9" s="113"/>
      <c r="BJ9" s="113" t="s">
        <v>138</v>
      </c>
      <c r="BK9" s="48"/>
      <c r="BL9" s="113">
        <v>0.2722222222222222</v>
      </c>
      <c r="BM9" s="113"/>
      <c r="BN9" s="113">
        <v>0.2722222222222222</v>
      </c>
      <c r="BO9" s="48"/>
      <c r="BP9" s="113">
        <v>0.3125</v>
      </c>
      <c r="BQ9" s="113" t="s">
        <v>191</v>
      </c>
      <c r="BR9" s="113" t="s">
        <v>168</v>
      </c>
      <c r="BS9" s="48"/>
      <c r="BT9" s="113">
        <v>0.26944444444444443</v>
      </c>
      <c r="BU9" s="113">
        <v>0.27430555555555558</v>
      </c>
      <c r="BV9" s="113">
        <v>0.26041666666666669</v>
      </c>
      <c r="BW9" s="113">
        <v>0.31597222222222221</v>
      </c>
      <c r="BX9" s="113">
        <v>0.28541666666666665</v>
      </c>
      <c r="BY9" s="113"/>
      <c r="BZ9" s="113">
        <v>0.27569444444444446</v>
      </c>
      <c r="CA9" s="48"/>
      <c r="CB9" s="113"/>
      <c r="CC9" s="48"/>
      <c r="CD9" s="113"/>
      <c r="CE9" s="113"/>
      <c r="CF9" s="113"/>
      <c r="CG9" s="48"/>
      <c r="CH9" s="113"/>
      <c r="CI9" s="113"/>
      <c r="CJ9" s="48"/>
      <c r="CK9" s="113"/>
      <c r="CL9" s="48"/>
      <c r="CM9" s="113"/>
      <c r="CN9" s="48"/>
      <c r="CO9" s="113"/>
      <c r="CP9" s="113"/>
      <c r="CQ9" s="48"/>
      <c r="CR9" s="113"/>
      <c r="CS9" s="48"/>
      <c r="CT9" s="48"/>
      <c r="CU9" s="48"/>
      <c r="CV9" s="48"/>
      <c r="CW9" s="48"/>
      <c r="CX9" s="48"/>
      <c r="CY9" s="48"/>
      <c r="CZ9" s="48"/>
      <c r="DA9" s="113"/>
      <c r="DB9" s="48"/>
      <c r="DC9" s="113"/>
      <c r="DD9" s="113"/>
      <c r="DE9" s="48"/>
      <c r="DF9" s="113"/>
      <c r="DG9" s="113"/>
      <c r="DH9" s="48"/>
      <c r="DI9" s="48"/>
      <c r="DJ9" s="48"/>
      <c r="DK9" s="48"/>
      <c r="DL9" s="48"/>
      <c r="DM9" s="48"/>
      <c r="DN9" s="48"/>
      <c r="DO9" s="48"/>
      <c r="DP9" s="113"/>
      <c r="DQ9" s="113"/>
      <c r="DR9" s="113"/>
      <c r="DS9" s="48"/>
      <c r="DT9" s="113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135"/>
      <c r="EG9" s="28"/>
      <c r="EH9" s="135"/>
      <c r="EI9" s="28"/>
      <c r="EJ9" s="28"/>
      <c r="EK9" s="135"/>
      <c r="EL9" s="28"/>
      <c r="EM9" s="28"/>
      <c r="EN9" s="135"/>
      <c r="EO9" s="28"/>
      <c r="EP9" s="28"/>
      <c r="EQ9" s="28"/>
      <c r="ER9" s="28"/>
      <c r="ES9" s="135"/>
      <c r="ET9" s="135"/>
      <c r="EU9" s="28"/>
      <c r="EV9" s="28"/>
      <c r="EW9" s="135"/>
      <c r="EX9" s="28"/>
      <c r="EY9" s="28"/>
      <c r="EZ9" s="135"/>
      <c r="FA9" s="135"/>
      <c r="FB9" s="28"/>
      <c r="FC9" s="135"/>
      <c r="FD9" s="28"/>
      <c r="FE9" s="28"/>
      <c r="FF9" s="42"/>
      <c r="FG9" s="42"/>
      <c r="FH9" s="225"/>
      <c r="FI9" s="42"/>
      <c r="FJ9" s="42"/>
      <c r="FK9" s="42"/>
      <c r="FL9" s="225"/>
      <c r="FM9" s="225"/>
      <c r="FN9" s="225"/>
      <c r="FO9" s="42"/>
      <c r="FP9" s="225"/>
      <c r="FQ9" s="225"/>
      <c r="FR9" s="42"/>
      <c r="FS9" s="42"/>
      <c r="FT9" s="42"/>
      <c r="FU9" s="42"/>
      <c r="FV9" s="42"/>
      <c r="FW9" s="42"/>
      <c r="FX9" s="225"/>
      <c r="FY9" s="42"/>
      <c r="FZ9" s="42"/>
      <c r="GA9" s="225"/>
      <c r="GB9" s="225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225"/>
      <c r="GX9" s="225"/>
      <c r="GY9" s="42"/>
      <c r="GZ9" s="42"/>
      <c r="HA9" s="42"/>
      <c r="HB9" s="42"/>
      <c r="HC9" s="42"/>
      <c r="HD9" s="42"/>
      <c r="HE9" s="42"/>
      <c r="HF9" s="225"/>
      <c r="HG9" s="42"/>
      <c r="HH9" s="42"/>
      <c r="HI9" s="42"/>
      <c r="HJ9" s="42"/>
      <c r="HK9" s="42"/>
      <c r="HL9" s="42"/>
      <c r="HM9" s="42"/>
      <c r="HN9" s="42"/>
      <c r="HO9" s="42"/>
      <c r="HP9" s="225"/>
      <c r="HQ9" s="42"/>
      <c r="HR9" s="225"/>
      <c r="HS9" s="225"/>
      <c r="HT9" s="225"/>
      <c r="HU9" s="42"/>
      <c r="HV9" s="42"/>
      <c r="HW9" s="42"/>
      <c r="HX9" s="225"/>
      <c r="HY9" s="225"/>
      <c r="HZ9" s="225"/>
      <c r="IA9" s="225"/>
      <c r="IB9" s="235"/>
      <c r="IC9" s="225"/>
      <c r="ID9" s="42"/>
      <c r="IE9" s="42"/>
      <c r="IF9" s="42"/>
      <c r="IG9" s="225"/>
      <c r="IH9" s="225"/>
      <c r="II9" s="234"/>
      <c r="IJ9" s="225"/>
      <c r="IK9" s="42"/>
      <c r="IL9" s="42"/>
      <c r="IM9" s="42"/>
      <c r="IN9" s="42"/>
      <c r="IO9" s="225"/>
      <c r="IP9" s="234"/>
      <c r="IQ9" s="42"/>
      <c r="IR9" s="225"/>
      <c r="IS9" s="225"/>
      <c r="IT9" s="225"/>
      <c r="IU9" s="225"/>
      <c r="IV9" s="225"/>
      <c r="IW9" s="42"/>
      <c r="IX9" s="42"/>
      <c r="IY9" s="42"/>
      <c r="IZ9" s="225"/>
      <c r="JA9" s="42"/>
      <c r="JB9" s="225"/>
      <c r="JC9" s="225"/>
      <c r="JD9" s="42"/>
      <c r="JE9" s="42"/>
      <c r="JF9" s="42"/>
      <c r="JG9" s="225"/>
      <c r="JH9" s="225"/>
      <c r="JI9" s="225"/>
      <c r="JJ9" s="225"/>
      <c r="JK9" s="42"/>
      <c r="JL9" s="42"/>
      <c r="JM9" s="225"/>
      <c r="JN9" s="225"/>
      <c r="JO9" s="225"/>
      <c r="JP9" s="42"/>
      <c r="JQ9" s="225"/>
      <c r="JR9" s="42"/>
      <c r="JS9" s="42"/>
      <c r="JT9" s="42"/>
      <c r="JU9" s="225"/>
      <c r="JV9" s="42"/>
      <c r="JW9" s="42"/>
      <c r="JX9" s="42"/>
      <c r="JY9" s="42"/>
      <c r="JZ9" s="225"/>
      <c r="KA9" s="225"/>
      <c r="KB9" s="225"/>
      <c r="KC9" s="225"/>
      <c r="KD9" s="225"/>
      <c r="KE9" s="225"/>
      <c r="KF9" s="42"/>
      <c r="KG9" s="42"/>
      <c r="KH9" s="225"/>
      <c r="KI9" s="225"/>
      <c r="KJ9" s="225"/>
      <c r="KK9" s="42"/>
      <c r="KL9" s="225"/>
      <c r="KM9" s="42"/>
      <c r="KN9" s="42"/>
      <c r="KO9" s="225"/>
      <c r="KP9" s="225"/>
      <c r="KQ9" s="42"/>
      <c r="KR9" s="225"/>
      <c r="KS9" s="225"/>
      <c r="KT9" s="225"/>
      <c r="KU9" s="42"/>
      <c r="KV9" s="42"/>
      <c r="KW9" s="225"/>
      <c r="KX9" s="42"/>
      <c r="KY9" s="42"/>
      <c r="KZ9" s="42"/>
      <c r="LA9" s="42"/>
      <c r="LB9" s="42"/>
      <c r="LC9" s="42"/>
      <c r="LD9" s="42"/>
      <c r="LE9" s="225"/>
      <c r="LF9" s="225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225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</row>
    <row r="10" spans="1:367" ht="14.1" customHeight="1" x14ac:dyDescent="0.25">
      <c r="A10" s="102">
        <v>9</v>
      </c>
      <c r="B10" s="96"/>
      <c r="C10" s="150"/>
      <c r="D10" s="151"/>
      <c r="E10" s="150"/>
      <c r="F10" s="150"/>
      <c r="G10" s="151"/>
      <c r="H10" s="151">
        <v>0.2638888888888889</v>
      </c>
      <c r="I10" s="151">
        <v>0.26527777777777778</v>
      </c>
      <c r="J10" s="151">
        <v>0.28194444444444444</v>
      </c>
      <c r="K10" s="151">
        <v>0.26319444444444445</v>
      </c>
      <c r="L10" s="151">
        <v>0.31597222222222221</v>
      </c>
      <c r="M10" s="151"/>
      <c r="N10" s="150"/>
      <c r="O10" s="150"/>
      <c r="P10" s="112"/>
      <c r="Q10" s="113">
        <v>0.29791666666666666</v>
      </c>
      <c r="R10" s="48"/>
      <c r="S10" s="113">
        <v>0.29583333333333334</v>
      </c>
      <c r="T10" s="113"/>
      <c r="U10" s="113">
        <v>0.27430555555555558</v>
      </c>
      <c r="V10" s="113">
        <v>0.2673611111111111</v>
      </c>
      <c r="W10" s="113"/>
      <c r="X10" s="113">
        <v>0.26041666666666669</v>
      </c>
      <c r="Y10" s="113">
        <v>0.27916666666666667</v>
      </c>
      <c r="Z10" s="113"/>
      <c r="AA10" s="113"/>
      <c r="AB10" s="48"/>
      <c r="AC10" s="48"/>
      <c r="AD10" s="113"/>
      <c r="AE10" s="48"/>
      <c r="AF10" s="113">
        <v>0.27638888888888891</v>
      </c>
      <c r="AG10" s="113">
        <v>0.33055555555555555</v>
      </c>
      <c r="AH10" s="113">
        <v>0.30694444444444446</v>
      </c>
      <c r="AI10" s="48"/>
      <c r="AJ10" s="113"/>
      <c r="AK10" s="113"/>
      <c r="AL10" s="113" t="s">
        <v>192</v>
      </c>
      <c r="AM10" s="113"/>
      <c r="AN10" s="113" t="s">
        <v>193</v>
      </c>
      <c r="AO10" s="113" t="s">
        <v>194</v>
      </c>
      <c r="AP10" s="113" t="s">
        <v>194</v>
      </c>
      <c r="AQ10" s="48" t="s">
        <v>128</v>
      </c>
      <c r="AR10" s="113" t="s">
        <v>130</v>
      </c>
      <c r="AS10" s="48"/>
      <c r="AT10" s="48"/>
      <c r="AU10" s="113" t="s">
        <v>175</v>
      </c>
      <c r="AV10" s="48" t="s">
        <v>179</v>
      </c>
      <c r="AW10" s="113" t="s">
        <v>128</v>
      </c>
      <c r="AX10" s="48"/>
      <c r="AY10" s="113"/>
      <c r="AZ10" s="113"/>
      <c r="BA10" s="48"/>
      <c r="BB10" s="113"/>
      <c r="BC10" s="48" t="s">
        <v>125</v>
      </c>
      <c r="BD10" s="48" t="s">
        <v>184</v>
      </c>
      <c r="BE10" s="113"/>
      <c r="BF10" s="113"/>
      <c r="BG10" s="113">
        <v>0.26250000000000001</v>
      </c>
      <c r="BH10" s="113">
        <v>0.28541666666666665</v>
      </c>
      <c r="BI10" s="113"/>
      <c r="BJ10" s="113"/>
      <c r="BK10" s="48"/>
      <c r="BL10" s="48"/>
      <c r="BM10" s="113"/>
      <c r="BN10" s="48"/>
      <c r="BO10" s="48"/>
      <c r="BP10" s="113">
        <v>0.31388888888888888</v>
      </c>
      <c r="BQ10" s="48" t="s">
        <v>190</v>
      </c>
      <c r="BR10" s="113" t="s">
        <v>175</v>
      </c>
      <c r="BS10" s="48"/>
      <c r="BT10" s="113">
        <v>0.27152777777777776</v>
      </c>
      <c r="BU10" s="113">
        <v>0.27013888888888887</v>
      </c>
      <c r="BV10" s="113">
        <v>0.26319444444444445</v>
      </c>
      <c r="BW10" s="113">
        <v>0.31597222222222221</v>
      </c>
      <c r="BX10" s="113">
        <v>0.28958333333333336</v>
      </c>
      <c r="BY10" s="113"/>
      <c r="BZ10" s="48"/>
      <c r="CA10" s="48"/>
      <c r="CB10" s="48"/>
      <c r="CC10" s="48"/>
      <c r="CD10" s="113"/>
      <c r="CE10" s="48"/>
      <c r="CF10" s="48"/>
      <c r="CG10" s="48"/>
      <c r="CH10" s="113"/>
      <c r="CI10" s="48"/>
      <c r="CJ10" s="48"/>
      <c r="CK10" s="113"/>
      <c r="CL10" s="48"/>
      <c r="CM10" s="113"/>
      <c r="CN10" s="48"/>
      <c r="CO10" s="48"/>
      <c r="CP10" s="113"/>
      <c r="CQ10" s="48"/>
      <c r="CR10" s="113"/>
      <c r="CS10" s="48"/>
      <c r="CT10" s="48"/>
      <c r="CU10" s="48"/>
      <c r="CV10" s="48"/>
      <c r="CW10" s="48"/>
      <c r="CX10" s="48"/>
      <c r="CY10" s="113"/>
      <c r="CZ10" s="48"/>
      <c r="DA10" s="113"/>
      <c r="DB10" s="48"/>
      <c r="DC10" s="48"/>
      <c r="DD10" s="113"/>
      <c r="DE10" s="48"/>
      <c r="DF10" s="113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113"/>
      <c r="DS10" s="48"/>
      <c r="DT10" s="113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28"/>
      <c r="EG10" s="28"/>
      <c r="EH10" s="135"/>
      <c r="EI10" s="28"/>
      <c r="EJ10" s="28"/>
      <c r="EK10" s="135"/>
      <c r="EL10" s="28"/>
      <c r="EM10" s="28"/>
      <c r="EN10" s="28"/>
      <c r="EO10" s="28"/>
      <c r="EP10" s="28"/>
      <c r="EQ10" s="28"/>
      <c r="ER10" s="28"/>
      <c r="ES10" s="135"/>
      <c r="ET10" s="135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42"/>
      <c r="FG10" s="42"/>
      <c r="FH10" s="225"/>
      <c r="FI10" s="42"/>
      <c r="FJ10" s="42"/>
      <c r="FK10" s="42"/>
      <c r="FL10" s="42"/>
      <c r="FM10" s="42"/>
      <c r="FN10" s="225"/>
      <c r="FO10" s="42"/>
      <c r="FP10" s="225"/>
      <c r="FQ10" s="42"/>
      <c r="FR10" s="42"/>
      <c r="FS10" s="42"/>
      <c r="FT10" s="42"/>
      <c r="FU10" s="42"/>
      <c r="FV10" s="42"/>
      <c r="FW10" s="42"/>
      <c r="FX10" s="225"/>
      <c r="FY10" s="42"/>
      <c r="FZ10" s="42"/>
      <c r="GA10" s="42"/>
      <c r="GB10" s="225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225"/>
      <c r="HQ10" s="42"/>
      <c r="HR10" s="42"/>
      <c r="HS10" s="225"/>
      <c r="HT10" s="225"/>
      <c r="HU10" s="42"/>
      <c r="HV10" s="42"/>
      <c r="HW10" s="42"/>
      <c r="HX10" s="42"/>
      <c r="HY10" s="42"/>
      <c r="HZ10" s="225"/>
      <c r="IA10" s="42"/>
      <c r="IB10" s="235"/>
      <c r="IC10" s="42"/>
      <c r="ID10" s="42"/>
      <c r="IE10" s="42"/>
      <c r="IF10" s="42"/>
      <c r="IG10" s="225"/>
      <c r="IH10" s="225"/>
      <c r="II10" s="234"/>
      <c r="IJ10" s="42"/>
      <c r="IK10" s="42"/>
      <c r="IL10" s="42"/>
      <c r="IM10" s="42"/>
      <c r="IN10" s="42"/>
      <c r="IO10" s="225"/>
      <c r="IP10" s="235"/>
      <c r="IQ10" s="42"/>
      <c r="IR10" s="42"/>
      <c r="IS10" s="42"/>
      <c r="IT10" s="225"/>
      <c r="IU10" s="225"/>
      <c r="IV10" s="225"/>
      <c r="IW10" s="42"/>
      <c r="IX10" s="42"/>
      <c r="IY10" s="42"/>
      <c r="IZ10" s="42"/>
      <c r="JA10" s="42"/>
      <c r="JB10" s="225"/>
      <c r="JC10" s="225"/>
      <c r="JD10" s="42"/>
      <c r="JE10" s="42"/>
      <c r="JF10" s="42"/>
      <c r="JG10" s="225"/>
      <c r="JH10" s="225"/>
      <c r="JI10" s="225"/>
      <c r="JJ10" s="42"/>
      <c r="JK10" s="42"/>
      <c r="JL10" s="42"/>
      <c r="JM10" s="225"/>
      <c r="JN10" s="225"/>
      <c r="JO10" s="225"/>
      <c r="JP10" s="42"/>
      <c r="JQ10" s="225"/>
      <c r="JR10" s="42"/>
      <c r="JS10" s="42"/>
      <c r="JT10" s="42"/>
      <c r="JU10" s="225"/>
      <c r="JV10" s="42"/>
      <c r="JW10" s="42"/>
      <c r="JX10" s="42"/>
      <c r="JY10" s="42"/>
      <c r="JZ10" s="225"/>
      <c r="KA10" s="225"/>
      <c r="KB10" s="225"/>
      <c r="KC10" s="225"/>
      <c r="KD10" s="225"/>
      <c r="KE10" s="225"/>
      <c r="KF10" s="42"/>
      <c r="KG10" s="42"/>
      <c r="KH10" s="225"/>
      <c r="KI10" s="225"/>
      <c r="KJ10" s="225"/>
      <c r="KK10" s="42"/>
      <c r="KL10" s="225"/>
      <c r="KM10" s="42"/>
      <c r="KN10" s="42"/>
      <c r="KO10" s="42"/>
      <c r="KP10" s="225"/>
      <c r="KQ10" s="42"/>
      <c r="KR10" s="225"/>
      <c r="KS10" s="225"/>
      <c r="KT10" s="225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225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</row>
    <row r="11" spans="1:367" x14ac:dyDescent="0.25">
      <c r="A11" s="102">
        <v>10</v>
      </c>
      <c r="B11" s="96"/>
      <c r="C11" s="150"/>
      <c r="D11" s="151"/>
      <c r="E11" s="150"/>
      <c r="F11" s="150"/>
      <c r="G11" s="151"/>
      <c r="H11" s="151"/>
      <c r="I11" s="150"/>
      <c r="J11" s="151">
        <v>0.28333333333333333</v>
      </c>
      <c r="K11" s="151">
        <v>0.26597222222222222</v>
      </c>
      <c r="L11" s="151">
        <v>0.31805555555555554</v>
      </c>
      <c r="M11" s="151"/>
      <c r="N11" s="150"/>
      <c r="O11" s="150"/>
      <c r="P11" s="112"/>
      <c r="Q11" s="108">
        <v>0.3</v>
      </c>
      <c r="R11" s="48"/>
      <c r="S11" s="113">
        <v>0.29930555555555555</v>
      </c>
      <c r="T11" s="124">
        <v>0.3263888888888889</v>
      </c>
      <c r="U11" s="124"/>
      <c r="V11" s="124">
        <v>0.27013888888888887</v>
      </c>
      <c r="W11" s="113">
        <v>0.24444444444444444</v>
      </c>
      <c r="X11" s="124">
        <v>0.26250000000000001</v>
      </c>
      <c r="Y11" s="48"/>
      <c r="Z11" s="68"/>
      <c r="AA11" s="68"/>
      <c r="AB11" s="68"/>
      <c r="AC11" s="68"/>
      <c r="AD11" s="124">
        <v>0.26250000000000001</v>
      </c>
      <c r="AE11" s="68"/>
      <c r="AF11" s="124">
        <v>0.28333333333333333</v>
      </c>
      <c r="AG11" s="68"/>
      <c r="AH11" s="124">
        <v>0.30972222222222223</v>
      </c>
      <c r="AI11" s="68"/>
      <c r="AJ11" s="124">
        <v>0.28263888888888888</v>
      </c>
      <c r="AK11" s="124">
        <v>0.30555555555555558</v>
      </c>
      <c r="AL11" s="124" t="s">
        <v>179</v>
      </c>
      <c r="AM11" s="124">
        <v>0.32361111111111113</v>
      </c>
      <c r="AN11" s="124" t="s">
        <v>151</v>
      </c>
      <c r="AO11" s="124" t="s">
        <v>195</v>
      </c>
      <c r="AP11" s="124" t="s">
        <v>195</v>
      </c>
      <c r="AQ11" s="68" t="s">
        <v>168</v>
      </c>
      <c r="AR11" s="124" t="s">
        <v>196</v>
      </c>
      <c r="AS11" s="68"/>
      <c r="AT11" s="124">
        <v>0.29722222222222222</v>
      </c>
      <c r="AU11" s="124" t="s">
        <v>130</v>
      </c>
      <c r="AV11" s="68"/>
      <c r="AW11" s="68" t="s">
        <v>197</v>
      </c>
      <c r="AX11" s="68"/>
      <c r="AY11" s="68"/>
      <c r="AZ11" s="124"/>
      <c r="BA11" s="124">
        <v>0.34722222222222221</v>
      </c>
      <c r="BB11" s="124"/>
      <c r="BC11" s="68" t="s">
        <v>142</v>
      </c>
      <c r="BD11" s="68" t="s">
        <v>127</v>
      </c>
      <c r="BE11" s="124">
        <v>0.3972222222222222</v>
      </c>
      <c r="BF11" s="124">
        <v>0.28194444444444444</v>
      </c>
      <c r="BG11" s="68"/>
      <c r="BH11" s="124">
        <v>0.28819444444444442</v>
      </c>
      <c r="BI11" s="124">
        <v>0.34652777777777777</v>
      </c>
      <c r="BJ11" s="124"/>
      <c r="BK11" s="68"/>
      <c r="BL11" s="68"/>
      <c r="BM11" s="124">
        <v>0.25624999999999998</v>
      </c>
      <c r="BN11" s="124"/>
      <c r="BO11" s="68"/>
      <c r="BP11" s="68"/>
      <c r="BQ11" s="68" t="s">
        <v>198</v>
      </c>
      <c r="BR11" s="68" t="s">
        <v>130</v>
      </c>
      <c r="BS11" s="68"/>
      <c r="BT11" s="186">
        <v>0.27291666666666664</v>
      </c>
      <c r="BU11" s="50" t="s">
        <v>199</v>
      </c>
      <c r="BV11" s="186">
        <v>0.26666666666666666</v>
      </c>
      <c r="BW11" s="186">
        <v>0.31597222222222221</v>
      </c>
      <c r="BX11" s="50"/>
      <c r="BY11" s="186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186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186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186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43"/>
      <c r="EG11" s="43"/>
      <c r="EH11" s="224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224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4"/>
      <c r="FG11" s="44"/>
      <c r="FH11" s="226"/>
      <c r="FI11" s="44"/>
      <c r="FJ11" s="44"/>
      <c r="FK11" s="44"/>
      <c r="FL11" s="44"/>
      <c r="FM11" s="44"/>
      <c r="FN11" s="44"/>
      <c r="FO11" s="44"/>
      <c r="FP11" s="44"/>
      <c r="FQ11" s="44"/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226"/>
      <c r="GC11" s="44"/>
      <c r="GD11" s="44"/>
      <c r="GE11" s="44"/>
      <c r="GF11" s="44"/>
      <c r="GG11" s="44"/>
      <c r="GH11" s="44"/>
      <c r="GI11" s="44"/>
      <c r="GJ11" s="44"/>
      <c r="GK11" s="44"/>
      <c r="GL11" s="44"/>
      <c r="GM11" s="44"/>
      <c r="GN11" s="44"/>
      <c r="GO11" s="44"/>
      <c r="GP11" s="44"/>
      <c r="GQ11" s="44"/>
      <c r="GR11" s="44"/>
      <c r="GS11" s="44"/>
      <c r="GT11" s="44"/>
      <c r="GU11" s="44"/>
      <c r="GV11" s="44"/>
      <c r="GW11" s="44"/>
      <c r="GX11" s="44"/>
      <c r="GY11" s="44"/>
      <c r="GZ11" s="44"/>
      <c r="HA11" s="44"/>
      <c r="HB11" s="44"/>
      <c r="HC11" s="44"/>
      <c r="HD11" s="44"/>
      <c r="HE11" s="44"/>
      <c r="HF11" s="44"/>
      <c r="HG11" s="44"/>
      <c r="HH11" s="44"/>
      <c r="HI11" s="44"/>
      <c r="HJ11" s="44"/>
      <c r="HK11" s="44"/>
      <c r="HL11" s="44"/>
      <c r="HM11" s="44"/>
      <c r="HN11" s="44"/>
      <c r="HO11" s="44"/>
      <c r="HP11" s="226"/>
      <c r="HQ11" s="44"/>
      <c r="HR11" s="44"/>
      <c r="HS11" s="44"/>
      <c r="HT11" s="226"/>
      <c r="HU11" s="44"/>
      <c r="HV11" s="44"/>
      <c r="HW11" s="44"/>
      <c r="HX11" s="44"/>
      <c r="HY11" s="44"/>
      <c r="HZ11" s="226"/>
      <c r="IA11" s="44"/>
      <c r="IB11" s="236"/>
      <c r="IC11" s="44"/>
      <c r="ID11" s="44"/>
      <c r="IE11" s="44"/>
      <c r="IF11" s="44"/>
      <c r="IG11" s="226"/>
      <c r="IH11" s="226"/>
      <c r="II11" s="237"/>
      <c r="IJ11" s="44"/>
      <c r="IK11" s="44"/>
      <c r="IL11" s="44"/>
      <c r="IM11" s="44"/>
      <c r="IN11" s="44"/>
      <c r="IO11" s="226"/>
      <c r="IP11" s="236"/>
      <c r="IQ11" s="44"/>
      <c r="IR11" s="44"/>
      <c r="IS11" s="44"/>
      <c r="IT11" s="226"/>
      <c r="IU11" s="226"/>
      <c r="IV11" s="226"/>
      <c r="IW11" s="44"/>
      <c r="IX11" s="44"/>
      <c r="IY11" s="44"/>
      <c r="IZ11" s="44"/>
      <c r="JA11" s="44"/>
      <c r="JB11" s="226"/>
      <c r="JC11" s="226"/>
      <c r="JD11" s="44"/>
      <c r="JE11" s="44"/>
      <c r="JF11" s="44"/>
      <c r="JG11" s="44"/>
      <c r="JH11" s="226"/>
      <c r="JI11" s="226"/>
      <c r="JJ11" s="44"/>
      <c r="JK11" s="44"/>
      <c r="JL11" s="44"/>
      <c r="JM11" s="44"/>
      <c r="JN11" s="226"/>
      <c r="JO11" s="44"/>
      <c r="JP11" s="44"/>
      <c r="JQ11" s="226"/>
      <c r="JR11" s="44"/>
      <c r="JS11" s="44"/>
      <c r="JT11" s="44"/>
      <c r="JU11" s="44"/>
      <c r="JV11" s="44"/>
      <c r="JW11" s="44"/>
      <c r="JX11" s="44"/>
      <c r="JY11" s="44"/>
      <c r="JZ11" s="226"/>
      <c r="KA11" s="44"/>
      <c r="KB11" s="226"/>
      <c r="KC11" s="226"/>
      <c r="KD11" s="44"/>
      <c r="KE11" s="226"/>
      <c r="KF11" s="44"/>
      <c r="KG11" s="44"/>
      <c r="KH11" s="44"/>
      <c r="KI11" s="226"/>
      <c r="KJ11" s="44"/>
      <c r="KK11" s="44"/>
      <c r="KL11" s="226"/>
      <c r="KM11" s="44"/>
      <c r="KN11" s="44"/>
      <c r="KO11" s="226"/>
      <c r="KP11" s="226"/>
      <c r="KQ11" s="44"/>
      <c r="KR11" s="226"/>
      <c r="KS11" s="44"/>
      <c r="KT11" s="226"/>
      <c r="KU11" s="44"/>
      <c r="KV11" s="44"/>
      <c r="KW11" s="44"/>
      <c r="KX11" s="44"/>
      <c r="KY11" s="44"/>
      <c r="KZ11" s="44"/>
      <c r="LA11" s="44"/>
      <c r="LB11" s="44"/>
      <c r="LC11" s="44"/>
      <c r="LD11" s="44"/>
      <c r="LE11" s="44"/>
      <c r="LF11" s="44"/>
      <c r="LG11" s="44"/>
      <c r="LH11" s="44"/>
      <c r="LI11" s="44"/>
      <c r="LJ11" s="44"/>
      <c r="LK11" s="44"/>
      <c r="LL11" s="44"/>
      <c r="LM11" s="44"/>
      <c r="LN11" s="44"/>
      <c r="LO11" s="44"/>
      <c r="LP11" s="44"/>
      <c r="LQ11" s="44"/>
      <c r="LR11" s="44"/>
      <c r="LS11" s="44"/>
      <c r="LT11" s="44"/>
      <c r="LU11" s="44"/>
      <c r="LV11" s="44"/>
      <c r="LW11" s="44"/>
      <c r="LX11" s="44"/>
      <c r="LY11" s="44"/>
      <c r="LZ11" s="44"/>
      <c r="MA11" s="44"/>
      <c r="MB11" s="44"/>
      <c r="MC11" s="44"/>
      <c r="MD11" s="44"/>
      <c r="ME11" s="44"/>
      <c r="MF11" s="44"/>
      <c r="MG11" s="44"/>
      <c r="MH11" s="44"/>
      <c r="MI11" s="44"/>
      <c r="MJ11" s="44"/>
      <c r="MK11" s="44"/>
      <c r="ML11" s="44"/>
      <c r="MM11" s="44"/>
      <c r="MN11" s="44"/>
      <c r="MO11" s="44"/>
      <c r="MP11" s="44"/>
      <c r="MQ11" s="44"/>
      <c r="MR11" s="44"/>
      <c r="MS11" s="44"/>
      <c r="MT11" s="44"/>
      <c r="MU11" s="44"/>
      <c r="MV11" s="44"/>
      <c r="MW11" s="44"/>
      <c r="MX11" s="44"/>
      <c r="MY11" s="44"/>
      <c r="MZ11" s="44"/>
      <c r="NA11" s="44"/>
      <c r="NB11" s="44"/>
      <c r="NC11" s="44"/>
    </row>
    <row r="12" spans="1:367" x14ac:dyDescent="0.25">
      <c r="A12" s="102">
        <v>11</v>
      </c>
      <c r="B12" s="96"/>
      <c r="C12" s="150"/>
      <c r="D12" s="151"/>
      <c r="E12" s="150"/>
      <c r="F12" s="150"/>
      <c r="G12" s="150"/>
      <c r="H12" s="151"/>
      <c r="I12" s="150"/>
      <c r="J12" s="150"/>
      <c r="K12" s="151">
        <v>0.26805555555555555</v>
      </c>
      <c r="L12" s="151">
        <v>0.32430555555555557</v>
      </c>
      <c r="M12" s="151"/>
      <c r="N12" s="150"/>
      <c r="O12" s="150"/>
      <c r="P12" s="49"/>
      <c r="Q12" s="108">
        <v>0.3</v>
      </c>
      <c r="R12" s="113">
        <v>0.2722222222222222</v>
      </c>
      <c r="S12" s="113">
        <v>0.30208333333333331</v>
      </c>
      <c r="T12" s="28"/>
      <c r="U12" s="28"/>
      <c r="V12" s="28"/>
      <c r="W12" s="28"/>
      <c r="X12" s="135">
        <v>0.26527777777777778</v>
      </c>
      <c r="Y12" s="48"/>
      <c r="Z12" s="113">
        <v>0.31319444444444444</v>
      </c>
      <c r="AA12" s="135"/>
      <c r="AB12" s="28"/>
      <c r="AC12" s="28"/>
      <c r="AD12" s="253">
        <v>0.26805555555555555</v>
      </c>
      <c r="AE12" s="135">
        <v>0.24930555555555556</v>
      </c>
      <c r="AF12" s="135">
        <v>0.28611111111111109</v>
      </c>
      <c r="AG12" s="28"/>
      <c r="AH12" s="28"/>
      <c r="AI12" s="28"/>
      <c r="AJ12" s="28"/>
      <c r="AK12" s="28"/>
      <c r="AL12" s="113"/>
      <c r="AM12" s="28"/>
      <c r="AN12" s="28" t="s">
        <v>175</v>
      </c>
      <c r="AO12" s="135"/>
      <c r="AP12" s="28"/>
      <c r="AQ12" s="28" t="s">
        <v>179</v>
      </c>
      <c r="AR12" s="28" t="s">
        <v>179</v>
      </c>
      <c r="AS12" s="28"/>
      <c r="AT12" s="28"/>
      <c r="AU12" s="28"/>
      <c r="AV12" s="28"/>
      <c r="AW12" s="28"/>
      <c r="AX12" s="28"/>
      <c r="AY12" s="135"/>
      <c r="AZ12" s="135"/>
      <c r="BA12" s="28"/>
      <c r="BB12" s="113"/>
      <c r="BC12" s="28" t="s">
        <v>197</v>
      </c>
      <c r="BD12" s="28" t="s">
        <v>200</v>
      </c>
      <c r="BE12" s="28"/>
      <c r="BF12" s="113">
        <v>0.28194444444444444</v>
      </c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 t="s">
        <v>201</v>
      </c>
      <c r="BR12" s="28"/>
      <c r="BS12" s="28"/>
      <c r="BU12" s="108">
        <v>0.29097222222222224</v>
      </c>
      <c r="BY12" s="71"/>
      <c r="HT12" s="71"/>
      <c r="KB12" s="71"/>
      <c r="KC12" s="71"/>
      <c r="KI12" s="71"/>
      <c r="KL12" s="71"/>
      <c r="KT12" s="71"/>
    </row>
    <row r="13" spans="1:367" x14ac:dyDescent="0.25">
      <c r="A13" s="106">
        <v>12</v>
      </c>
      <c r="B13" s="107"/>
      <c r="C13" s="150"/>
      <c r="D13" s="151"/>
      <c r="E13" s="150"/>
      <c r="F13" s="150"/>
      <c r="G13" s="150"/>
      <c r="H13" s="150"/>
      <c r="I13" s="150"/>
      <c r="J13" s="150"/>
      <c r="K13" s="151">
        <v>0.27083333333333331</v>
      </c>
      <c r="L13" s="151">
        <v>0.33888888888888891</v>
      </c>
      <c r="M13" s="150"/>
      <c r="N13" s="150"/>
      <c r="O13" s="150"/>
      <c r="P13" s="49"/>
      <c r="Q13" s="121"/>
      <c r="R13" s="48"/>
      <c r="S13" s="48"/>
      <c r="T13" s="121"/>
      <c r="U13" s="121"/>
      <c r="V13" s="121"/>
      <c r="W13" s="121"/>
      <c r="X13" s="121"/>
      <c r="Y13" s="48"/>
      <c r="Z13" s="121"/>
      <c r="AA13" s="121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113"/>
      <c r="AM13" s="28"/>
      <c r="AN13" s="28" t="s">
        <v>130</v>
      </c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135"/>
      <c r="BA13" s="28"/>
      <c r="BB13" s="28"/>
      <c r="BC13" s="28"/>
      <c r="BD13" s="28" t="s">
        <v>197</v>
      </c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 t="s">
        <v>202</v>
      </c>
      <c r="BR13" s="28"/>
      <c r="BS13" s="28"/>
      <c r="BU13" s="108">
        <v>0.2951388888888889</v>
      </c>
      <c r="KB13" s="71"/>
      <c r="KC13" s="71"/>
      <c r="KI13" s="71"/>
    </row>
    <row r="14" spans="1:367" x14ac:dyDescent="0.25">
      <c r="A14" s="92" t="s">
        <v>203</v>
      </c>
      <c r="B14" s="95">
        <f>B8-B2</f>
        <v>5.4861111111111083E-2</v>
      </c>
      <c r="C14" s="156">
        <f>C8-C2</f>
        <v>0</v>
      </c>
      <c r="D14" s="156">
        <f t="shared" ref="D14:K14" si="0">D8-D2</f>
        <v>9.7222222222222154E-3</v>
      </c>
      <c r="E14" s="156" t="e">
        <f>E7-E2</f>
        <v>#VALUE!</v>
      </c>
      <c r="F14" s="156" t="e">
        <f>F5-F2</f>
        <v>#VALUE!</v>
      </c>
      <c r="G14" s="156">
        <f>G7-G2</f>
        <v>2.2222222222222227E-2</v>
      </c>
      <c r="H14" s="156">
        <f>H10-H2</f>
        <v>9.0277777777778012E-3</v>
      </c>
      <c r="I14" s="156">
        <f t="shared" ref="I14:J14" si="1">I10-I2</f>
        <v>1.8055555555555547E-2</v>
      </c>
      <c r="J14" s="156">
        <f t="shared" si="1"/>
        <v>3.888888888888889E-2</v>
      </c>
      <c r="K14" s="156">
        <f t="shared" si="0"/>
        <v>2.1527777777777785E-2</v>
      </c>
      <c r="L14" s="156">
        <f>L9-L2</f>
        <v>1.736111111111116E-2</v>
      </c>
      <c r="M14" s="156">
        <f>M7-M2</f>
        <v>3.5416666666666707E-2</v>
      </c>
      <c r="N14" s="156" t="e">
        <f>N8-N2</f>
        <v>#VALUE!</v>
      </c>
      <c r="O14" s="156">
        <f>O8-O2</f>
        <v>2.9861111111111116E-2</v>
      </c>
      <c r="P14" s="95">
        <f>P8-P2</f>
        <v>8.3333333333333315E-3</v>
      </c>
      <c r="Q14" s="132">
        <f>Q12-Q2</f>
        <v>3.819444444444442E-2</v>
      </c>
      <c r="R14" s="132">
        <f>R12-R2</f>
        <v>2.6388888888888878E-2</v>
      </c>
      <c r="S14" s="132">
        <f>S9-S2</f>
        <v>2.5000000000000022E-2</v>
      </c>
      <c r="T14" s="132">
        <f>T11-T2</f>
        <v>3.0555555555555558E-2</v>
      </c>
      <c r="U14" s="132">
        <f>U10-U2</f>
        <v>2.430555555555558E-2</v>
      </c>
      <c r="V14" s="132">
        <f>V9-V2</f>
        <v>1.4583333333333337E-2</v>
      </c>
      <c r="W14" s="132">
        <f>W11-W2</f>
        <v>9.7222222222222154E-3</v>
      </c>
      <c r="X14" s="132">
        <f>X8-X2</f>
        <v>2.4999999999999967E-2</v>
      </c>
      <c r="Y14" s="132">
        <f>Y8-Y2</f>
        <v>3.888888888888889E-2</v>
      </c>
      <c r="Z14" s="132">
        <f>Z12-Z2</f>
        <v>8.3333333333333037E-3</v>
      </c>
      <c r="AA14" s="132">
        <f>AA9-AA2</f>
        <v>2.9861111111111116E-2</v>
      </c>
      <c r="AB14" s="132">
        <f>AB7-AB2</f>
        <v>1.1805555555555541E-2</v>
      </c>
      <c r="AC14" s="132">
        <f>AC8-AC2</f>
        <v>1.1111111111111072E-2</v>
      </c>
      <c r="AD14" s="132">
        <f>AD11-AD2</f>
        <v>2.2222222222222227E-2</v>
      </c>
      <c r="AE14" s="132">
        <f>AE9-AE2</f>
        <v>-0.24097222222222223</v>
      </c>
      <c r="AF14" s="132">
        <f t="shared" ref="AF14:CJ14" si="2">AF11-AF2</f>
        <v>3.888888888888889E-2</v>
      </c>
      <c r="AG14" s="132">
        <f>AG9-AG2</f>
        <v>3.9583333333333359E-2</v>
      </c>
      <c r="AH14" s="132">
        <f>AH7-AH2</f>
        <v>1.3194444444444453E-2</v>
      </c>
      <c r="AI14" s="132" t="e">
        <f>AI6-AI2</f>
        <v>#VALUE!</v>
      </c>
      <c r="AJ14" s="132">
        <f t="shared" si="2"/>
        <v>7.6388888888888618E-3</v>
      </c>
      <c r="AK14" s="132">
        <f t="shared" si="2"/>
        <v>2.2222222222222254E-2</v>
      </c>
      <c r="AL14" s="132">
        <f>AL13-AL2</f>
        <v>-0.27013888888888887</v>
      </c>
      <c r="AM14" s="132">
        <f t="shared" si="2"/>
        <v>1.2500000000000011E-2</v>
      </c>
      <c r="AN14" s="132" t="e">
        <f t="shared" si="2"/>
        <v>#VALUE!</v>
      </c>
      <c r="AO14" s="132">
        <f>AO12-AO2</f>
        <v>-0.29722222222222222</v>
      </c>
      <c r="AP14" s="132" t="e">
        <f>AP4-AP2</f>
        <v>#VALUE!</v>
      </c>
      <c r="AQ14" s="132">
        <f>AQ6-AQ2</f>
        <v>3.0555555555555558E-2</v>
      </c>
      <c r="AR14" s="132" t="e">
        <f t="shared" si="2"/>
        <v>#VALUE!</v>
      </c>
      <c r="AS14" s="132" t="e">
        <f>AS6-AS2</f>
        <v>#VALUE!</v>
      </c>
      <c r="AT14" s="132">
        <f t="shared" si="2"/>
        <v>1.7361111111111105E-2</v>
      </c>
      <c r="AU14" s="132" t="e">
        <f t="shared" si="2"/>
        <v>#VALUE!</v>
      </c>
      <c r="AV14" s="132" t="e">
        <f>AV7-AV2</f>
        <v>#VALUE!</v>
      </c>
      <c r="AW14" s="132" t="e">
        <f>AW10-AW2</f>
        <v>#VALUE!</v>
      </c>
      <c r="AX14" s="132">
        <f>AX7-AX2</f>
        <v>2.7083333333333348E-2</v>
      </c>
      <c r="AY14" s="132">
        <f>AY10-AY2</f>
        <v>-0.24513888888888888</v>
      </c>
      <c r="AZ14" s="132">
        <f>AZ8-AZ2</f>
        <v>-0.22847222222222222</v>
      </c>
      <c r="BA14" s="132">
        <f t="shared" si="2"/>
        <v>4.0277777777777746E-2</v>
      </c>
      <c r="BB14" s="132">
        <f>BB12-BB2</f>
        <v>-0.2986111111111111</v>
      </c>
      <c r="BC14" s="132" t="e">
        <f>BC8-BC2</f>
        <v>#VALUE!</v>
      </c>
      <c r="BD14" s="132" t="e">
        <f>BD9-BD2</f>
        <v>#VALUE!</v>
      </c>
      <c r="BE14" s="132">
        <f t="shared" si="2"/>
        <v>3.0555555555555558E-2</v>
      </c>
      <c r="BF14" s="132">
        <f t="shared" si="2"/>
        <v>4.8611111111111105E-2</v>
      </c>
      <c r="BG14" s="132">
        <v>3.5416666666666666E-2</v>
      </c>
      <c r="BH14" s="132">
        <f t="shared" si="2"/>
        <v>3.472222222222221E-2</v>
      </c>
      <c r="BI14" s="132">
        <f t="shared" si="2"/>
        <v>3.125E-2</v>
      </c>
      <c r="BJ14" s="132" t="e">
        <f t="shared" si="2"/>
        <v>#VALUE!</v>
      </c>
      <c r="BK14" s="132" t="e">
        <f>BK8-BK2</f>
        <v>#VALUE!</v>
      </c>
      <c r="BL14" s="132">
        <f>BL7-BL2</f>
        <v>1.8749999999999989E-2</v>
      </c>
      <c r="BM14" s="132">
        <f t="shared" si="2"/>
        <v>8.3333333333333037E-3</v>
      </c>
      <c r="BN14" s="132">
        <f>BN7-BN2</f>
        <v>1.8749999999999989E-2</v>
      </c>
      <c r="BO14" s="132">
        <f>BO8-BO2</f>
        <v>3.2638888888888884E-2</v>
      </c>
      <c r="BP14" s="132">
        <f>BP9-BP2</f>
        <v>6.25E-2</v>
      </c>
      <c r="BQ14" s="132" t="e">
        <f>BQ9-BQ2</f>
        <v>#VALUE!</v>
      </c>
      <c r="BR14" s="132" t="e">
        <f>BR10-BR2</f>
        <v>#VALUE!</v>
      </c>
      <c r="BS14" s="132">
        <f>BS6-BS2</f>
        <v>1.0416666666666657E-2</v>
      </c>
      <c r="BT14" s="132">
        <f>BT9-BT2</f>
        <v>2.708333333333332E-2</v>
      </c>
      <c r="BU14" s="132">
        <f>BU10-BU2</f>
        <v>2.2916666666666641E-2</v>
      </c>
      <c r="BV14" s="132">
        <f t="shared" si="2"/>
        <v>4.3749999999999983E-2</v>
      </c>
      <c r="BW14" s="132">
        <f t="shared" si="2"/>
        <v>4.7222222222222221E-2</v>
      </c>
      <c r="BX14" s="132">
        <f>BX9-BX2</f>
        <v>2.1527777777777757E-2</v>
      </c>
      <c r="BY14" s="132">
        <f>BY10-BY2</f>
        <v>-0.4465277777777778</v>
      </c>
      <c r="BZ14" s="132">
        <f>BZ9-BZ2</f>
        <v>2.5694444444444464E-2</v>
      </c>
      <c r="CA14" s="132">
        <f>CA8-CA2</f>
        <v>0</v>
      </c>
      <c r="CB14" s="132">
        <f>CB9-CB2</f>
        <v>0</v>
      </c>
      <c r="CC14" s="132">
        <f t="shared" si="2"/>
        <v>0</v>
      </c>
      <c r="CD14" s="132">
        <f>CD10-CD2</f>
        <v>0</v>
      </c>
      <c r="CE14" s="132">
        <f>CE9-CE2</f>
        <v>0</v>
      </c>
      <c r="CF14" s="132">
        <f>CF9-CF2</f>
        <v>0</v>
      </c>
      <c r="CG14" s="132">
        <f>CG8-CG2</f>
        <v>0</v>
      </c>
      <c r="CH14" s="132">
        <f>CH10-CH2</f>
        <v>0</v>
      </c>
      <c r="CI14" s="132">
        <f>CI9-CI2</f>
        <v>0</v>
      </c>
      <c r="CJ14" s="132">
        <f t="shared" si="2"/>
        <v>0</v>
      </c>
      <c r="CK14" s="132">
        <f>CK10-CK2</f>
        <v>0</v>
      </c>
      <c r="CL14" s="132">
        <f>CL8-CL2</f>
        <v>0</v>
      </c>
      <c r="CM14" s="132">
        <f>CM10-CM2</f>
        <v>0</v>
      </c>
      <c r="CN14" s="132">
        <f>CN8-CN2</f>
        <v>0</v>
      </c>
      <c r="CO14" s="132">
        <f t="shared" ref="CO14:EZ14" si="3">CO8-CO2</f>
        <v>0</v>
      </c>
      <c r="CP14" s="132">
        <f t="shared" si="3"/>
        <v>0</v>
      </c>
      <c r="CQ14" s="132">
        <f t="shared" si="3"/>
        <v>0</v>
      </c>
      <c r="CR14" s="132">
        <f t="shared" si="3"/>
        <v>0</v>
      </c>
      <c r="CS14" s="132">
        <f t="shared" si="3"/>
        <v>0</v>
      </c>
      <c r="CT14" s="132">
        <f t="shared" si="3"/>
        <v>0</v>
      </c>
      <c r="CU14" s="132">
        <f t="shared" si="3"/>
        <v>0</v>
      </c>
      <c r="CV14" s="132">
        <f t="shared" si="3"/>
        <v>0</v>
      </c>
      <c r="CW14" s="132">
        <f t="shared" si="3"/>
        <v>0</v>
      </c>
      <c r="CX14" s="132">
        <f t="shared" si="3"/>
        <v>0</v>
      </c>
      <c r="CY14" s="132">
        <f t="shared" si="3"/>
        <v>0</v>
      </c>
      <c r="CZ14" s="132">
        <f t="shared" si="3"/>
        <v>0</v>
      </c>
      <c r="DA14" s="132">
        <f t="shared" si="3"/>
        <v>0</v>
      </c>
      <c r="DB14" s="132">
        <f t="shared" si="3"/>
        <v>0</v>
      </c>
      <c r="DC14" s="132">
        <f t="shared" si="3"/>
        <v>0</v>
      </c>
      <c r="DD14" s="132">
        <f t="shared" si="3"/>
        <v>0</v>
      </c>
      <c r="DE14" s="132">
        <f t="shared" si="3"/>
        <v>0</v>
      </c>
      <c r="DF14" s="132">
        <f t="shared" si="3"/>
        <v>0</v>
      </c>
      <c r="DG14" s="132">
        <f t="shared" si="3"/>
        <v>0</v>
      </c>
      <c r="DH14" s="132">
        <f t="shared" si="3"/>
        <v>0</v>
      </c>
      <c r="DI14" s="132">
        <f t="shared" si="3"/>
        <v>0</v>
      </c>
      <c r="DJ14" s="132">
        <f t="shared" si="3"/>
        <v>0</v>
      </c>
      <c r="DK14" s="132">
        <f t="shared" si="3"/>
        <v>0</v>
      </c>
      <c r="DL14" s="132">
        <f t="shared" si="3"/>
        <v>0</v>
      </c>
      <c r="DM14" s="132">
        <f t="shared" si="3"/>
        <v>0</v>
      </c>
      <c r="DN14" s="132">
        <f t="shared" si="3"/>
        <v>0</v>
      </c>
      <c r="DO14" s="132">
        <f t="shared" si="3"/>
        <v>0</v>
      </c>
      <c r="DP14" s="132">
        <f t="shared" si="3"/>
        <v>0</v>
      </c>
      <c r="DQ14" s="132">
        <f t="shared" si="3"/>
        <v>0</v>
      </c>
      <c r="DR14" s="132">
        <f t="shared" si="3"/>
        <v>0</v>
      </c>
      <c r="DS14" s="132">
        <f t="shared" si="3"/>
        <v>0</v>
      </c>
      <c r="DT14" s="132">
        <f t="shared" si="3"/>
        <v>0</v>
      </c>
      <c r="DU14" s="132">
        <f t="shared" si="3"/>
        <v>0</v>
      </c>
      <c r="DV14" s="132">
        <f>DV8-DV2</f>
        <v>0</v>
      </c>
      <c r="DW14" s="132">
        <f t="shared" si="3"/>
        <v>0</v>
      </c>
      <c r="DX14" s="132">
        <f t="shared" si="3"/>
        <v>0</v>
      </c>
      <c r="DY14" s="132">
        <f t="shared" si="3"/>
        <v>0</v>
      </c>
      <c r="DZ14" s="132">
        <f t="shared" si="3"/>
        <v>0</v>
      </c>
      <c r="EA14" s="132">
        <f t="shared" si="3"/>
        <v>0</v>
      </c>
      <c r="EB14" s="132">
        <f t="shared" si="3"/>
        <v>0</v>
      </c>
      <c r="EC14" s="132">
        <f t="shared" si="3"/>
        <v>0</v>
      </c>
      <c r="ED14" s="132">
        <f t="shared" si="3"/>
        <v>0</v>
      </c>
      <c r="EE14" s="132">
        <f>EE6-EE2</f>
        <v>0</v>
      </c>
      <c r="EF14" s="132">
        <f t="shared" si="3"/>
        <v>0</v>
      </c>
      <c r="EG14" s="132">
        <f t="shared" si="3"/>
        <v>0</v>
      </c>
      <c r="EH14" s="132">
        <f t="shared" si="3"/>
        <v>0</v>
      </c>
      <c r="EI14" s="132">
        <f t="shared" si="3"/>
        <v>0</v>
      </c>
      <c r="EJ14" s="132"/>
      <c r="EK14" s="132">
        <f t="shared" si="3"/>
        <v>0</v>
      </c>
      <c r="EL14" s="132">
        <f t="shared" si="3"/>
        <v>0</v>
      </c>
      <c r="EM14" s="132">
        <f t="shared" si="3"/>
        <v>0</v>
      </c>
      <c r="EN14" s="132">
        <f t="shared" si="3"/>
        <v>0</v>
      </c>
      <c r="EO14" s="132">
        <f>EO6-EO2</f>
        <v>0</v>
      </c>
      <c r="EP14" s="132">
        <f t="shared" si="3"/>
        <v>0</v>
      </c>
      <c r="EQ14" s="132">
        <f t="shared" si="3"/>
        <v>0</v>
      </c>
      <c r="ER14" s="132">
        <f t="shared" si="3"/>
        <v>0</v>
      </c>
      <c r="ES14" s="132">
        <f t="shared" si="3"/>
        <v>0</v>
      </c>
      <c r="ET14" s="132">
        <f t="shared" si="3"/>
        <v>0</v>
      </c>
      <c r="EU14" s="132">
        <f t="shared" si="3"/>
        <v>0</v>
      </c>
      <c r="EV14" s="132">
        <f t="shared" si="3"/>
        <v>0</v>
      </c>
      <c r="EW14" s="132">
        <f t="shared" si="3"/>
        <v>0</v>
      </c>
      <c r="EX14" s="132">
        <f t="shared" si="3"/>
        <v>0</v>
      </c>
      <c r="EY14" s="132">
        <f t="shared" si="3"/>
        <v>0</v>
      </c>
      <c r="EZ14" s="132">
        <f t="shared" si="3"/>
        <v>0</v>
      </c>
      <c r="FA14" s="132">
        <f t="shared" ref="FA14:HL14" si="4">FA8-FA2</f>
        <v>0</v>
      </c>
      <c r="FB14" s="132">
        <f t="shared" si="4"/>
        <v>0</v>
      </c>
      <c r="FC14" s="132">
        <f t="shared" si="4"/>
        <v>0</v>
      </c>
      <c r="FD14" s="132">
        <f t="shared" si="4"/>
        <v>0</v>
      </c>
      <c r="FE14" s="132">
        <f t="shared" si="4"/>
        <v>0</v>
      </c>
      <c r="FF14" s="132">
        <f t="shared" si="4"/>
        <v>0</v>
      </c>
      <c r="FG14" s="132">
        <f t="shared" si="4"/>
        <v>0</v>
      </c>
      <c r="FH14" s="132">
        <f t="shared" si="4"/>
        <v>0</v>
      </c>
      <c r="FI14" s="132">
        <f t="shared" si="4"/>
        <v>0</v>
      </c>
      <c r="FJ14" s="132">
        <f t="shared" si="4"/>
        <v>0</v>
      </c>
      <c r="FK14" s="132">
        <f t="shared" si="4"/>
        <v>0</v>
      </c>
      <c r="FL14" s="132">
        <f t="shared" si="4"/>
        <v>0</v>
      </c>
      <c r="FM14" s="132">
        <f t="shared" si="4"/>
        <v>0</v>
      </c>
      <c r="FN14" s="132">
        <f t="shared" si="4"/>
        <v>0</v>
      </c>
      <c r="FO14" s="132">
        <f t="shared" si="4"/>
        <v>0</v>
      </c>
      <c r="FP14" s="132">
        <f t="shared" si="4"/>
        <v>0</v>
      </c>
      <c r="FQ14" s="132">
        <f t="shared" si="4"/>
        <v>0</v>
      </c>
      <c r="FR14" s="132">
        <f t="shared" si="4"/>
        <v>0</v>
      </c>
      <c r="FS14" s="132">
        <f t="shared" si="4"/>
        <v>0</v>
      </c>
      <c r="FT14" s="132">
        <v>0.22916666666666666</v>
      </c>
      <c r="FU14" s="132">
        <f t="shared" si="4"/>
        <v>0</v>
      </c>
      <c r="FV14" s="132">
        <f t="shared" si="4"/>
        <v>0</v>
      </c>
      <c r="FW14" s="132">
        <f t="shared" si="4"/>
        <v>0</v>
      </c>
      <c r="FX14" s="132">
        <f t="shared" si="4"/>
        <v>0</v>
      </c>
      <c r="FY14" s="132">
        <f t="shared" si="4"/>
        <v>0</v>
      </c>
      <c r="FZ14" s="132">
        <f t="shared" si="4"/>
        <v>0</v>
      </c>
      <c r="GA14" s="132">
        <f t="shared" si="4"/>
        <v>0</v>
      </c>
      <c r="GB14" s="132">
        <f t="shared" si="4"/>
        <v>0</v>
      </c>
      <c r="GC14" s="132">
        <f t="shared" si="4"/>
        <v>0</v>
      </c>
      <c r="GD14" s="132">
        <f t="shared" si="4"/>
        <v>0</v>
      </c>
      <c r="GE14" s="132">
        <f t="shared" si="4"/>
        <v>0</v>
      </c>
      <c r="GF14" s="132">
        <f t="shared" si="4"/>
        <v>0</v>
      </c>
      <c r="GG14" s="132">
        <f t="shared" si="4"/>
        <v>0</v>
      </c>
      <c r="GH14" s="132">
        <f t="shared" si="4"/>
        <v>0</v>
      </c>
      <c r="GI14" s="132">
        <f t="shared" si="4"/>
        <v>0</v>
      </c>
      <c r="GJ14" s="132">
        <f t="shared" si="4"/>
        <v>0</v>
      </c>
      <c r="GK14" s="132">
        <f t="shared" si="4"/>
        <v>0</v>
      </c>
      <c r="GL14" s="132">
        <f t="shared" si="4"/>
        <v>0</v>
      </c>
      <c r="GM14" s="132">
        <f t="shared" si="4"/>
        <v>0</v>
      </c>
      <c r="GN14" s="132">
        <f t="shared" si="4"/>
        <v>0</v>
      </c>
      <c r="GO14" s="132">
        <f t="shared" si="4"/>
        <v>0</v>
      </c>
      <c r="GP14" s="132">
        <f t="shared" si="4"/>
        <v>0</v>
      </c>
      <c r="GQ14" s="132">
        <f t="shared" si="4"/>
        <v>0</v>
      </c>
      <c r="GR14" s="132">
        <f t="shared" si="4"/>
        <v>0</v>
      </c>
      <c r="GS14" s="132">
        <f t="shared" si="4"/>
        <v>0</v>
      </c>
      <c r="GT14" s="132">
        <f t="shared" si="4"/>
        <v>0</v>
      </c>
      <c r="GU14" s="132">
        <f t="shared" si="4"/>
        <v>0</v>
      </c>
      <c r="GV14" s="132">
        <f t="shared" si="4"/>
        <v>0</v>
      </c>
      <c r="GW14" s="132">
        <f t="shared" si="4"/>
        <v>0</v>
      </c>
      <c r="GX14" s="132">
        <f t="shared" si="4"/>
        <v>0</v>
      </c>
      <c r="GY14" s="132">
        <f t="shared" si="4"/>
        <v>0</v>
      </c>
      <c r="GZ14" s="132">
        <f t="shared" si="4"/>
        <v>0</v>
      </c>
      <c r="HA14" s="132">
        <f t="shared" si="4"/>
        <v>0</v>
      </c>
      <c r="HB14" s="132">
        <f t="shared" si="4"/>
        <v>0</v>
      </c>
      <c r="HC14" s="132">
        <f t="shared" si="4"/>
        <v>0</v>
      </c>
      <c r="HD14" s="132">
        <f t="shared" si="4"/>
        <v>0</v>
      </c>
      <c r="HE14" s="132">
        <f t="shared" si="4"/>
        <v>0</v>
      </c>
      <c r="HF14" s="132">
        <f t="shared" si="4"/>
        <v>0</v>
      </c>
      <c r="HG14" s="132">
        <f t="shared" si="4"/>
        <v>0</v>
      </c>
      <c r="HH14" s="132">
        <f t="shared" si="4"/>
        <v>0</v>
      </c>
      <c r="HI14" s="132">
        <f t="shared" si="4"/>
        <v>0</v>
      </c>
      <c r="HJ14" s="132">
        <f t="shared" si="4"/>
        <v>0</v>
      </c>
      <c r="HK14" s="132">
        <f t="shared" si="4"/>
        <v>0</v>
      </c>
      <c r="HL14" s="132">
        <f t="shared" si="4"/>
        <v>0</v>
      </c>
      <c r="HM14" s="132">
        <f t="shared" ref="HM14:JX14" si="5">HM8-HM2</f>
        <v>0</v>
      </c>
      <c r="HN14" s="132">
        <f t="shared" si="5"/>
        <v>0</v>
      </c>
      <c r="HO14" s="132">
        <f t="shared" si="5"/>
        <v>0</v>
      </c>
      <c r="HP14" s="132">
        <f t="shared" si="5"/>
        <v>0</v>
      </c>
      <c r="HQ14" s="132">
        <f t="shared" si="5"/>
        <v>0</v>
      </c>
      <c r="HR14" s="132">
        <f t="shared" si="5"/>
        <v>0</v>
      </c>
      <c r="HS14" s="132">
        <f t="shared" si="5"/>
        <v>0</v>
      </c>
      <c r="HT14" s="132">
        <f t="shared" si="5"/>
        <v>0</v>
      </c>
      <c r="HU14" s="132">
        <f t="shared" si="5"/>
        <v>0</v>
      </c>
      <c r="HV14" s="132">
        <f t="shared" si="5"/>
        <v>0</v>
      </c>
      <c r="HW14" s="132">
        <f t="shared" si="5"/>
        <v>0</v>
      </c>
      <c r="HX14" s="132">
        <f t="shared" si="5"/>
        <v>0</v>
      </c>
      <c r="HY14" s="132">
        <f t="shared" si="5"/>
        <v>0</v>
      </c>
      <c r="HZ14" s="132">
        <f t="shared" si="5"/>
        <v>0</v>
      </c>
      <c r="IA14" s="132">
        <f t="shared" si="5"/>
        <v>0</v>
      </c>
      <c r="IB14" s="132">
        <f t="shared" si="5"/>
        <v>0</v>
      </c>
      <c r="IC14" s="132">
        <f>IC9-IC2</f>
        <v>0</v>
      </c>
      <c r="ID14" s="132">
        <f t="shared" si="5"/>
        <v>0</v>
      </c>
      <c r="IE14" s="132">
        <f t="shared" si="5"/>
        <v>0</v>
      </c>
      <c r="IF14" s="132">
        <f t="shared" si="5"/>
        <v>0</v>
      </c>
      <c r="IG14" s="132">
        <f t="shared" si="5"/>
        <v>0</v>
      </c>
      <c r="IH14" s="132">
        <f t="shared" si="5"/>
        <v>0</v>
      </c>
      <c r="II14" s="132">
        <f t="shared" si="5"/>
        <v>0</v>
      </c>
      <c r="IJ14" s="132">
        <f t="shared" si="5"/>
        <v>0</v>
      </c>
      <c r="IK14" s="132">
        <f t="shared" si="5"/>
        <v>0</v>
      </c>
      <c r="IL14" s="132">
        <f t="shared" si="5"/>
        <v>0</v>
      </c>
      <c r="IM14" s="132">
        <f t="shared" si="5"/>
        <v>0</v>
      </c>
      <c r="IN14" s="132">
        <f t="shared" si="5"/>
        <v>0</v>
      </c>
      <c r="IO14" s="132">
        <f t="shared" si="5"/>
        <v>0</v>
      </c>
      <c r="IP14" s="132">
        <f t="shared" si="5"/>
        <v>0</v>
      </c>
      <c r="IQ14" s="132">
        <f t="shared" si="5"/>
        <v>0</v>
      </c>
      <c r="IR14" s="132">
        <f t="shared" si="5"/>
        <v>0</v>
      </c>
      <c r="IS14" s="132">
        <f t="shared" si="5"/>
        <v>0</v>
      </c>
      <c r="IT14" s="132">
        <f t="shared" si="5"/>
        <v>0</v>
      </c>
      <c r="IU14" s="132">
        <f t="shared" si="5"/>
        <v>0</v>
      </c>
      <c r="IV14" s="132">
        <f t="shared" si="5"/>
        <v>0</v>
      </c>
      <c r="IW14" s="132">
        <f t="shared" si="5"/>
        <v>0</v>
      </c>
      <c r="IX14" s="132">
        <f t="shared" si="5"/>
        <v>0</v>
      </c>
      <c r="IY14" s="132">
        <f t="shared" si="5"/>
        <v>0</v>
      </c>
      <c r="IZ14" s="132">
        <f t="shared" si="5"/>
        <v>0</v>
      </c>
      <c r="JA14" s="132">
        <f t="shared" si="5"/>
        <v>0</v>
      </c>
      <c r="JB14" s="132">
        <f t="shared" si="5"/>
        <v>0</v>
      </c>
      <c r="JC14" s="132">
        <f t="shared" si="5"/>
        <v>0</v>
      </c>
      <c r="JD14" s="132">
        <f t="shared" si="5"/>
        <v>0</v>
      </c>
      <c r="JE14" s="132">
        <f t="shared" si="5"/>
        <v>0</v>
      </c>
      <c r="JF14" s="132">
        <f t="shared" si="5"/>
        <v>0</v>
      </c>
      <c r="JG14" s="132">
        <f t="shared" si="5"/>
        <v>0</v>
      </c>
      <c r="JH14" s="132">
        <f t="shared" si="5"/>
        <v>0</v>
      </c>
      <c r="JI14" s="132">
        <f t="shared" si="5"/>
        <v>0</v>
      </c>
      <c r="JJ14" s="132">
        <f t="shared" si="5"/>
        <v>0</v>
      </c>
      <c r="JK14" s="132">
        <f t="shared" si="5"/>
        <v>0</v>
      </c>
      <c r="JL14" s="132">
        <f t="shared" si="5"/>
        <v>0</v>
      </c>
      <c r="JM14" s="132">
        <f t="shared" si="5"/>
        <v>0</v>
      </c>
      <c r="JN14" s="132">
        <f t="shared" si="5"/>
        <v>0</v>
      </c>
      <c r="JO14" s="132">
        <f t="shared" si="5"/>
        <v>0</v>
      </c>
      <c r="JP14" s="132">
        <f t="shared" si="5"/>
        <v>0</v>
      </c>
      <c r="JQ14" s="132">
        <f t="shared" si="5"/>
        <v>0</v>
      </c>
      <c r="JR14" s="132">
        <f t="shared" si="5"/>
        <v>0</v>
      </c>
      <c r="JS14" s="132">
        <f t="shared" si="5"/>
        <v>0</v>
      </c>
      <c r="JT14" s="132">
        <f t="shared" si="5"/>
        <v>0</v>
      </c>
      <c r="JU14" s="132">
        <f t="shared" si="5"/>
        <v>0</v>
      </c>
      <c r="JV14" s="132">
        <f t="shared" si="5"/>
        <v>0</v>
      </c>
      <c r="JW14" s="132">
        <f t="shared" si="5"/>
        <v>0</v>
      </c>
      <c r="JX14" s="132">
        <f t="shared" si="5"/>
        <v>0</v>
      </c>
      <c r="JY14" s="132">
        <f t="shared" ref="JY14:MI14" si="6">JY8-JY2</f>
        <v>0</v>
      </c>
      <c r="JZ14" s="132">
        <f t="shared" si="6"/>
        <v>0</v>
      </c>
      <c r="KA14" s="132">
        <f t="shared" si="6"/>
        <v>0</v>
      </c>
      <c r="KB14" s="132">
        <f t="shared" si="6"/>
        <v>0</v>
      </c>
      <c r="KC14" s="132">
        <f t="shared" si="6"/>
        <v>0</v>
      </c>
      <c r="KD14" s="132">
        <f t="shared" si="6"/>
        <v>0</v>
      </c>
      <c r="KE14" s="132">
        <f t="shared" si="6"/>
        <v>0</v>
      </c>
      <c r="KF14" s="132">
        <f t="shared" si="6"/>
        <v>0</v>
      </c>
      <c r="KG14" s="132">
        <f t="shared" si="6"/>
        <v>0</v>
      </c>
      <c r="KH14" s="132">
        <f t="shared" si="6"/>
        <v>0</v>
      </c>
      <c r="KI14" s="132">
        <f t="shared" si="6"/>
        <v>0</v>
      </c>
      <c r="KJ14" s="132">
        <f t="shared" si="6"/>
        <v>0</v>
      </c>
      <c r="KK14" s="132">
        <f t="shared" si="6"/>
        <v>0</v>
      </c>
      <c r="KL14" s="132">
        <f t="shared" si="6"/>
        <v>0</v>
      </c>
      <c r="KM14" s="132">
        <f t="shared" si="6"/>
        <v>0</v>
      </c>
      <c r="KN14" s="132">
        <f t="shared" si="6"/>
        <v>0</v>
      </c>
      <c r="KO14" s="132">
        <f t="shared" si="6"/>
        <v>0</v>
      </c>
      <c r="KP14" s="132">
        <f t="shared" si="6"/>
        <v>0</v>
      </c>
      <c r="KQ14" s="132">
        <f t="shared" si="6"/>
        <v>0</v>
      </c>
      <c r="KR14" s="132">
        <f t="shared" si="6"/>
        <v>0</v>
      </c>
      <c r="KS14" s="132">
        <f t="shared" si="6"/>
        <v>0</v>
      </c>
      <c r="KT14" s="132">
        <f t="shared" si="6"/>
        <v>0</v>
      </c>
      <c r="KU14" s="132">
        <f t="shared" si="6"/>
        <v>0</v>
      </c>
      <c r="KV14" s="132">
        <f t="shared" si="6"/>
        <v>0</v>
      </c>
      <c r="KW14" s="132">
        <f t="shared" si="6"/>
        <v>0</v>
      </c>
      <c r="KX14" s="132">
        <f t="shared" si="6"/>
        <v>0</v>
      </c>
      <c r="KY14" s="132">
        <f t="shared" si="6"/>
        <v>0</v>
      </c>
      <c r="KZ14" s="132">
        <f t="shared" si="6"/>
        <v>0</v>
      </c>
      <c r="LA14" s="132">
        <f t="shared" si="6"/>
        <v>0</v>
      </c>
      <c r="LB14" s="132">
        <f t="shared" si="6"/>
        <v>0</v>
      </c>
      <c r="LC14" s="132">
        <f t="shared" si="6"/>
        <v>0</v>
      </c>
      <c r="LD14" s="132">
        <f t="shared" si="6"/>
        <v>0</v>
      </c>
      <c r="LE14" s="132">
        <f t="shared" si="6"/>
        <v>0</v>
      </c>
      <c r="LF14" s="132">
        <f t="shared" si="6"/>
        <v>0</v>
      </c>
      <c r="LG14" s="132">
        <f t="shared" si="6"/>
        <v>0</v>
      </c>
      <c r="LH14" s="132">
        <f t="shared" si="6"/>
        <v>0</v>
      </c>
      <c r="LI14" s="132">
        <f t="shared" si="6"/>
        <v>0</v>
      </c>
      <c r="LJ14" s="132">
        <f t="shared" si="6"/>
        <v>0</v>
      </c>
      <c r="LK14" s="132">
        <f t="shared" si="6"/>
        <v>0</v>
      </c>
      <c r="LL14" s="132">
        <f t="shared" si="6"/>
        <v>0</v>
      </c>
      <c r="LM14" s="132">
        <f t="shared" si="6"/>
        <v>0</v>
      </c>
      <c r="LN14" s="132">
        <f t="shared" si="6"/>
        <v>0</v>
      </c>
      <c r="LO14" s="132">
        <f t="shared" si="6"/>
        <v>0</v>
      </c>
      <c r="LP14" s="132">
        <f t="shared" si="6"/>
        <v>0</v>
      </c>
      <c r="LQ14" s="132">
        <f t="shared" si="6"/>
        <v>0</v>
      </c>
      <c r="LR14" s="132">
        <f t="shared" si="6"/>
        <v>0</v>
      </c>
      <c r="LS14" s="132">
        <f t="shared" si="6"/>
        <v>0</v>
      </c>
      <c r="LT14" s="132">
        <f t="shared" si="6"/>
        <v>0</v>
      </c>
      <c r="LU14" s="132">
        <f t="shared" si="6"/>
        <v>0</v>
      </c>
      <c r="LV14" s="132">
        <f t="shared" si="6"/>
        <v>0</v>
      </c>
      <c r="LW14" s="132">
        <f t="shared" si="6"/>
        <v>0</v>
      </c>
      <c r="LX14" s="132">
        <f t="shared" si="6"/>
        <v>0</v>
      </c>
      <c r="LY14" s="132">
        <f t="shared" si="6"/>
        <v>0</v>
      </c>
      <c r="LZ14" s="132">
        <f t="shared" si="6"/>
        <v>0</v>
      </c>
      <c r="MA14" s="132">
        <f t="shared" si="6"/>
        <v>0</v>
      </c>
      <c r="MB14" s="132">
        <f t="shared" si="6"/>
        <v>0</v>
      </c>
      <c r="MC14" s="132">
        <f t="shared" si="6"/>
        <v>0</v>
      </c>
      <c r="MD14" s="132">
        <f t="shared" si="6"/>
        <v>0</v>
      </c>
      <c r="ME14" s="132">
        <f t="shared" si="6"/>
        <v>0</v>
      </c>
      <c r="MF14" s="132">
        <f t="shared" si="6"/>
        <v>0</v>
      </c>
      <c r="MG14" s="132">
        <f t="shared" si="6"/>
        <v>0</v>
      </c>
      <c r="MH14" s="132">
        <f t="shared" si="6"/>
        <v>0</v>
      </c>
      <c r="MI14" s="132">
        <f t="shared" si="6"/>
        <v>0</v>
      </c>
      <c r="MJ14" s="132">
        <f t="shared" ref="MJ14:NC14" si="7">MJ8-MJ2</f>
        <v>0</v>
      </c>
      <c r="MK14" s="132">
        <f t="shared" si="7"/>
        <v>0</v>
      </c>
      <c r="ML14" s="132">
        <f t="shared" si="7"/>
        <v>0</v>
      </c>
      <c r="MM14" s="132">
        <f t="shared" si="7"/>
        <v>0</v>
      </c>
      <c r="MN14" s="132">
        <f t="shared" si="7"/>
        <v>0</v>
      </c>
      <c r="MO14" s="132">
        <f t="shared" si="7"/>
        <v>0</v>
      </c>
      <c r="MP14" s="132">
        <f t="shared" si="7"/>
        <v>0</v>
      </c>
      <c r="MQ14" s="132">
        <f t="shared" si="7"/>
        <v>0</v>
      </c>
      <c r="MR14" s="132">
        <f t="shared" si="7"/>
        <v>0</v>
      </c>
      <c r="MS14" s="132">
        <f t="shared" si="7"/>
        <v>0</v>
      </c>
      <c r="MT14" s="132">
        <f t="shared" si="7"/>
        <v>0</v>
      </c>
      <c r="MU14" s="132">
        <f t="shared" si="7"/>
        <v>0</v>
      </c>
      <c r="MV14" s="132">
        <f t="shared" si="7"/>
        <v>0</v>
      </c>
      <c r="MW14" s="132">
        <f t="shared" si="7"/>
        <v>0</v>
      </c>
      <c r="MX14" s="132">
        <f t="shared" si="7"/>
        <v>0</v>
      </c>
      <c r="MY14" s="132">
        <f t="shared" si="7"/>
        <v>0</v>
      </c>
      <c r="MZ14" s="132">
        <f t="shared" si="7"/>
        <v>0</v>
      </c>
      <c r="NA14" s="132">
        <f t="shared" si="7"/>
        <v>0</v>
      </c>
      <c r="NB14" s="132">
        <f t="shared" si="7"/>
        <v>0</v>
      </c>
      <c r="NC14" s="132">
        <f t="shared" si="7"/>
        <v>0</v>
      </c>
    </row>
    <row r="15" spans="1:367" x14ac:dyDescent="0.25">
      <c r="A15" s="1"/>
      <c r="L15" s="71"/>
    </row>
    <row r="16" spans="1:367" x14ac:dyDescent="0.25">
      <c r="A16" s="91"/>
      <c r="B16" s="71" t="s">
        <v>204</v>
      </c>
    </row>
    <row r="17" spans="2:124" x14ac:dyDescent="0.25">
      <c r="B17" s="72">
        <v>0.21666666666666667</v>
      </c>
      <c r="C17" s="72">
        <v>0.24791666666666667</v>
      </c>
      <c r="D17" s="73">
        <v>0</v>
      </c>
      <c r="E17" s="72">
        <v>0.19930555555555557</v>
      </c>
      <c r="F17" s="72">
        <v>0.22708333333333333</v>
      </c>
      <c r="G17" s="72">
        <v>0.24930555555555556</v>
      </c>
      <c r="H17" s="72">
        <v>0.33194444444444443</v>
      </c>
      <c r="I17" s="72">
        <v>0.21388888888888888</v>
      </c>
      <c r="J17" s="72">
        <v>0.26250000000000001</v>
      </c>
      <c r="K17" s="73">
        <v>0</v>
      </c>
      <c r="L17" s="72">
        <v>0.1736111111111111</v>
      </c>
      <c r="M17" s="72">
        <v>0.25277777777777777</v>
      </c>
      <c r="N17" s="74"/>
      <c r="O17" s="74"/>
      <c r="P17" s="74"/>
      <c r="Q17" s="74"/>
      <c r="R17" s="74"/>
      <c r="S17" s="74"/>
      <c r="T17" s="74"/>
      <c r="U17" s="74"/>
      <c r="V17" s="74"/>
      <c r="W17" s="74"/>
    </row>
    <row r="18" spans="2:124" x14ac:dyDescent="0.25">
      <c r="B18" s="72">
        <v>0.22013888888888888</v>
      </c>
      <c r="C18" s="72">
        <v>0.25138888888888888</v>
      </c>
      <c r="D18" s="73">
        <v>0</v>
      </c>
      <c r="E18" s="72">
        <v>0.20208333333333334</v>
      </c>
      <c r="F18" s="72">
        <v>0.22916666666666666</v>
      </c>
      <c r="G18" s="72">
        <v>0.25624999999999998</v>
      </c>
      <c r="H18" s="72">
        <v>0.33402777777777776</v>
      </c>
      <c r="I18" s="72">
        <v>0.22500000000000001</v>
      </c>
      <c r="J18" s="72">
        <v>0.26597222222222222</v>
      </c>
      <c r="K18" s="73">
        <v>0</v>
      </c>
      <c r="L18" s="72">
        <v>0.17847222222222223</v>
      </c>
      <c r="M18" s="72">
        <v>0.25833333333333336</v>
      </c>
      <c r="N18" s="74"/>
      <c r="O18" s="74"/>
      <c r="P18" s="74"/>
      <c r="Q18" s="74"/>
      <c r="R18" s="74"/>
      <c r="S18" s="74"/>
      <c r="T18" s="74"/>
      <c r="U18" s="74"/>
      <c r="V18" s="74"/>
      <c r="W18" s="74"/>
    </row>
    <row r="19" spans="2:124" x14ac:dyDescent="0.25">
      <c r="B19" s="72">
        <v>0.22847222222222222</v>
      </c>
      <c r="C19" s="72">
        <v>0.25555555555555554</v>
      </c>
      <c r="D19" s="73">
        <v>0</v>
      </c>
      <c r="E19" s="72">
        <v>0.2048611111111111</v>
      </c>
      <c r="F19" s="72">
        <v>0.24166666666666667</v>
      </c>
      <c r="G19" s="72">
        <v>0.26458333333333334</v>
      </c>
      <c r="H19" s="72">
        <v>0.34513888888888888</v>
      </c>
      <c r="I19" s="72">
        <v>0.2298611111111111</v>
      </c>
      <c r="J19" s="72">
        <v>0.27083333333333331</v>
      </c>
      <c r="K19" s="73">
        <v>0</v>
      </c>
      <c r="L19" s="72">
        <v>0.18541666666666667</v>
      </c>
      <c r="M19" s="72">
        <v>0.2638888888888889</v>
      </c>
      <c r="N19" s="74"/>
      <c r="O19" s="74"/>
      <c r="P19" s="74"/>
      <c r="Q19" s="74"/>
      <c r="R19" s="74"/>
      <c r="S19" s="74"/>
      <c r="T19" s="74"/>
      <c r="U19" s="74"/>
      <c r="V19" s="74"/>
      <c r="W19" s="74"/>
    </row>
    <row r="20" spans="2:124" x14ac:dyDescent="0.25">
      <c r="B20" s="72">
        <v>0.25972222222222224</v>
      </c>
      <c r="C20" s="72">
        <v>0.25972222222222224</v>
      </c>
      <c r="D20" s="73">
        <v>0</v>
      </c>
      <c r="E20" s="72">
        <v>0.20902777777777778</v>
      </c>
      <c r="F20" s="72">
        <v>0.26527777777777778</v>
      </c>
      <c r="G20" s="72">
        <v>0.26805555555555555</v>
      </c>
      <c r="H20" s="72">
        <v>0.34722222222222221</v>
      </c>
      <c r="I20" s="72">
        <v>0.2326388888888889</v>
      </c>
      <c r="J20" s="72">
        <v>0.27430555555555558</v>
      </c>
      <c r="K20" s="73">
        <v>0</v>
      </c>
      <c r="L20" s="72">
        <v>0.1986111111111111</v>
      </c>
      <c r="M20" s="72">
        <v>0.26666666666666666</v>
      </c>
      <c r="N20" s="74"/>
      <c r="O20" s="74"/>
      <c r="P20" s="74"/>
      <c r="Q20" s="74"/>
      <c r="R20" s="74"/>
      <c r="S20" s="131"/>
      <c r="T20" s="74"/>
      <c r="U20" s="74"/>
      <c r="V20" s="74"/>
      <c r="W20" s="74"/>
    </row>
    <row r="21" spans="2:124" x14ac:dyDescent="0.25">
      <c r="B21" s="72">
        <v>0.26250000000000001</v>
      </c>
      <c r="C21" s="72">
        <v>0.2638888888888889</v>
      </c>
      <c r="D21" s="73">
        <v>0</v>
      </c>
      <c r="E21" s="72">
        <v>0.21041666666666667</v>
      </c>
      <c r="F21" s="72">
        <v>0.26874999999999999</v>
      </c>
      <c r="G21" s="72">
        <v>0.27083333333333331</v>
      </c>
      <c r="H21" s="72">
        <v>0.34930555555555554</v>
      </c>
      <c r="I21" s="72">
        <v>0.23541666666666666</v>
      </c>
      <c r="J21" s="72">
        <v>0.27916666666666667</v>
      </c>
      <c r="K21" s="73">
        <v>0</v>
      </c>
      <c r="L21" s="72">
        <v>0.20208333333333334</v>
      </c>
      <c r="M21" s="72">
        <v>0.27013888888888887</v>
      </c>
      <c r="N21" s="74"/>
      <c r="O21" s="74"/>
      <c r="P21" s="74"/>
      <c r="Q21" s="74"/>
      <c r="R21" s="74"/>
      <c r="S21" s="74"/>
      <c r="T21" s="74"/>
      <c r="U21" s="74"/>
      <c r="V21" s="74"/>
      <c r="W21" s="74"/>
    </row>
    <row r="22" spans="2:124" x14ac:dyDescent="0.25">
      <c r="B22" s="72">
        <v>0.26458333333333334</v>
      </c>
      <c r="C22" s="72">
        <v>0.27083333333333331</v>
      </c>
      <c r="D22" s="73">
        <v>0</v>
      </c>
      <c r="E22" s="72">
        <v>0.22361111111111112</v>
      </c>
      <c r="F22" s="73"/>
      <c r="G22" s="72">
        <v>0.27500000000000002</v>
      </c>
      <c r="H22" s="72">
        <v>0.35208333333333336</v>
      </c>
      <c r="I22" s="72">
        <v>0.2388888888888889</v>
      </c>
      <c r="J22" s="72">
        <v>0.28333333333333333</v>
      </c>
      <c r="K22" s="73">
        <v>0</v>
      </c>
      <c r="L22" s="72">
        <v>0.21041666666666667</v>
      </c>
      <c r="M22" s="72">
        <v>0.27291666666666664</v>
      </c>
      <c r="N22" s="74"/>
      <c r="O22" s="74"/>
      <c r="P22" s="74"/>
      <c r="Q22" s="74"/>
      <c r="R22" s="74"/>
      <c r="S22" s="74"/>
      <c r="T22" s="74"/>
      <c r="U22" s="74"/>
      <c r="V22" s="74"/>
      <c r="W22" s="74"/>
    </row>
    <row r="23" spans="2:124" x14ac:dyDescent="0.25">
      <c r="B23" s="72">
        <v>0.27152777777777776</v>
      </c>
      <c r="C23" s="72">
        <v>0.27638888888888891</v>
      </c>
      <c r="D23" s="73">
        <v>0</v>
      </c>
      <c r="E23" s="73"/>
      <c r="F23" s="73"/>
      <c r="G23" s="73"/>
      <c r="H23" s="72">
        <v>0.35902777777777778</v>
      </c>
      <c r="I23" s="72">
        <v>0.24166666666666667</v>
      </c>
      <c r="J23" s="72">
        <v>0.28819444444444442</v>
      </c>
      <c r="K23" s="73">
        <v>0</v>
      </c>
      <c r="L23" s="72">
        <v>0.21736111111111112</v>
      </c>
      <c r="M23" s="72">
        <v>0.27569444444444446</v>
      </c>
      <c r="N23" s="74"/>
      <c r="O23" s="74"/>
      <c r="P23" s="74"/>
      <c r="Q23" s="74"/>
      <c r="R23" s="74"/>
      <c r="S23" s="74"/>
      <c r="T23" s="74"/>
      <c r="U23" s="74"/>
      <c r="V23" s="74"/>
      <c r="W23" s="74"/>
      <c r="DT23" t="s">
        <v>205</v>
      </c>
    </row>
    <row r="24" spans="2:124" x14ac:dyDescent="0.25">
      <c r="B24" s="73"/>
      <c r="C24" s="73"/>
      <c r="D24" s="73"/>
      <c r="E24" s="73"/>
      <c r="F24" s="73"/>
      <c r="G24" s="73"/>
      <c r="H24" s="72">
        <v>0.36458333333333331</v>
      </c>
      <c r="I24" s="72">
        <v>0.24444444444444444</v>
      </c>
      <c r="J24" s="72">
        <v>0.2951388888888889</v>
      </c>
      <c r="K24" s="73"/>
      <c r="L24" s="72">
        <v>0.22083333333333333</v>
      </c>
      <c r="M24" s="72">
        <v>0.27847222222222223</v>
      </c>
      <c r="N24" s="74"/>
      <c r="O24" s="74"/>
      <c r="P24" s="74"/>
      <c r="Q24" s="74"/>
      <c r="R24" s="74"/>
      <c r="S24" s="74"/>
      <c r="T24" s="74"/>
      <c r="U24" s="74"/>
      <c r="V24" s="74"/>
      <c r="W24" s="74"/>
      <c r="DT24">
        <v>3</v>
      </c>
    </row>
    <row r="25" spans="2:124" x14ac:dyDescent="0.25">
      <c r="B25" s="73"/>
      <c r="C25" s="73"/>
      <c r="D25" s="73"/>
      <c r="E25" s="73"/>
      <c r="F25" s="73"/>
      <c r="G25" s="73"/>
      <c r="H25" s="72">
        <v>0.38194444444444442</v>
      </c>
      <c r="I25" s="72">
        <v>0.25208333333333333</v>
      </c>
      <c r="J25" s="72">
        <v>0.30625000000000002</v>
      </c>
      <c r="K25" s="73"/>
      <c r="L25" s="73"/>
      <c r="M25" s="72">
        <v>0.28263888888888888</v>
      </c>
      <c r="N25" s="74"/>
      <c r="O25" s="74"/>
      <c r="P25" s="74"/>
      <c r="Q25" s="74"/>
      <c r="R25" s="74"/>
      <c r="S25" s="74"/>
      <c r="T25" s="74"/>
      <c r="U25" s="74"/>
      <c r="V25" s="74"/>
      <c r="W25" s="74"/>
    </row>
    <row r="26" spans="2:124" x14ac:dyDescent="0.25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4"/>
      <c r="O26" s="74"/>
      <c r="P26" s="74"/>
      <c r="Q26" s="74"/>
      <c r="R26" s="74"/>
      <c r="S26" s="74"/>
      <c r="T26" s="74"/>
      <c r="U26" s="74"/>
      <c r="V26" s="74"/>
      <c r="W26" s="74"/>
    </row>
    <row r="27" spans="2:124" x14ac:dyDescent="0.25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</row>
    <row r="28" spans="2:124" x14ac:dyDescent="0.25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</row>
    <row r="39" spans="100:100" x14ac:dyDescent="0.25">
      <c r="CV39" s="71">
        <v>0.22152777777777777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92B7B-413E-4967-BCD0-2C6D7B890D6F}">
  <sheetPr>
    <tabColor rgb="FF92D050"/>
  </sheetPr>
  <dimension ref="A2:AA372"/>
  <sheetViews>
    <sheetView zoomScaleNormal="100" workbookViewId="0">
      <pane ySplit="6" topLeftCell="A31" activePane="bottomLeft" state="frozen"/>
      <selection pane="bottomLeft" activeCell="K48" sqref="K48"/>
    </sheetView>
  </sheetViews>
  <sheetFormatPr baseColWidth="10" defaultColWidth="8.7109375" defaultRowHeight="15" x14ac:dyDescent="0.25"/>
  <cols>
    <col min="2" max="2" width="13.85546875" style="1" bestFit="1" customWidth="1"/>
    <col min="3" max="3" width="11" bestFit="1" customWidth="1"/>
    <col min="4" max="4" width="9.140625"/>
    <col min="5" max="5" width="6.42578125" customWidth="1"/>
    <col min="6" max="6" width="6.140625" customWidth="1"/>
    <col min="7" max="7" width="5.7109375" customWidth="1"/>
    <col min="8" max="8" width="9" customWidth="1"/>
    <col min="9" max="9" width="24.28515625" customWidth="1"/>
    <col min="10" max="10" width="14.85546875" customWidth="1"/>
    <col min="11" max="11" width="13.42578125" customWidth="1"/>
    <col min="12" max="12" width="79.42578125" customWidth="1"/>
    <col min="13" max="13" width="19" bestFit="1" customWidth="1"/>
    <col min="14" max="15" width="7.140625" customWidth="1"/>
    <col min="16" max="16" width="6.5703125" customWidth="1"/>
    <col min="17" max="17" width="6.42578125" customWidth="1"/>
    <col min="18" max="18" width="8.42578125" customWidth="1"/>
    <col min="19" max="19" width="9.28515625" bestFit="1" customWidth="1"/>
    <col min="20" max="20" width="12.5703125" bestFit="1" customWidth="1"/>
    <col min="21" max="23" width="11.7109375" customWidth="1"/>
    <col min="24" max="24" width="14.85546875" bestFit="1" customWidth="1"/>
    <col min="25" max="25" width="17.7109375" bestFit="1" customWidth="1"/>
    <col min="26" max="26" width="19.140625" bestFit="1" customWidth="1"/>
    <col min="27" max="27" width="19.7109375" hidden="1" customWidth="1"/>
  </cols>
  <sheetData>
    <row r="2" spans="1:27" ht="37.5" customHeight="1" x14ac:dyDescent="0.55000000000000004">
      <c r="B2" s="128" t="s">
        <v>0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</row>
    <row r="4" spans="1:27" x14ac:dyDescent="0.25">
      <c r="A4" s="300" t="s">
        <v>1</v>
      </c>
      <c r="B4" s="298" t="s">
        <v>2</v>
      </c>
      <c r="C4" s="298" t="s">
        <v>3</v>
      </c>
      <c r="D4" s="298" t="s">
        <v>4</v>
      </c>
      <c r="E4" s="298" t="s">
        <v>5</v>
      </c>
      <c r="F4" s="298" t="s">
        <v>6</v>
      </c>
      <c r="G4" s="298" t="s">
        <v>7</v>
      </c>
      <c r="H4" s="298" t="s">
        <v>8</v>
      </c>
      <c r="I4" s="298" t="s">
        <v>9</v>
      </c>
      <c r="J4" s="302" t="s">
        <v>10</v>
      </c>
      <c r="K4" s="298" t="s">
        <v>11</v>
      </c>
      <c r="L4" s="298" t="s">
        <v>12</v>
      </c>
      <c r="M4" s="298" t="s">
        <v>206</v>
      </c>
      <c r="N4" s="298" t="s">
        <v>14</v>
      </c>
      <c r="O4" s="305"/>
      <c r="P4" s="298" t="s">
        <v>15</v>
      </c>
      <c r="Q4" s="305"/>
      <c r="R4" s="306" t="s">
        <v>16</v>
      </c>
      <c r="S4" s="307"/>
      <c r="T4" s="305" t="s">
        <v>17</v>
      </c>
      <c r="U4" s="298" t="s">
        <v>18</v>
      </c>
      <c r="V4" s="298" t="s">
        <v>19</v>
      </c>
      <c r="W4" s="298" t="s">
        <v>20</v>
      </c>
      <c r="X4" s="298" t="s">
        <v>21</v>
      </c>
      <c r="Y4" s="302" t="s">
        <v>22</v>
      </c>
      <c r="Z4" s="298" t="s">
        <v>207</v>
      </c>
      <c r="AA4" s="300" t="s">
        <v>24</v>
      </c>
    </row>
    <row r="5" spans="1:27" ht="15" customHeight="1" x14ac:dyDescent="0.25">
      <c r="A5" s="301"/>
      <c r="B5" s="299"/>
      <c r="C5" s="299"/>
      <c r="D5" s="299"/>
      <c r="E5" s="299"/>
      <c r="F5" s="299"/>
      <c r="G5" s="299"/>
      <c r="H5" s="299"/>
      <c r="I5" s="299"/>
      <c r="J5" s="303"/>
      <c r="K5" s="299"/>
      <c r="L5" s="299"/>
      <c r="M5" s="299"/>
      <c r="N5" s="298" t="s">
        <v>25</v>
      </c>
      <c r="O5" s="298" t="s">
        <v>26</v>
      </c>
      <c r="P5" s="298" t="s">
        <v>25</v>
      </c>
      <c r="Q5" s="298" t="s">
        <v>26</v>
      </c>
      <c r="R5" s="299" t="s">
        <v>27</v>
      </c>
      <c r="S5" s="299" t="s">
        <v>28</v>
      </c>
      <c r="T5" s="299"/>
      <c r="U5" s="299"/>
      <c r="V5" s="299"/>
      <c r="W5" s="299"/>
      <c r="X5" s="299"/>
      <c r="Y5" s="303"/>
      <c r="Z5" s="299"/>
      <c r="AA5" s="301"/>
    </row>
    <row r="6" spans="1:27" x14ac:dyDescent="0.25">
      <c r="A6" s="304"/>
      <c r="B6" s="299"/>
      <c r="C6" s="299"/>
      <c r="D6" s="299"/>
      <c r="E6" s="299"/>
      <c r="F6" s="299"/>
      <c r="G6" s="299"/>
      <c r="H6" s="299"/>
      <c r="I6" s="299"/>
      <c r="J6" s="303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299"/>
      <c r="W6" s="299"/>
      <c r="X6" s="299"/>
      <c r="Y6" s="303"/>
      <c r="Z6" s="299"/>
      <c r="AA6" s="301"/>
    </row>
    <row r="7" spans="1:27" s="13" customFormat="1" x14ac:dyDescent="0.25">
      <c r="A7" s="10">
        <v>45789</v>
      </c>
      <c r="B7" s="11" t="s">
        <v>208</v>
      </c>
      <c r="C7" s="11" t="s">
        <v>209</v>
      </c>
      <c r="D7" s="11" t="s">
        <v>179</v>
      </c>
      <c r="E7" s="12">
        <v>0.33333333333333331</v>
      </c>
      <c r="F7" s="12">
        <v>0.4548611111111111</v>
      </c>
      <c r="G7" s="12">
        <v>0.40625</v>
      </c>
      <c r="H7" s="12">
        <v>0.51249999999999996</v>
      </c>
      <c r="I7" s="12">
        <f>H7-F7</f>
        <v>5.7638888888888851E-2</v>
      </c>
      <c r="J7" s="12">
        <f>H7-G7</f>
        <v>0.10624999999999996</v>
      </c>
      <c r="K7" s="11" t="s">
        <v>210</v>
      </c>
      <c r="L7" s="11" t="s">
        <v>211</v>
      </c>
      <c r="M7" s="11" t="s">
        <v>212</v>
      </c>
      <c r="N7" s="12">
        <v>0.46180555555555558</v>
      </c>
      <c r="O7" s="12">
        <v>0.49930555555555556</v>
      </c>
      <c r="P7" s="11" t="s">
        <v>213</v>
      </c>
      <c r="Q7" s="11" t="s">
        <v>213</v>
      </c>
      <c r="R7" s="12">
        <v>0.46180555555555558</v>
      </c>
      <c r="S7" s="12">
        <v>0.5</v>
      </c>
      <c r="T7" s="12">
        <v>0.46527777777777779</v>
      </c>
      <c r="U7" s="12">
        <v>0.49305555555555558</v>
      </c>
      <c r="V7" s="11" t="s">
        <v>213</v>
      </c>
      <c r="W7" s="11" t="s">
        <v>213</v>
      </c>
      <c r="X7" s="11" t="s">
        <v>213</v>
      </c>
      <c r="Y7" s="12">
        <v>0.51041666666666663</v>
      </c>
      <c r="Z7" s="11" t="s">
        <v>214</v>
      </c>
      <c r="AA7" s="11"/>
    </row>
    <row r="8" spans="1:27" s="13" customFormat="1" x14ac:dyDescent="0.25">
      <c r="A8" s="10">
        <v>45816</v>
      </c>
      <c r="B8" s="11" t="s">
        <v>208</v>
      </c>
      <c r="C8" s="11" t="s">
        <v>209</v>
      </c>
      <c r="D8" s="11" t="s">
        <v>147</v>
      </c>
      <c r="E8" s="12">
        <v>0.90277777777777779</v>
      </c>
      <c r="F8" s="12">
        <v>0.94166666666666665</v>
      </c>
      <c r="G8" s="12">
        <v>0.96527777777777779</v>
      </c>
      <c r="H8" s="12">
        <v>2.361111111111111E-2</v>
      </c>
      <c r="I8" s="12">
        <v>8.1944444444444445E-2</v>
      </c>
      <c r="J8" s="12">
        <v>3.8194444444444448E-2</v>
      </c>
      <c r="K8" s="11" t="s">
        <v>215</v>
      </c>
      <c r="L8" s="11" t="s">
        <v>216</v>
      </c>
      <c r="M8" s="11" t="s">
        <v>212</v>
      </c>
      <c r="N8" s="12"/>
      <c r="O8" s="12"/>
      <c r="P8" s="11"/>
      <c r="Q8" s="11"/>
      <c r="R8" s="12"/>
      <c r="S8" s="12"/>
      <c r="T8" s="12"/>
      <c r="U8" s="12"/>
      <c r="V8" s="12"/>
      <c r="W8" s="12"/>
      <c r="X8" s="12"/>
      <c r="Y8" s="12"/>
      <c r="Z8" s="11"/>
      <c r="AA8" s="11"/>
    </row>
    <row r="9" spans="1:27" s="13" customFormat="1" x14ac:dyDescent="0.25">
      <c r="A9" s="10">
        <v>45824</v>
      </c>
      <c r="B9" s="11" t="s">
        <v>208</v>
      </c>
      <c r="C9" s="11" t="s">
        <v>209</v>
      </c>
      <c r="D9" s="11" t="s">
        <v>146</v>
      </c>
      <c r="E9" s="12">
        <v>1.3888888888888888E-2</v>
      </c>
      <c r="F9" s="12">
        <v>5.0694444444444445E-2</v>
      </c>
      <c r="G9" s="12">
        <v>7.6388888888888895E-2</v>
      </c>
      <c r="H9" s="12">
        <v>0.1111111111111111</v>
      </c>
      <c r="I9" s="12">
        <f>H9-F9</f>
        <v>6.041666666666666E-2</v>
      </c>
      <c r="J9" s="12">
        <f>H9-G9</f>
        <v>3.472222222222221E-2</v>
      </c>
      <c r="K9" s="11">
        <v>93</v>
      </c>
      <c r="L9" s="11" t="s">
        <v>217</v>
      </c>
      <c r="M9" s="11" t="s">
        <v>212</v>
      </c>
      <c r="N9" s="12">
        <v>5.0694444444444445E-2</v>
      </c>
      <c r="O9" s="12">
        <v>0.1111111111111111</v>
      </c>
      <c r="P9" s="11" t="s">
        <v>213</v>
      </c>
      <c r="Q9" s="11" t="s">
        <v>213</v>
      </c>
      <c r="R9" s="12">
        <v>5.2083333333333336E-2</v>
      </c>
      <c r="S9" s="12">
        <v>0.1111111111111111</v>
      </c>
      <c r="T9" s="12">
        <v>5.347222222222222E-2</v>
      </c>
      <c r="U9" s="12">
        <v>0.10416666666666667</v>
      </c>
      <c r="V9" s="12">
        <v>8.3333333333333329E-2</v>
      </c>
      <c r="W9" s="12">
        <v>0.1076388888888889</v>
      </c>
      <c r="X9" s="11" t="s">
        <v>213</v>
      </c>
      <c r="Y9" s="12">
        <v>0.11458333333333333</v>
      </c>
      <c r="Z9" s="11"/>
      <c r="AA9" s="11"/>
    </row>
    <row r="10" spans="1:27" s="13" customFormat="1" x14ac:dyDescent="0.25">
      <c r="A10" s="10">
        <v>45831</v>
      </c>
      <c r="B10" s="11" t="s">
        <v>208</v>
      </c>
      <c r="C10" s="11" t="s">
        <v>209</v>
      </c>
      <c r="D10" s="11" t="s">
        <v>179</v>
      </c>
      <c r="E10" s="12">
        <v>1.0416666666666666E-2</v>
      </c>
      <c r="F10" s="12">
        <v>2.9861111111111113E-2</v>
      </c>
      <c r="G10" s="12">
        <v>7.2916666666666671E-2</v>
      </c>
      <c r="H10" s="12">
        <v>0.1111111111111111</v>
      </c>
      <c r="I10" s="12">
        <f>H10-F10</f>
        <v>8.1249999999999989E-2</v>
      </c>
      <c r="J10" s="12">
        <v>2.0833333333333332E-2</v>
      </c>
      <c r="K10" s="11">
        <v>33</v>
      </c>
      <c r="L10" s="11" t="s">
        <v>218</v>
      </c>
      <c r="M10" s="11" t="s">
        <v>219</v>
      </c>
      <c r="N10" s="12">
        <v>3.8194444444444448E-2</v>
      </c>
      <c r="O10" s="12">
        <v>0.10416666666666667</v>
      </c>
      <c r="P10" s="11" t="s">
        <v>213</v>
      </c>
      <c r="Q10" s="11" t="s">
        <v>213</v>
      </c>
      <c r="R10" s="12">
        <v>3.8194444444444448E-2</v>
      </c>
      <c r="S10" s="12">
        <v>0.10416666666666667</v>
      </c>
      <c r="T10" s="12">
        <v>4.8611111111111112E-2</v>
      </c>
      <c r="U10" s="12">
        <v>7.6388888888888895E-2</v>
      </c>
      <c r="V10" s="12">
        <v>8.3333333333333329E-2</v>
      </c>
      <c r="W10" s="12">
        <v>0.10416666666666667</v>
      </c>
      <c r="X10" s="11"/>
      <c r="Y10" s="12">
        <v>0.1111111111111111</v>
      </c>
      <c r="Z10" s="11" t="s">
        <v>220</v>
      </c>
      <c r="AA10" s="11"/>
    </row>
    <row r="11" spans="1:27" s="13" customFormat="1" x14ac:dyDescent="0.25">
      <c r="A11" s="10">
        <v>45838</v>
      </c>
      <c r="B11" s="11" t="s">
        <v>208</v>
      </c>
      <c r="C11" s="11" t="s">
        <v>209</v>
      </c>
      <c r="D11" s="11" t="s">
        <v>147</v>
      </c>
      <c r="E11" s="12">
        <v>9.375E-2</v>
      </c>
      <c r="F11" s="12">
        <v>7.9861111111111105E-2</v>
      </c>
      <c r="G11" s="12">
        <v>0.16666666666666666</v>
      </c>
      <c r="H11" s="12">
        <v>0.16805555555555557</v>
      </c>
      <c r="I11" s="12">
        <f>H11-F11</f>
        <v>8.8194444444444464E-2</v>
      </c>
      <c r="J11" s="12">
        <v>1.3888888888888889E-3</v>
      </c>
      <c r="K11" s="11">
        <v>89</v>
      </c>
      <c r="L11" s="11" t="s">
        <v>221</v>
      </c>
      <c r="M11" s="11" t="s">
        <v>212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 t="s">
        <v>222</v>
      </c>
      <c r="AA11" s="11"/>
    </row>
    <row r="12" spans="1:27" s="13" customFormat="1" x14ac:dyDescent="0.25">
      <c r="A12" s="10">
        <v>45852</v>
      </c>
      <c r="B12" s="11" t="s">
        <v>208</v>
      </c>
      <c r="C12" s="11" t="s">
        <v>209</v>
      </c>
      <c r="D12" s="96" t="s">
        <v>147</v>
      </c>
      <c r="E12" s="12">
        <v>5.2083333333333336E-2</v>
      </c>
      <c r="F12" s="12">
        <v>6.3888888888888884E-2</v>
      </c>
      <c r="G12" s="12">
        <v>0.1111111111111111</v>
      </c>
      <c r="H12" s="12">
        <v>0.13541666666666666</v>
      </c>
      <c r="I12" s="12">
        <f t="shared" ref="I12" si="0">H12-F12</f>
        <v>7.1527777777777773E-2</v>
      </c>
      <c r="J12" s="12">
        <v>3.125E-2</v>
      </c>
      <c r="K12" s="11" t="s">
        <v>223</v>
      </c>
      <c r="L12" s="11" t="s">
        <v>224</v>
      </c>
      <c r="M12" s="11" t="s">
        <v>212</v>
      </c>
      <c r="N12" s="12"/>
      <c r="O12" s="12"/>
      <c r="P12" s="11"/>
      <c r="Q12" s="11"/>
      <c r="R12" s="12"/>
      <c r="S12" s="12"/>
      <c r="T12" s="12"/>
      <c r="U12" s="12"/>
      <c r="V12" s="12"/>
      <c r="W12" s="12"/>
      <c r="X12" s="11"/>
      <c r="Y12" s="12"/>
      <c r="Z12" s="11"/>
      <c r="AA12" s="11"/>
    </row>
    <row r="13" spans="1:27" s="13" customFormat="1" x14ac:dyDescent="0.25">
      <c r="A13" s="10">
        <v>45859</v>
      </c>
      <c r="B13" s="11" t="s">
        <v>208</v>
      </c>
      <c r="C13" s="11" t="s">
        <v>209</v>
      </c>
      <c r="D13" s="11" t="s">
        <v>147</v>
      </c>
      <c r="E13" s="12">
        <v>0.1111111111111111</v>
      </c>
      <c r="F13" s="12">
        <v>0.13472222222222222</v>
      </c>
      <c r="G13" s="12">
        <v>0.1701388888888889</v>
      </c>
      <c r="H13" s="12">
        <v>0.19236111111111112</v>
      </c>
      <c r="I13" s="12">
        <f>H13-F13</f>
        <v>5.7638888888888906E-2</v>
      </c>
      <c r="J13" s="12">
        <v>2.2222222222222223E-2</v>
      </c>
      <c r="K13" s="11">
        <v>93</v>
      </c>
      <c r="L13" s="11" t="s">
        <v>225</v>
      </c>
      <c r="M13" s="11" t="s">
        <v>212</v>
      </c>
      <c r="N13" s="12"/>
      <c r="O13" s="12"/>
      <c r="P13" s="11"/>
      <c r="Q13" s="11"/>
      <c r="R13" s="12"/>
      <c r="S13" s="12"/>
      <c r="T13" s="12"/>
      <c r="U13" s="12"/>
      <c r="V13" s="12"/>
      <c r="W13" s="12"/>
      <c r="X13" s="11"/>
      <c r="Y13" s="12"/>
      <c r="Z13" s="11"/>
      <c r="AA13" s="11"/>
    </row>
    <row r="14" spans="1:27" s="13" customFormat="1" x14ac:dyDescent="0.25">
      <c r="A14" s="10">
        <v>45867</v>
      </c>
      <c r="B14" s="11" t="s">
        <v>208</v>
      </c>
      <c r="C14" s="11" t="s">
        <v>226</v>
      </c>
      <c r="D14" s="11">
        <v>45</v>
      </c>
      <c r="E14" s="12">
        <v>1.0416666666666666E-2</v>
      </c>
      <c r="F14" s="12">
        <v>0.22916666666666666</v>
      </c>
      <c r="G14" s="12">
        <v>0.28125</v>
      </c>
      <c r="H14" s="12">
        <v>0.32291666666666669</v>
      </c>
      <c r="I14" s="12">
        <v>9.375E-2</v>
      </c>
      <c r="J14" s="12" t="s">
        <v>227</v>
      </c>
      <c r="K14" s="11" t="s">
        <v>228</v>
      </c>
      <c r="L14" s="11" t="s">
        <v>229</v>
      </c>
      <c r="M14" s="11" t="s">
        <v>230</v>
      </c>
      <c r="N14" s="11">
        <v>0.42199074074074072</v>
      </c>
      <c r="O14" s="11"/>
      <c r="P14" s="11" t="s">
        <v>213</v>
      </c>
      <c r="Q14" s="11" t="s">
        <v>213</v>
      </c>
      <c r="R14" s="12">
        <v>0.2326388888888889</v>
      </c>
      <c r="S14" s="12">
        <v>0.32291666666666669</v>
      </c>
      <c r="T14" s="12">
        <v>0.2326388888888889</v>
      </c>
      <c r="U14" s="12">
        <v>0.83333333333333337</v>
      </c>
      <c r="V14" s="12">
        <v>0.23958333333333334</v>
      </c>
      <c r="W14" s="12">
        <v>0.26041666666666669</v>
      </c>
      <c r="X14" s="11" t="s">
        <v>213</v>
      </c>
      <c r="Y14" s="12">
        <v>0.32291666666666669</v>
      </c>
      <c r="Z14" s="11" t="s">
        <v>231</v>
      </c>
      <c r="AA14" s="11"/>
    </row>
    <row r="15" spans="1:27" s="13" customFormat="1" x14ac:dyDescent="0.25">
      <c r="A15" s="10">
        <v>45872</v>
      </c>
      <c r="B15" s="11" t="s">
        <v>208</v>
      </c>
      <c r="C15" s="11" t="s">
        <v>232</v>
      </c>
      <c r="D15" s="11" t="s">
        <v>233</v>
      </c>
      <c r="E15" s="12">
        <v>0.89930555555555558</v>
      </c>
      <c r="F15" s="12">
        <v>0.90972222222222221</v>
      </c>
      <c r="G15" s="12">
        <v>0.96180555555555558</v>
      </c>
      <c r="H15" s="12">
        <v>0.98958333333333337</v>
      </c>
      <c r="I15" s="12">
        <v>7.9861111111111105E-2</v>
      </c>
      <c r="J15" s="11" t="s">
        <v>234</v>
      </c>
      <c r="K15" s="11" t="s">
        <v>235</v>
      </c>
      <c r="L15" s="11" t="s">
        <v>236</v>
      </c>
      <c r="M15" s="11" t="s">
        <v>237</v>
      </c>
      <c r="N15" s="12">
        <v>0.91111111111111109</v>
      </c>
      <c r="O15" s="12">
        <v>0.98958333333333337</v>
      </c>
      <c r="P15" s="11" t="s">
        <v>213</v>
      </c>
      <c r="Q15" s="11" t="s">
        <v>213</v>
      </c>
      <c r="R15" s="12">
        <v>0.9145833333333333</v>
      </c>
      <c r="S15" s="12">
        <v>0.98958333333333337</v>
      </c>
      <c r="T15" s="12">
        <v>0.9145833333333333</v>
      </c>
      <c r="U15" s="12">
        <v>0.92986111111111114</v>
      </c>
      <c r="V15" s="12">
        <v>0.92986111111111114</v>
      </c>
      <c r="W15" s="12">
        <v>0.95833333333333337</v>
      </c>
      <c r="X15" s="11" t="s">
        <v>213</v>
      </c>
      <c r="Y15" s="12">
        <v>0.98958333333333337</v>
      </c>
      <c r="Z15" s="11" t="s">
        <v>222</v>
      </c>
      <c r="AA15" s="11"/>
    </row>
    <row r="16" spans="1:27" s="13" customFormat="1" x14ac:dyDescent="0.25">
      <c r="A16" s="10">
        <v>45879</v>
      </c>
      <c r="B16" s="11" t="s">
        <v>208</v>
      </c>
      <c r="C16" s="11" t="s">
        <v>209</v>
      </c>
      <c r="D16" s="11" t="s">
        <v>147</v>
      </c>
      <c r="E16" s="12">
        <v>0.89930555555555558</v>
      </c>
      <c r="F16" s="12">
        <v>0.88541666666666663</v>
      </c>
      <c r="G16" s="12">
        <v>0.96180555555555558</v>
      </c>
      <c r="H16" s="12">
        <v>0.94513888888888886</v>
      </c>
      <c r="I16" s="12">
        <v>5.9722222222222225E-2</v>
      </c>
      <c r="J16" s="11" t="s">
        <v>33</v>
      </c>
      <c r="K16" s="11" t="s">
        <v>213</v>
      </c>
      <c r="L16" s="11" t="s">
        <v>238</v>
      </c>
      <c r="M16" s="11" t="s">
        <v>212</v>
      </c>
      <c r="N16" s="12">
        <v>0.89583333333333337</v>
      </c>
      <c r="O16" s="12">
        <v>0.93055555555555558</v>
      </c>
      <c r="P16" s="11" t="s">
        <v>213</v>
      </c>
      <c r="Q16" s="11" t="s">
        <v>213</v>
      </c>
      <c r="R16" s="12">
        <v>0.89930555555555558</v>
      </c>
      <c r="S16" s="12">
        <v>0.92361111111111116</v>
      </c>
      <c r="T16" s="12">
        <v>0.90277777777777779</v>
      </c>
      <c r="U16" s="12">
        <v>0.91666666666666663</v>
      </c>
      <c r="V16" s="12">
        <v>0.91666666666666663</v>
      </c>
      <c r="W16" s="12">
        <v>0.93055555555555558</v>
      </c>
      <c r="X16" s="11" t="s">
        <v>213</v>
      </c>
      <c r="Y16" s="12">
        <v>0.94444444444444442</v>
      </c>
      <c r="Z16" s="11" t="s">
        <v>222</v>
      </c>
      <c r="AA16" s="11"/>
    </row>
    <row r="17" spans="1:27" s="13" customFormat="1" x14ac:dyDescent="0.25">
      <c r="A17" s="10">
        <v>45886</v>
      </c>
      <c r="B17" s="11" t="s">
        <v>208</v>
      </c>
      <c r="C17" s="11" t="s">
        <v>209</v>
      </c>
      <c r="D17" s="11" t="s">
        <v>146</v>
      </c>
      <c r="E17" s="12">
        <v>0.89930555555555558</v>
      </c>
      <c r="F17" s="12">
        <v>0.94444444444444442</v>
      </c>
      <c r="G17" s="12">
        <v>0.96180555555555558</v>
      </c>
      <c r="H17" s="12">
        <v>0</v>
      </c>
      <c r="I17" s="12">
        <v>5.5555555555555552E-2</v>
      </c>
      <c r="J17" s="12">
        <v>3.8194444444444448E-2</v>
      </c>
      <c r="K17" s="11">
        <v>93</v>
      </c>
      <c r="L17" s="11" t="s">
        <v>225</v>
      </c>
      <c r="M17" s="11" t="s">
        <v>212</v>
      </c>
      <c r="N17" s="12" t="s">
        <v>213</v>
      </c>
      <c r="O17" s="12" t="s">
        <v>213</v>
      </c>
      <c r="P17" s="11" t="s">
        <v>213</v>
      </c>
      <c r="Q17" s="11" t="s">
        <v>213</v>
      </c>
      <c r="R17" s="12">
        <v>0.94791666666666663</v>
      </c>
      <c r="S17" s="12">
        <v>0.99305555555555558</v>
      </c>
      <c r="T17" s="12">
        <v>0.94861111111111107</v>
      </c>
      <c r="U17" s="12">
        <v>0.96875</v>
      </c>
      <c r="V17" s="12">
        <v>0.96944444444444444</v>
      </c>
      <c r="W17" s="12">
        <v>0.99236111111111114</v>
      </c>
      <c r="X17" s="11" t="s">
        <v>213</v>
      </c>
      <c r="Y17" s="12">
        <v>0.95625000000000004</v>
      </c>
      <c r="Z17" s="11" t="s">
        <v>222</v>
      </c>
      <c r="AA17" s="11"/>
    </row>
    <row r="18" spans="1:27" s="13" customFormat="1" x14ac:dyDescent="0.25">
      <c r="A18" s="10">
        <v>45893</v>
      </c>
      <c r="B18" s="11" t="s">
        <v>208</v>
      </c>
      <c r="C18" s="11" t="s">
        <v>209</v>
      </c>
      <c r="D18" s="11" t="s">
        <v>147</v>
      </c>
      <c r="E18" s="12">
        <v>0.89930555555555558</v>
      </c>
      <c r="F18" s="12">
        <v>0.96875</v>
      </c>
      <c r="G18" s="12">
        <v>0.96180555555555558</v>
      </c>
      <c r="H18" s="12">
        <v>1.0416666666666666E-2</v>
      </c>
      <c r="I18" s="12">
        <v>4.1666666666666664E-2</v>
      </c>
      <c r="J18" s="12">
        <v>4.8611111111111112E-2</v>
      </c>
      <c r="K18" s="11">
        <v>93</v>
      </c>
      <c r="L18" s="11" t="s">
        <v>225</v>
      </c>
      <c r="M18" s="11" t="s">
        <v>212</v>
      </c>
      <c r="N18" s="12">
        <v>0.96944444444444444</v>
      </c>
      <c r="O18" s="12">
        <v>3.472222222222222E-3</v>
      </c>
      <c r="P18" s="11" t="s">
        <v>213</v>
      </c>
      <c r="Q18" s="11" t="s">
        <v>213</v>
      </c>
      <c r="R18" s="12">
        <v>0.97222222222222221</v>
      </c>
      <c r="S18" s="12">
        <v>0</v>
      </c>
      <c r="T18" s="12">
        <v>0.97222222222222221</v>
      </c>
      <c r="U18" s="12">
        <v>0.99305555555555558</v>
      </c>
      <c r="V18" s="12">
        <v>0.99444444444444446</v>
      </c>
      <c r="W18" s="12">
        <v>0.99652777777777779</v>
      </c>
      <c r="X18" s="11" t="s">
        <v>213</v>
      </c>
      <c r="Y18" s="12">
        <v>6.9444444444444441E-3</v>
      </c>
      <c r="Z18" s="11" t="s">
        <v>231</v>
      </c>
      <c r="AA18" s="11"/>
    </row>
    <row r="19" spans="1:27" s="13" customFormat="1" x14ac:dyDescent="0.25">
      <c r="A19" s="10" t="s">
        <v>239</v>
      </c>
      <c r="B19" s="11" t="s">
        <v>208</v>
      </c>
      <c r="C19" s="11" t="s">
        <v>209</v>
      </c>
      <c r="D19" s="11" t="s">
        <v>233</v>
      </c>
      <c r="E19" s="12">
        <v>1.7361111111111112E-2</v>
      </c>
      <c r="F19" s="12">
        <v>1.7361111111111112E-2</v>
      </c>
      <c r="G19" s="12">
        <v>9.375E-2</v>
      </c>
      <c r="H19" s="12">
        <v>0.10069444444444445</v>
      </c>
      <c r="I19" s="12">
        <f t="shared" ref="I19:I27" si="1">H19-F19</f>
        <v>8.3333333333333343E-2</v>
      </c>
      <c r="J19" s="12">
        <v>6.9444444444444441E-3</v>
      </c>
      <c r="K19" s="11">
        <v>89</v>
      </c>
      <c r="L19" s="11" t="s">
        <v>85</v>
      </c>
      <c r="M19" s="11" t="s">
        <v>212</v>
      </c>
      <c r="N19" s="12" t="s">
        <v>213</v>
      </c>
      <c r="O19" s="12" t="s">
        <v>213</v>
      </c>
      <c r="P19" s="11" t="s">
        <v>213</v>
      </c>
      <c r="Q19" s="11" t="s">
        <v>213</v>
      </c>
      <c r="R19" s="12"/>
      <c r="S19" s="12"/>
      <c r="T19" s="12"/>
      <c r="U19" s="12"/>
      <c r="V19" s="12"/>
      <c r="W19" s="12"/>
      <c r="X19" s="11"/>
      <c r="Y19" s="12"/>
      <c r="Z19" s="11" t="s">
        <v>222</v>
      </c>
      <c r="AA19" s="11"/>
    </row>
    <row r="20" spans="1:27" s="13" customFormat="1" x14ac:dyDescent="0.25">
      <c r="A20" s="10">
        <v>45908</v>
      </c>
      <c r="B20" s="11" t="s">
        <v>208</v>
      </c>
      <c r="C20" s="11" t="s">
        <v>209</v>
      </c>
      <c r="D20" s="11" t="s">
        <v>147</v>
      </c>
      <c r="E20" s="12">
        <v>0.20833333333333334</v>
      </c>
      <c r="F20" s="12">
        <v>0.27013888888888887</v>
      </c>
      <c r="G20" s="12">
        <v>0.28125</v>
      </c>
      <c r="H20" s="12">
        <v>0.33680555555555558</v>
      </c>
      <c r="I20" s="12">
        <f t="shared" si="1"/>
        <v>6.6666666666666707E-2</v>
      </c>
      <c r="J20" s="12">
        <v>5.5555555555555552E-2</v>
      </c>
      <c r="K20" s="11">
        <v>93</v>
      </c>
      <c r="L20" s="11" t="s">
        <v>225</v>
      </c>
      <c r="M20" s="11" t="s">
        <v>212</v>
      </c>
      <c r="N20" s="12" t="s">
        <v>213</v>
      </c>
      <c r="O20" s="12" t="s">
        <v>213</v>
      </c>
      <c r="P20" s="11" t="s">
        <v>213</v>
      </c>
      <c r="Q20" s="11" t="s">
        <v>213</v>
      </c>
      <c r="R20" s="12"/>
      <c r="S20" s="12"/>
      <c r="T20" s="12"/>
      <c r="U20" s="12"/>
      <c r="V20" s="12"/>
      <c r="W20" s="12"/>
      <c r="X20" s="11"/>
      <c r="Y20" s="12"/>
      <c r="Z20" s="11" t="s">
        <v>222</v>
      </c>
      <c r="AA20" s="11"/>
    </row>
    <row r="21" spans="1:27" s="13" customFormat="1" x14ac:dyDescent="0.25">
      <c r="A21" s="10">
        <v>45915</v>
      </c>
      <c r="B21" s="11" t="s">
        <v>208</v>
      </c>
      <c r="C21" s="11" t="s">
        <v>209</v>
      </c>
      <c r="D21" s="11" t="s">
        <v>147</v>
      </c>
      <c r="E21" s="12">
        <v>5.9027777777777776E-2</v>
      </c>
      <c r="F21" s="12">
        <v>7.2916666666666671E-2</v>
      </c>
      <c r="G21" s="12">
        <v>0.12152777777777778</v>
      </c>
      <c r="H21" s="12">
        <v>0.12152777777777778</v>
      </c>
      <c r="I21" s="12">
        <f t="shared" si="1"/>
        <v>4.8611111111111105E-2</v>
      </c>
      <c r="J21" s="12" t="s">
        <v>33</v>
      </c>
      <c r="K21" s="11"/>
      <c r="L21" s="11"/>
      <c r="M21" s="11" t="s">
        <v>212</v>
      </c>
      <c r="N21" s="12" t="s">
        <v>213</v>
      </c>
      <c r="O21" s="12" t="s">
        <v>213</v>
      </c>
      <c r="P21" s="11" t="s">
        <v>213</v>
      </c>
      <c r="Q21" s="11" t="s">
        <v>213</v>
      </c>
      <c r="R21" s="12"/>
      <c r="S21" s="12"/>
      <c r="T21" s="12"/>
      <c r="U21" s="12"/>
      <c r="V21" s="12"/>
      <c r="W21" s="12"/>
      <c r="X21" s="11"/>
      <c r="Y21" s="12"/>
      <c r="Z21" s="11" t="s">
        <v>240</v>
      </c>
      <c r="AA21" s="11"/>
    </row>
    <row r="22" spans="1:27" s="13" customFormat="1" x14ac:dyDescent="0.25">
      <c r="A22" s="10">
        <v>45922</v>
      </c>
      <c r="B22" s="11" t="s">
        <v>208</v>
      </c>
      <c r="C22" s="11" t="s">
        <v>209</v>
      </c>
      <c r="D22" s="11" t="s">
        <v>179</v>
      </c>
      <c r="E22" s="12">
        <v>6.9444444444444448E-2</v>
      </c>
      <c r="F22" s="12">
        <v>0.10208333333333333</v>
      </c>
      <c r="G22" s="12">
        <v>0.13194444444444445</v>
      </c>
      <c r="H22" s="12">
        <v>0.15763888888888888</v>
      </c>
      <c r="I22" s="12">
        <f t="shared" si="1"/>
        <v>5.5555555555555552E-2</v>
      </c>
      <c r="J22" s="12" t="s">
        <v>33</v>
      </c>
      <c r="K22" s="11"/>
      <c r="L22" s="11" t="s">
        <v>225</v>
      </c>
      <c r="M22" s="11" t="s">
        <v>212</v>
      </c>
      <c r="N22" s="12">
        <v>0.10277777777777777</v>
      </c>
      <c r="O22" s="12">
        <v>0.14583333333333334</v>
      </c>
      <c r="P22" s="11" t="s">
        <v>213</v>
      </c>
      <c r="Q22" s="11" t="s">
        <v>213</v>
      </c>
      <c r="R22" s="12">
        <v>0.10416666666666667</v>
      </c>
      <c r="S22" s="12">
        <v>0.14166666666666666</v>
      </c>
      <c r="T22" s="12">
        <v>0.10486111111111111</v>
      </c>
      <c r="U22" s="12">
        <v>0.125</v>
      </c>
      <c r="V22" s="12">
        <v>0.12152777777777778</v>
      </c>
      <c r="W22" s="12">
        <v>0.1388888888888889</v>
      </c>
      <c r="X22" s="11"/>
      <c r="Y22" s="12">
        <v>0.14583333333333334</v>
      </c>
      <c r="Z22" s="11" t="s">
        <v>222</v>
      </c>
      <c r="AA22" s="11"/>
    </row>
    <row r="23" spans="1:27" s="13" customFormat="1" x14ac:dyDescent="0.25">
      <c r="A23" s="10">
        <v>45929</v>
      </c>
      <c r="B23" s="11" t="s">
        <v>208</v>
      </c>
      <c r="C23" s="11" t="s">
        <v>209</v>
      </c>
      <c r="D23" s="11" t="s">
        <v>179</v>
      </c>
      <c r="E23" s="12">
        <v>0.3125</v>
      </c>
      <c r="F23" s="12">
        <v>0.32222222222222224</v>
      </c>
      <c r="G23" s="12">
        <v>0.3888888888888889</v>
      </c>
      <c r="H23" s="12">
        <v>0.3888888888888889</v>
      </c>
      <c r="I23" s="12">
        <f t="shared" si="1"/>
        <v>6.6666666666666652E-2</v>
      </c>
      <c r="J23" s="11" t="s">
        <v>33</v>
      </c>
      <c r="K23" s="11"/>
      <c r="L23" s="11"/>
      <c r="M23" s="11" t="s">
        <v>212</v>
      </c>
      <c r="N23" s="12">
        <v>0.32361111111111113</v>
      </c>
      <c r="O23" s="12">
        <v>0.38819444444444445</v>
      </c>
      <c r="P23" s="11" t="s">
        <v>213</v>
      </c>
      <c r="Q23" s="11" t="s">
        <v>213</v>
      </c>
      <c r="R23" s="12"/>
      <c r="S23" s="12"/>
      <c r="T23" s="12"/>
      <c r="U23" s="12"/>
      <c r="V23" s="12"/>
      <c r="W23" s="12"/>
      <c r="X23" s="11"/>
      <c r="Y23" s="12"/>
      <c r="Z23" s="11"/>
      <c r="AA23" s="11"/>
    </row>
    <row r="24" spans="1:27" s="13" customFormat="1" ht="16.5" customHeight="1" x14ac:dyDescent="0.25">
      <c r="A24" s="10">
        <v>45936</v>
      </c>
      <c r="B24" s="11" t="s">
        <v>208</v>
      </c>
      <c r="C24" s="11" t="s">
        <v>209</v>
      </c>
      <c r="D24" s="11" t="s">
        <v>179</v>
      </c>
      <c r="E24" s="12">
        <v>1.3888888888888888E-2</v>
      </c>
      <c r="F24" s="12">
        <v>3.8194444444444448E-2</v>
      </c>
      <c r="G24" s="12">
        <v>7.6388888888888895E-2</v>
      </c>
      <c r="H24" s="12">
        <v>0.11458333333333333</v>
      </c>
      <c r="I24" s="12">
        <f t="shared" si="1"/>
        <v>7.6388888888888881E-2</v>
      </c>
      <c r="J24" s="12">
        <v>3.8194444444444448E-2</v>
      </c>
      <c r="K24" s="11">
        <v>93</v>
      </c>
      <c r="L24" s="11" t="s">
        <v>241</v>
      </c>
      <c r="M24" s="11" t="s">
        <v>212</v>
      </c>
      <c r="N24" s="12">
        <v>3.888888888888889E-2</v>
      </c>
      <c r="O24" s="12">
        <v>0.11805555555555555</v>
      </c>
      <c r="P24" s="12">
        <v>0.1111111111111111</v>
      </c>
      <c r="Q24" s="12">
        <v>0.12152777777777778</v>
      </c>
      <c r="R24" s="12">
        <v>4.027777777777778E-2</v>
      </c>
      <c r="S24" s="12">
        <v>0.1111111111111111</v>
      </c>
      <c r="T24" s="12">
        <v>4.0972222222222222E-2</v>
      </c>
      <c r="U24" s="12">
        <v>8.6805555555555552E-2</v>
      </c>
      <c r="V24" s="12">
        <v>7.2916666666666671E-2</v>
      </c>
      <c r="W24" s="12">
        <v>0.11041666666666666</v>
      </c>
      <c r="X24" s="11"/>
      <c r="Y24" s="12">
        <v>2.7777777777777776E-2</v>
      </c>
      <c r="Z24" s="11" t="s">
        <v>222</v>
      </c>
      <c r="AA24" s="11"/>
    </row>
    <row r="25" spans="1:27" s="13" customFormat="1" x14ac:dyDescent="0.25">
      <c r="A25" s="10">
        <v>45943</v>
      </c>
      <c r="B25" s="11" t="s">
        <v>208</v>
      </c>
      <c r="C25" s="11" t="s">
        <v>209</v>
      </c>
      <c r="D25" s="11" t="s">
        <v>179</v>
      </c>
      <c r="E25" s="12">
        <v>2.0833333333333332E-2</v>
      </c>
      <c r="F25" s="12">
        <v>1.8055555555555554E-2</v>
      </c>
      <c r="G25" s="12">
        <v>6.9444444444444448E-2</v>
      </c>
      <c r="H25" s="12">
        <v>6.9444444444444448E-2</v>
      </c>
      <c r="I25" s="12">
        <f t="shared" si="1"/>
        <v>5.1388888888888894E-2</v>
      </c>
      <c r="J25" s="11" t="s">
        <v>242</v>
      </c>
      <c r="K25" s="11"/>
      <c r="L25" s="11"/>
      <c r="M25" s="11" t="s">
        <v>212</v>
      </c>
      <c r="N25" s="12"/>
      <c r="O25" s="12"/>
      <c r="P25" s="11"/>
      <c r="Q25" s="11"/>
      <c r="R25" s="12"/>
      <c r="S25" s="12"/>
      <c r="T25" s="12"/>
      <c r="U25" s="12"/>
      <c r="V25" s="12"/>
      <c r="W25" s="12"/>
      <c r="X25" s="11"/>
      <c r="Y25" s="12"/>
      <c r="Z25" s="11"/>
      <c r="AA25" s="11"/>
    </row>
    <row r="26" spans="1:27" s="13" customFormat="1" x14ac:dyDescent="0.25">
      <c r="A26" s="10">
        <v>45950</v>
      </c>
      <c r="B26" s="11" t="s">
        <v>208</v>
      </c>
      <c r="C26" s="11" t="s">
        <v>209</v>
      </c>
      <c r="D26" s="11" t="s">
        <v>233</v>
      </c>
      <c r="E26" s="12">
        <v>0.51388888888888884</v>
      </c>
      <c r="F26" s="12">
        <v>0.51388888888888884</v>
      </c>
      <c r="G26" s="12">
        <v>0.57638888888888884</v>
      </c>
      <c r="H26" s="12">
        <v>0.56944444444444442</v>
      </c>
      <c r="I26" s="12">
        <f t="shared" si="1"/>
        <v>5.555555555555558E-2</v>
      </c>
      <c r="J26" s="11" t="s">
        <v>242</v>
      </c>
      <c r="K26" s="11"/>
      <c r="L26" s="11"/>
      <c r="M26" s="11" t="s">
        <v>212</v>
      </c>
      <c r="N26" s="12">
        <v>0.51458333333333328</v>
      </c>
      <c r="O26" s="12">
        <v>0.56597222222222221</v>
      </c>
      <c r="P26" s="12">
        <v>0.5625</v>
      </c>
      <c r="Q26" s="12">
        <v>0.56944444444444442</v>
      </c>
      <c r="R26" s="12"/>
      <c r="S26" s="12"/>
      <c r="T26" s="12"/>
      <c r="U26" s="12"/>
      <c r="V26" s="12"/>
      <c r="W26" s="12"/>
      <c r="X26" s="11"/>
      <c r="Y26" s="12"/>
      <c r="Z26" s="11"/>
      <c r="AA26" s="11"/>
    </row>
    <row r="27" spans="1:27" s="13" customFormat="1" x14ac:dyDescent="0.25">
      <c r="A27" s="10">
        <v>45958</v>
      </c>
      <c r="B27" s="11" t="s">
        <v>208</v>
      </c>
      <c r="C27" s="11" t="s">
        <v>209</v>
      </c>
      <c r="D27" s="11" t="s">
        <v>233</v>
      </c>
      <c r="E27" s="12">
        <v>7.2916666666666671E-2</v>
      </c>
      <c r="F27" s="12">
        <v>0.10208333333333333</v>
      </c>
      <c r="G27" s="12">
        <v>0.13541666666666666</v>
      </c>
      <c r="H27" s="12">
        <v>0.16458333333333333</v>
      </c>
      <c r="I27" s="12">
        <f t="shared" si="1"/>
        <v>6.25E-2</v>
      </c>
      <c r="J27" s="12">
        <v>2.9166666666666667E-2</v>
      </c>
      <c r="K27" s="11">
        <v>93</v>
      </c>
      <c r="L27" s="11" t="s">
        <v>241</v>
      </c>
      <c r="M27" s="11" t="s">
        <v>212</v>
      </c>
      <c r="N27" s="12">
        <v>0.10416666666666667</v>
      </c>
      <c r="O27" s="12">
        <v>0.16180555555555556</v>
      </c>
      <c r="P27" s="12">
        <v>0.16180555555555556</v>
      </c>
      <c r="Q27" s="12">
        <v>0.16458333333333333</v>
      </c>
      <c r="R27" s="12">
        <v>0.1076388888888889</v>
      </c>
      <c r="S27" s="12">
        <v>0.15972222222222221</v>
      </c>
      <c r="T27" s="12">
        <v>0.1111111111111111</v>
      </c>
      <c r="U27" s="12">
        <v>0.125</v>
      </c>
      <c r="V27" s="12">
        <v>0.11805555555555555</v>
      </c>
      <c r="W27" s="12">
        <v>0.15625</v>
      </c>
      <c r="X27" s="11" t="s">
        <v>213</v>
      </c>
      <c r="Y27" s="12">
        <v>0.16041666666666668</v>
      </c>
      <c r="Z27" s="11" t="s">
        <v>243</v>
      </c>
      <c r="AA27" s="11"/>
    </row>
    <row r="28" spans="1:27" s="13" customFormat="1" x14ac:dyDescent="0.25">
      <c r="A28" s="10">
        <v>45965</v>
      </c>
      <c r="B28" s="11" t="s">
        <v>208</v>
      </c>
      <c r="C28" s="11" t="s">
        <v>209</v>
      </c>
      <c r="D28" s="11" t="s">
        <v>146</v>
      </c>
      <c r="E28" s="12">
        <v>0.98611111111111116</v>
      </c>
      <c r="F28" s="12">
        <v>3.2638888888888891E-2</v>
      </c>
      <c r="G28" s="12">
        <v>6.9444444444444448E-2</v>
      </c>
      <c r="H28" s="12">
        <v>0.10347222222222222</v>
      </c>
      <c r="I28" s="12">
        <v>3.4027777777777775E-2</v>
      </c>
      <c r="J28" s="12">
        <v>3.4027777777777775E-2</v>
      </c>
      <c r="K28" s="11">
        <v>89</v>
      </c>
      <c r="L28" s="11" t="s">
        <v>85</v>
      </c>
      <c r="M28" s="11" t="s">
        <v>212</v>
      </c>
      <c r="N28" s="12">
        <v>3.4722222222222224E-2</v>
      </c>
      <c r="O28" s="12">
        <v>0.10138888888888889</v>
      </c>
      <c r="P28" s="11"/>
      <c r="Q28" s="11"/>
      <c r="R28" s="12">
        <v>3.3333333333333333E-2</v>
      </c>
      <c r="S28" s="12">
        <v>0.10069444444444445</v>
      </c>
      <c r="T28" s="12">
        <v>3.4027777777777775E-2</v>
      </c>
      <c r="U28" s="12">
        <v>5.1388888888888887E-2</v>
      </c>
      <c r="V28" s="12">
        <v>5.2083333333333336E-2</v>
      </c>
      <c r="W28" s="12">
        <v>5.8333333333333334E-2</v>
      </c>
      <c r="X28" s="11" t="s">
        <v>213</v>
      </c>
      <c r="Y28" s="12">
        <v>0.10208333333333333</v>
      </c>
      <c r="Z28" s="11" t="s">
        <v>222</v>
      </c>
      <c r="AA28" s="11"/>
    </row>
    <row r="29" spans="1:27" s="13" customFormat="1" x14ac:dyDescent="0.25">
      <c r="A29" s="10">
        <v>45972</v>
      </c>
      <c r="B29" s="11" t="s">
        <v>208</v>
      </c>
      <c r="C29" s="11" t="s">
        <v>209</v>
      </c>
      <c r="D29" s="11" t="s">
        <v>147</v>
      </c>
      <c r="E29" s="12">
        <v>0.31944444444444442</v>
      </c>
      <c r="F29" s="12">
        <v>0.29166666666666669</v>
      </c>
      <c r="G29" s="12">
        <v>0.3923611111111111</v>
      </c>
      <c r="H29" s="12">
        <v>0.40972222222222221</v>
      </c>
      <c r="I29" s="12">
        <v>3.4027777777777775E-2</v>
      </c>
      <c r="J29" s="12">
        <v>1.7361111111111112E-2</v>
      </c>
      <c r="K29" s="11">
        <v>86</v>
      </c>
      <c r="L29" s="11" t="s">
        <v>244</v>
      </c>
      <c r="M29" s="11" t="s">
        <v>212</v>
      </c>
      <c r="N29" s="12">
        <v>3.4722222222222224E-2</v>
      </c>
      <c r="O29" s="12">
        <v>0.10138888888888889</v>
      </c>
      <c r="P29" s="11"/>
      <c r="Q29" s="11"/>
      <c r="R29" s="12">
        <v>3.3333333333333333E-2</v>
      </c>
      <c r="S29" s="12">
        <v>0.10069444444444445</v>
      </c>
      <c r="T29" s="12">
        <v>3.4027777777777775E-2</v>
      </c>
      <c r="U29" s="12">
        <v>5.1388888888888887E-2</v>
      </c>
      <c r="V29" s="12">
        <v>5.2083333333333336E-2</v>
      </c>
      <c r="W29" s="12">
        <v>5.8333333333333334E-2</v>
      </c>
      <c r="X29" s="11" t="s">
        <v>213</v>
      </c>
      <c r="Y29" s="12">
        <v>0.10208333333333333</v>
      </c>
      <c r="Z29" s="11" t="s">
        <v>222</v>
      </c>
      <c r="AA29" s="11"/>
    </row>
    <row r="30" spans="1:27" s="13" customFormat="1" x14ac:dyDescent="0.25">
      <c r="A30" s="10">
        <v>45978</v>
      </c>
      <c r="B30" s="11" t="s">
        <v>245</v>
      </c>
      <c r="C30" s="11" t="s">
        <v>209</v>
      </c>
      <c r="D30" s="11" t="s">
        <v>146</v>
      </c>
      <c r="E30" s="12">
        <v>0.91319444444444442</v>
      </c>
      <c r="F30" s="12">
        <v>0.92638888888888893</v>
      </c>
      <c r="G30" s="12">
        <v>0.98611111111111116</v>
      </c>
      <c r="H30" s="12">
        <v>0.99305555555555558</v>
      </c>
      <c r="I30" s="12">
        <v>6.5972222222222224E-2</v>
      </c>
      <c r="J30" s="12">
        <v>6.9444444444444441E-3</v>
      </c>
      <c r="K30" s="11">
        <v>39</v>
      </c>
      <c r="L30" s="11" t="s">
        <v>246</v>
      </c>
      <c r="M30" s="11" t="s">
        <v>247</v>
      </c>
      <c r="N30" s="12">
        <v>0.93055555555555558</v>
      </c>
      <c r="O30" s="12">
        <v>0.99305555555555558</v>
      </c>
      <c r="P30" s="11"/>
      <c r="Q30" s="11"/>
      <c r="R30" s="12">
        <v>0.94791666666666663</v>
      </c>
      <c r="S30" s="12">
        <v>0.9868055555555556</v>
      </c>
      <c r="T30" s="12">
        <v>0.95</v>
      </c>
      <c r="U30" s="12">
        <v>0.95833333333333337</v>
      </c>
      <c r="V30" s="12">
        <v>0.95833333333333337</v>
      </c>
      <c r="W30" s="12">
        <v>0.98263888888888884</v>
      </c>
      <c r="X30" s="11" t="s">
        <v>213</v>
      </c>
      <c r="Y30" s="12">
        <v>0.99375000000000002</v>
      </c>
      <c r="Z30" s="11" t="s">
        <v>248</v>
      </c>
      <c r="AA30" s="11"/>
    </row>
    <row r="31" spans="1:27" s="13" customFormat="1" x14ac:dyDescent="0.25">
      <c r="A31" s="10">
        <v>45985</v>
      </c>
      <c r="B31" s="11" t="s">
        <v>249</v>
      </c>
      <c r="C31" s="11" t="s">
        <v>209</v>
      </c>
      <c r="D31" s="11" t="s">
        <v>146</v>
      </c>
      <c r="E31" s="12">
        <v>0.15972222222222221</v>
      </c>
      <c r="F31" s="12">
        <v>0.26041666666666669</v>
      </c>
      <c r="G31" s="12">
        <v>0.22222222222222221</v>
      </c>
      <c r="H31" s="12">
        <v>0.3347222222222222</v>
      </c>
      <c r="I31" s="12">
        <v>7.4305555555555555E-2</v>
      </c>
      <c r="J31" s="12">
        <v>1.1805555555555555E-2</v>
      </c>
      <c r="K31" s="11" t="s">
        <v>250</v>
      </c>
      <c r="L31" s="11" t="s">
        <v>251</v>
      </c>
      <c r="M31" s="11" t="s">
        <v>252</v>
      </c>
      <c r="N31" s="12" t="s">
        <v>213</v>
      </c>
      <c r="O31" s="12" t="s">
        <v>213</v>
      </c>
      <c r="P31" s="11" t="s">
        <v>213</v>
      </c>
      <c r="Q31" s="11" t="s">
        <v>213</v>
      </c>
      <c r="R31" s="12">
        <v>0.2638888888888889</v>
      </c>
      <c r="S31" s="12">
        <v>0.32013888888888886</v>
      </c>
      <c r="T31" s="12">
        <v>0.26805555555555555</v>
      </c>
      <c r="U31" s="12">
        <v>0.27777777777777779</v>
      </c>
      <c r="V31" s="12">
        <v>0.29166666666666669</v>
      </c>
      <c r="W31" s="12">
        <v>0.31944444444444442</v>
      </c>
      <c r="X31" s="12" t="s">
        <v>213</v>
      </c>
      <c r="Y31" s="12">
        <v>0.3347222222222222</v>
      </c>
      <c r="Z31" s="11" t="s">
        <v>222</v>
      </c>
      <c r="AA31" s="11"/>
    </row>
    <row r="32" spans="1:27" s="13" customFormat="1" x14ac:dyDescent="0.25">
      <c r="A32" s="10">
        <v>45992</v>
      </c>
      <c r="B32" s="11" t="s">
        <v>249</v>
      </c>
      <c r="C32" s="11" t="s">
        <v>209</v>
      </c>
      <c r="D32" s="11" t="s">
        <v>253</v>
      </c>
      <c r="E32" s="12">
        <v>0.79513888888888884</v>
      </c>
      <c r="F32" s="12">
        <v>0.81180555555555556</v>
      </c>
      <c r="G32" s="12">
        <v>0.86805555555555558</v>
      </c>
      <c r="H32" s="12">
        <v>0.91736111111111107</v>
      </c>
      <c r="I32" s="12">
        <v>0.10555555555555556</v>
      </c>
      <c r="J32" s="12">
        <v>5.1388888888888887E-2</v>
      </c>
      <c r="K32" s="11">
        <v>28</v>
      </c>
      <c r="L32" s="11" t="s">
        <v>254</v>
      </c>
      <c r="M32" s="11" t="s">
        <v>255</v>
      </c>
      <c r="N32" s="12">
        <v>0.81388888888888888</v>
      </c>
      <c r="O32" s="12">
        <v>0.91249999999999998</v>
      </c>
      <c r="P32" s="11" t="s">
        <v>213</v>
      </c>
      <c r="Q32" s="11" t="s">
        <v>213</v>
      </c>
      <c r="R32" s="12">
        <v>0.85416666666666663</v>
      </c>
      <c r="S32" s="12">
        <v>0.91111111111111109</v>
      </c>
      <c r="T32" s="12">
        <v>0.85555555555555551</v>
      </c>
      <c r="U32" s="12">
        <v>0.86736111111111114</v>
      </c>
      <c r="V32" s="12">
        <v>0.86805555555555558</v>
      </c>
      <c r="W32" s="12">
        <v>0.90972222222222221</v>
      </c>
      <c r="X32" s="12" t="s">
        <v>213</v>
      </c>
      <c r="Y32" s="12">
        <v>0.91388888888888886</v>
      </c>
      <c r="Z32" s="11" t="s">
        <v>256</v>
      </c>
      <c r="AA32" s="11"/>
    </row>
    <row r="33" spans="1:27" s="13" customFormat="1" x14ac:dyDescent="0.25">
      <c r="A33" s="10">
        <v>45999</v>
      </c>
      <c r="B33" s="11" t="s">
        <v>208</v>
      </c>
      <c r="C33" s="11" t="s">
        <v>209</v>
      </c>
      <c r="D33" s="11" t="s">
        <v>257</v>
      </c>
      <c r="E33" s="12">
        <v>0.375</v>
      </c>
      <c r="F33" s="12">
        <v>0.36458333333333331</v>
      </c>
      <c r="G33" s="12">
        <v>0.44791666666666669</v>
      </c>
      <c r="H33" s="12">
        <v>0.40277777777777779</v>
      </c>
      <c r="I33" s="12">
        <v>3.8194444444444448E-2</v>
      </c>
      <c r="J33" s="11" t="s">
        <v>213</v>
      </c>
      <c r="K33" s="11" t="s">
        <v>213</v>
      </c>
      <c r="L33" s="11" t="s">
        <v>33</v>
      </c>
      <c r="M33" s="11" t="s">
        <v>258</v>
      </c>
      <c r="N33" s="12">
        <v>0.3611111111111111</v>
      </c>
      <c r="O33" s="12">
        <v>0.36805555555555558</v>
      </c>
      <c r="P33" s="11" t="s">
        <v>213</v>
      </c>
      <c r="Q33" s="11" t="s">
        <v>213</v>
      </c>
      <c r="R33" s="12">
        <v>0.36805555555555558</v>
      </c>
      <c r="S33" s="12">
        <v>0.40208333333333335</v>
      </c>
      <c r="T33" s="12">
        <v>0.37013888888888891</v>
      </c>
      <c r="U33" s="12">
        <v>0.39027777777777778</v>
      </c>
      <c r="V33" s="12">
        <v>0.375</v>
      </c>
      <c r="W33" s="12">
        <v>0.40069444444444446</v>
      </c>
      <c r="X33" s="12" t="s">
        <v>213</v>
      </c>
      <c r="Y33" s="12">
        <v>0.40347222222222223</v>
      </c>
      <c r="Z33" s="11" t="s">
        <v>259</v>
      </c>
      <c r="AA33" s="11"/>
    </row>
    <row r="34" spans="1:27" s="13" customFormat="1" x14ac:dyDescent="0.25">
      <c r="A34" s="10">
        <v>46005</v>
      </c>
      <c r="B34" s="52" t="s">
        <v>37</v>
      </c>
      <c r="C34" s="11"/>
      <c r="D34" s="11"/>
      <c r="E34" s="12"/>
      <c r="F34" s="12"/>
      <c r="G34" s="12"/>
      <c r="H34" s="12"/>
      <c r="I34" s="12"/>
      <c r="J34" s="11"/>
      <c r="K34" s="11"/>
      <c r="L34" s="11"/>
      <c r="M34" s="11"/>
      <c r="N34" s="12"/>
      <c r="O34" s="12"/>
      <c r="P34" s="11"/>
      <c r="Q34" s="11"/>
      <c r="R34" s="12"/>
      <c r="S34" s="12"/>
      <c r="T34" s="12"/>
      <c r="U34" s="12"/>
      <c r="V34" s="12"/>
      <c r="W34" s="12"/>
      <c r="X34" s="12"/>
      <c r="Y34" s="12"/>
      <c r="Z34" s="11"/>
      <c r="AA34" s="11"/>
    </row>
    <row r="35" spans="1:27" s="13" customFormat="1" x14ac:dyDescent="0.25">
      <c r="A35" s="197">
        <v>46012</v>
      </c>
      <c r="B35" s="52" t="s">
        <v>37</v>
      </c>
      <c r="C35" s="198"/>
      <c r="D35" s="198"/>
      <c r="E35" s="199"/>
      <c r="F35" s="199"/>
      <c r="G35" s="199"/>
      <c r="H35" s="199"/>
      <c r="I35" s="199"/>
      <c r="J35" s="11"/>
      <c r="K35" s="11"/>
      <c r="L35" s="198"/>
      <c r="M35" s="198"/>
      <c r="N35" s="199"/>
      <c r="O35" s="199"/>
      <c r="P35" s="11"/>
      <c r="Q35" s="11"/>
      <c r="R35" s="199"/>
      <c r="S35" s="199"/>
      <c r="T35" s="199"/>
      <c r="U35" s="199"/>
      <c r="V35" s="199"/>
      <c r="W35" s="199"/>
      <c r="X35" s="199"/>
      <c r="Y35" s="199"/>
      <c r="Z35" s="198"/>
      <c r="AA35" s="198"/>
    </row>
    <row r="36" spans="1:27" s="13" customFormat="1" x14ac:dyDescent="0.25">
      <c r="A36" s="200">
        <v>46019</v>
      </c>
      <c r="B36" s="52" t="s">
        <v>37</v>
      </c>
      <c r="C36" s="201"/>
      <c r="D36" s="201"/>
      <c r="E36" s="202"/>
      <c r="F36" s="202"/>
      <c r="G36" s="202"/>
      <c r="H36" s="202"/>
      <c r="I36" s="199"/>
      <c r="J36" s="11"/>
      <c r="K36" s="11"/>
      <c r="L36" s="198"/>
      <c r="M36" s="201"/>
      <c r="N36" s="203"/>
      <c r="O36" s="204"/>
      <c r="P36" s="11"/>
      <c r="Q36" s="11"/>
      <c r="R36" s="203"/>
      <c r="S36" s="203"/>
      <c r="T36" s="203"/>
      <c r="U36" s="203"/>
      <c r="V36" s="203"/>
      <c r="W36" s="203"/>
      <c r="X36" s="203"/>
      <c r="Y36" s="203"/>
      <c r="Z36" s="203"/>
      <c r="AA36" s="205"/>
    </row>
    <row r="37" spans="1:27" s="210" customFormat="1" x14ac:dyDescent="0.25">
      <c r="A37" s="206">
        <v>45661</v>
      </c>
      <c r="B37" s="52" t="s">
        <v>37</v>
      </c>
      <c r="C37" s="207"/>
      <c r="D37" s="207"/>
      <c r="E37" s="208"/>
      <c r="F37" s="208"/>
      <c r="G37" s="208"/>
      <c r="H37" s="208"/>
      <c r="I37" s="209"/>
      <c r="J37" s="11"/>
      <c r="K37" s="11"/>
      <c r="L37" s="207"/>
      <c r="M37" s="207"/>
      <c r="N37" s="208"/>
      <c r="O37" s="208"/>
      <c r="P37" s="11"/>
      <c r="Q37" s="11"/>
      <c r="R37" s="208"/>
      <c r="S37" s="208"/>
      <c r="T37" s="208"/>
      <c r="U37" s="208"/>
      <c r="V37" s="208"/>
      <c r="W37" s="208"/>
      <c r="X37" s="208"/>
      <c r="Y37" s="208"/>
      <c r="Z37" s="207"/>
      <c r="AA37" s="207"/>
    </row>
    <row r="38" spans="1:27" s="210" customFormat="1" x14ac:dyDescent="0.25">
      <c r="A38" s="206">
        <v>45668</v>
      </c>
      <c r="B38" s="11" t="s">
        <v>208</v>
      </c>
      <c r="C38" s="207" t="s">
        <v>260</v>
      </c>
      <c r="D38" s="207" t="s">
        <v>261</v>
      </c>
      <c r="E38" s="208">
        <v>0.96527777777777779</v>
      </c>
      <c r="F38" s="208">
        <v>0.92708333333333337</v>
      </c>
      <c r="G38" s="208">
        <v>4.1666666666666664E-2</v>
      </c>
      <c r="H38" s="208">
        <v>0.99652777777777779</v>
      </c>
      <c r="I38" s="12">
        <f>H38-F38</f>
        <v>6.944444444444442E-2</v>
      </c>
      <c r="J38" s="208" t="s">
        <v>213</v>
      </c>
      <c r="K38" s="207" t="s">
        <v>213</v>
      </c>
      <c r="L38" s="207" t="s">
        <v>33</v>
      </c>
      <c r="M38" s="207" t="s">
        <v>258</v>
      </c>
      <c r="N38" s="208" t="s">
        <v>213</v>
      </c>
      <c r="O38" s="208" t="s">
        <v>213</v>
      </c>
      <c r="P38" s="207" t="s">
        <v>213</v>
      </c>
      <c r="Q38" s="207" t="s">
        <v>213</v>
      </c>
      <c r="R38" s="208">
        <v>0.93055555555555558</v>
      </c>
      <c r="S38" s="208">
        <v>0.97916666666666663</v>
      </c>
      <c r="T38" s="208">
        <v>0.93402777777777779</v>
      </c>
      <c r="U38" s="208">
        <v>0.97569444444444442</v>
      </c>
      <c r="V38" s="208" t="s">
        <v>213</v>
      </c>
      <c r="W38" s="208" t="s">
        <v>213</v>
      </c>
      <c r="X38" s="208" t="s">
        <v>213</v>
      </c>
      <c r="Y38" s="208">
        <v>0.99305555555555558</v>
      </c>
      <c r="Z38" s="207" t="s">
        <v>222</v>
      </c>
      <c r="AA38" s="207"/>
    </row>
    <row r="39" spans="1:27" s="210" customFormat="1" ht="20.25" customHeight="1" x14ac:dyDescent="0.25">
      <c r="A39" s="211">
        <v>19</v>
      </c>
      <c r="B39" s="212" t="s">
        <v>245</v>
      </c>
      <c r="C39" s="212" t="s">
        <v>260</v>
      </c>
      <c r="D39" s="212" t="s">
        <v>262</v>
      </c>
      <c r="E39" s="209">
        <v>0.54166666666666663</v>
      </c>
      <c r="F39" s="209">
        <v>0.54791666666666672</v>
      </c>
      <c r="G39" s="209">
        <v>0.63888888888888884</v>
      </c>
      <c r="H39" s="209">
        <v>0.61805555555555558</v>
      </c>
      <c r="I39" s="209">
        <v>8.2638888888888887E-2</v>
      </c>
      <c r="J39" s="209" t="s">
        <v>213</v>
      </c>
      <c r="K39" s="212" t="s">
        <v>213</v>
      </c>
      <c r="L39" s="213" t="s">
        <v>33</v>
      </c>
      <c r="M39" s="212" t="s">
        <v>263</v>
      </c>
      <c r="N39" s="209" t="s">
        <v>213</v>
      </c>
      <c r="O39" s="209" t="s">
        <v>213</v>
      </c>
      <c r="P39" s="212" t="s">
        <v>213</v>
      </c>
      <c r="Q39" s="212" t="s">
        <v>213</v>
      </c>
      <c r="R39" s="209">
        <v>0.55555555555555558</v>
      </c>
      <c r="S39" s="209">
        <v>0.60416666666666663</v>
      </c>
      <c r="T39" s="209">
        <v>0.56805555555555554</v>
      </c>
      <c r="U39" s="209">
        <v>0.59722222222222221</v>
      </c>
      <c r="V39" s="209" t="s">
        <v>264</v>
      </c>
      <c r="W39" s="209" t="s">
        <v>213</v>
      </c>
      <c r="X39" s="209" t="s">
        <v>213</v>
      </c>
      <c r="Y39" s="209">
        <v>0.60972222222222228</v>
      </c>
      <c r="Z39" s="212" t="s">
        <v>259</v>
      </c>
      <c r="AA39" s="212"/>
    </row>
    <row r="40" spans="1:27" s="210" customFormat="1" x14ac:dyDescent="0.25">
      <c r="A40" s="206">
        <v>45683</v>
      </c>
      <c r="B40" s="207" t="s">
        <v>208</v>
      </c>
      <c r="C40" s="207" t="s">
        <v>260</v>
      </c>
      <c r="D40" s="207" t="s">
        <v>265</v>
      </c>
      <c r="E40" s="208">
        <v>0.75</v>
      </c>
      <c r="F40" s="208">
        <v>0.77777777777777779</v>
      </c>
      <c r="G40" s="208">
        <v>0.82291666666666663</v>
      </c>
      <c r="H40" s="208">
        <v>0.82152777777777775</v>
      </c>
      <c r="I40" s="209">
        <v>4.3749999999999997E-2</v>
      </c>
      <c r="J40" s="207" t="s">
        <v>213</v>
      </c>
      <c r="K40" s="207" t="s">
        <v>213</v>
      </c>
      <c r="L40" s="207" t="s">
        <v>33</v>
      </c>
      <c r="M40" s="207" t="s">
        <v>266</v>
      </c>
      <c r="N40" s="208" t="s">
        <v>213</v>
      </c>
      <c r="O40" s="208" t="s">
        <v>213</v>
      </c>
      <c r="P40" s="207" t="s">
        <v>213</v>
      </c>
      <c r="Q40" s="207" t="s">
        <v>213</v>
      </c>
      <c r="R40" s="208">
        <v>0.77986111111111112</v>
      </c>
      <c r="S40" s="208">
        <v>0.81597222222222221</v>
      </c>
      <c r="T40" s="208">
        <v>0.78055555555555556</v>
      </c>
      <c r="U40" s="208">
        <v>0.7993055555555556</v>
      </c>
      <c r="V40" s="208">
        <v>0.8</v>
      </c>
      <c r="W40" s="208">
        <v>0.80972222222222223</v>
      </c>
      <c r="X40" s="208" t="s">
        <v>213</v>
      </c>
      <c r="Y40" s="208">
        <v>0.8125</v>
      </c>
      <c r="Z40" s="214" t="s">
        <v>222</v>
      </c>
      <c r="AA40" s="214"/>
    </row>
    <row r="41" spans="1:27" s="210" customFormat="1" x14ac:dyDescent="0.25">
      <c r="A41" s="206">
        <v>46055</v>
      </c>
      <c r="B41" s="207" t="s">
        <v>208</v>
      </c>
      <c r="C41" s="207" t="s">
        <v>209</v>
      </c>
      <c r="D41" s="207" t="s">
        <v>265</v>
      </c>
      <c r="E41" s="215">
        <v>0.15625</v>
      </c>
      <c r="F41" s="215">
        <v>0.15208333333333332</v>
      </c>
      <c r="G41" s="215">
        <v>0.22916666666666666</v>
      </c>
      <c r="H41" s="208">
        <v>0.22916666666666666</v>
      </c>
      <c r="I41" s="209">
        <v>7.7083333333333337E-2</v>
      </c>
      <c r="J41" s="207" t="s">
        <v>213</v>
      </c>
      <c r="K41" s="207" t="s">
        <v>213</v>
      </c>
      <c r="L41" s="207" t="s">
        <v>33</v>
      </c>
      <c r="M41" s="207" t="s">
        <v>267</v>
      </c>
      <c r="N41" s="208" t="s">
        <v>213</v>
      </c>
      <c r="O41" s="208" t="s">
        <v>213</v>
      </c>
      <c r="P41" s="207" t="s">
        <v>213</v>
      </c>
      <c r="Q41" s="207" t="s">
        <v>213</v>
      </c>
      <c r="R41" s="208">
        <v>0.15972222222222221</v>
      </c>
      <c r="S41" s="208">
        <v>0.22291666666666668</v>
      </c>
      <c r="T41" s="208">
        <v>0.16111111111111112</v>
      </c>
      <c r="U41" s="208">
        <v>0.22083333333333333</v>
      </c>
      <c r="V41" s="208">
        <v>0.19791666666666666</v>
      </c>
      <c r="W41" s="208">
        <v>0.21875</v>
      </c>
      <c r="X41" s="207" t="s">
        <v>213</v>
      </c>
      <c r="Y41" s="208">
        <v>0.22430555555555556</v>
      </c>
      <c r="Z41" s="214" t="s">
        <v>222</v>
      </c>
      <c r="AA41" s="207"/>
    </row>
    <row r="42" spans="1:27" s="210" customFormat="1" x14ac:dyDescent="0.25">
      <c r="A42" s="206">
        <v>46062</v>
      </c>
      <c r="B42" s="207" t="s">
        <v>208</v>
      </c>
      <c r="C42" s="207" t="s">
        <v>209</v>
      </c>
      <c r="D42" s="207" t="s">
        <v>262</v>
      </c>
      <c r="E42" s="208">
        <v>7.9861111111111105E-2</v>
      </c>
      <c r="F42" s="208">
        <v>8.0555555555555561E-2</v>
      </c>
      <c r="G42" s="208">
        <v>0.15277777777777779</v>
      </c>
      <c r="H42" s="208">
        <v>0.1701388888888889</v>
      </c>
      <c r="I42" s="209">
        <v>9.0972222222222218E-2</v>
      </c>
      <c r="J42" s="208">
        <v>1.7361111111111112E-2</v>
      </c>
      <c r="K42" s="207" t="s">
        <v>268</v>
      </c>
      <c r="L42" s="216" t="s">
        <v>269</v>
      </c>
      <c r="M42" s="207" t="s">
        <v>263</v>
      </c>
      <c r="N42" s="208" t="s">
        <v>213</v>
      </c>
      <c r="O42" s="208" t="s">
        <v>213</v>
      </c>
      <c r="P42" s="207" t="s">
        <v>213</v>
      </c>
      <c r="Q42" s="207" t="s">
        <v>213</v>
      </c>
      <c r="R42" s="208">
        <v>9.0277777777777776E-2</v>
      </c>
      <c r="S42" s="208">
        <v>0.14374999999999999</v>
      </c>
      <c r="T42" s="208">
        <v>9.7222222222222224E-2</v>
      </c>
      <c r="U42" s="208">
        <v>0.1111111111111111</v>
      </c>
      <c r="V42" s="208">
        <v>0.1125</v>
      </c>
      <c r="W42" s="208">
        <v>0.13194444444444445</v>
      </c>
      <c r="X42" s="208" t="s">
        <v>213</v>
      </c>
      <c r="Y42" s="208">
        <v>0.1701388888888889</v>
      </c>
      <c r="Z42" s="207" t="s">
        <v>222</v>
      </c>
      <c r="AA42" s="207"/>
    </row>
    <row r="43" spans="1:27" s="210" customFormat="1" x14ac:dyDescent="0.25">
      <c r="A43" s="206">
        <v>46069</v>
      </c>
      <c r="B43" s="207" t="s">
        <v>208</v>
      </c>
      <c r="C43" s="207" t="s">
        <v>209</v>
      </c>
      <c r="D43" s="207" t="s">
        <v>265</v>
      </c>
      <c r="E43" s="208">
        <v>0.15277777777777779</v>
      </c>
      <c r="F43" s="208">
        <v>0.15347222222222223</v>
      </c>
      <c r="G43" s="208">
        <v>0.22569444444444445</v>
      </c>
      <c r="H43" s="208">
        <v>0.22500000000000001</v>
      </c>
      <c r="I43" s="209">
        <v>8.2638888888888887E-2</v>
      </c>
      <c r="J43" s="208" t="s">
        <v>213</v>
      </c>
      <c r="K43" s="207" t="s">
        <v>213</v>
      </c>
      <c r="L43" s="207" t="s">
        <v>33</v>
      </c>
      <c r="M43" s="207" t="s">
        <v>252</v>
      </c>
      <c r="N43" s="208" t="s">
        <v>213</v>
      </c>
      <c r="O43" s="208" t="s">
        <v>213</v>
      </c>
      <c r="P43" s="207" t="s">
        <v>213</v>
      </c>
      <c r="Q43" s="207" t="s">
        <v>213</v>
      </c>
      <c r="R43" s="208">
        <v>0.15833333333333333</v>
      </c>
      <c r="S43" s="208">
        <v>0.21875</v>
      </c>
      <c r="T43" s="208">
        <v>0.16111111111111112</v>
      </c>
      <c r="U43" s="208">
        <v>0.21527777777777779</v>
      </c>
      <c r="V43" s="208">
        <v>0.1736111111111111</v>
      </c>
      <c r="W43" s="208">
        <v>0.21527777777777779</v>
      </c>
      <c r="X43" s="208" t="s">
        <v>213</v>
      </c>
      <c r="Y43" s="208">
        <v>0.22361111111111112</v>
      </c>
      <c r="Z43" s="207" t="s">
        <v>270</v>
      </c>
      <c r="AA43" s="207"/>
    </row>
    <row r="44" spans="1:27" s="210" customFormat="1" x14ac:dyDescent="0.25">
      <c r="A44" s="206">
        <v>46076</v>
      </c>
      <c r="B44" s="207" t="s">
        <v>208</v>
      </c>
      <c r="C44" s="207" t="s">
        <v>209</v>
      </c>
      <c r="D44" s="207" t="s">
        <v>271</v>
      </c>
      <c r="E44" s="208">
        <v>7.9861111111111105E-2</v>
      </c>
      <c r="F44" s="208">
        <v>1.5277777777777777E-2</v>
      </c>
      <c r="G44" s="208">
        <v>0.15277777777777779</v>
      </c>
      <c r="H44" s="208">
        <v>0.15069444444444444</v>
      </c>
      <c r="I44" s="209">
        <v>0.13750000000000001</v>
      </c>
      <c r="J44" s="207" t="s">
        <v>213</v>
      </c>
      <c r="K44" s="207" t="s">
        <v>213</v>
      </c>
      <c r="L44" s="207" t="s">
        <v>33</v>
      </c>
      <c r="M44" s="207" t="s">
        <v>272</v>
      </c>
      <c r="N44" s="208" t="s">
        <v>213</v>
      </c>
      <c r="O44" s="208" t="s">
        <v>213</v>
      </c>
      <c r="P44" s="207" t="s">
        <v>213</v>
      </c>
      <c r="Q44" s="207" t="s">
        <v>213</v>
      </c>
      <c r="R44" s="208">
        <v>2.5000000000000001E-2</v>
      </c>
      <c r="S44" s="208">
        <v>4.0972222222222222E-2</v>
      </c>
      <c r="T44" s="208">
        <v>3.1944444444444442E-2</v>
      </c>
      <c r="U44" s="208">
        <v>3.6111111111111108E-2</v>
      </c>
      <c r="V44" s="217" t="s">
        <v>213</v>
      </c>
      <c r="W44" s="208" t="s">
        <v>213</v>
      </c>
      <c r="X44" s="208" t="s">
        <v>213</v>
      </c>
      <c r="Y44" s="208">
        <v>0.13194444444444445</v>
      </c>
      <c r="Z44" s="207" t="s">
        <v>273</v>
      </c>
      <c r="AA44" s="207"/>
    </row>
    <row r="45" spans="1:27" s="210" customFormat="1" x14ac:dyDescent="0.25">
      <c r="A45" s="206">
        <v>46083</v>
      </c>
      <c r="B45" s="207" t="s">
        <v>208</v>
      </c>
      <c r="C45" s="207" t="s">
        <v>209</v>
      </c>
      <c r="D45" s="207" t="s">
        <v>265</v>
      </c>
      <c r="E45" s="208">
        <v>0.90277777777777779</v>
      </c>
      <c r="F45" s="208">
        <v>0.90625</v>
      </c>
      <c r="G45" s="208">
        <v>6.9444444444444441E-3</v>
      </c>
      <c r="H45" s="208">
        <v>6.9444444444444441E-3</v>
      </c>
      <c r="I45" s="209"/>
      <c r="J45" s="208" t="s">
        <v>213</v>
      </c>
      <c r="K45" s="207" t="s">
        <v>213</v>
      </c>
      <c r="L45" s="207" t="s">
        <v>33</v>
      </c>
      <c r="M45" s="207" t="s">
        <v>212</v>
      </c>
      <c r="N45" s="208" t="s">
        <v>213</v>
      </c>
      <c r="O45" s="208" t="s">
        <v>213</v>
      </c>
      <c r="P45" s="207" t="s">
        <v>213</v>
      </c>
      <c r="Q45" s="207" t="s">
        <v>213</v>
      </c>
      <c r="R45" s="208">
        <v>0.90972222222222221</v>
      </c>
      <c r="S45" s="208" t="s">
        <v>213</v>
      </c>
      <c r="T45" s="208">
        <v>0.91111111111111109</v>
      </c>
      <c r="U45" s="208">
        <v>0.92708333333333337</v>
      </c>
      <c r="V45" s="208" t="s">
        <v>213</v>
      </c>
      <c r="W45" s="208" t="s">
        <v>213</v>
      </c>
      <c r="X45" s="208" t="s">
        <v>213</v>
      </c>
      <c r="Y45" s="208" t="s">
        <v>213</v>
      </c>
      <c r="Z45" s="207" t="s">
        <v>248</v>
      </c>
      <c r="AA45" s="207"/>
    </row>
    <row r="46" spans="1:27" s="210" customFormat="1" x14ac:dyDescent="0.25">
      <c r="A46" s="206"/>
      <c r="B46" s="207"/>
      <c r="C46" s="207"/>
      <c r="D46" s="207"/>
      <c r="E46" s="208"/>
      <c r="F46" s="208"/>
      <c r="G46" s="208"/>
      <c r="H46" s="208"/>
      <c r="I46" s="209"/>
      <c r="J46" s="207"/>
      <c r="K46" s="207"/>
      <c r="L46" s="207"/>
      <c r="M46" s="207"/>
      <c r="N46" s="208"/>
      <c r="O46" s="208"/>
      <c r="P46" s="207"/>
      <c r="Q46" s="207"/>
      <c r="R46" s="208"/>
      <c r="S46" s="208"/>
      <c r="T46" s="208"/>
      <c r="U46" s="208"/>
      <c r="V46" s="208"/>
      <c r="W46" s="208"/>
      <c r="X46" s="208"/>
      <c r="Y46" s="208"/>
      <c r="Z46" s="207"/>
      <c r="AA46" s="207"/>
    </row>
    <row r="47" spans="1:27" s="210" customFormat="1" x14ac:dyDescent="0.25">
      <c r="A47" s="206"/>
      <c r="B47" s="207"/>
      <c r="C47" s="207"/>
      <c r="D47" s="207"/>
      <c r="E47" s="208"/>
      <c r="F47" s="208"/>
      <c r="G47" s="208"/>
      <c r="H47" s="208"/>
      <c r="I47" s="209"/>
      <c r="J47" s="207"/>
      <c r="K47" s="207"/>
      <c r="L47" s="207"/>
      <c r="M47" s="207"/>
      <c r="N47" s="208"/>
      <c r="O47" s="208"/>
      <c r="P47" s="207"/>
      <c r="Q47" s="207"/>
      <c r="R47" s="208"/>
      <c r="S47" s="208"/>
      <c r="T47" s="208"/>
      <c r="U47" s="208"/>
      <c r="V47" s="208"/>
      <c r="W47" s="208"/>
      <c r="X47" s="208"/>
      <c r="Y47" s="208"/>
      <c r="Z47" s="207"/>
      <c r="AA47" s="207"/>
    </row>
    <row r="48" spans="1:27" s="210" customFormat="1" x14ac:dyDescent="0.25">
      <c r="A48" s="206"/>
      <c r="B48" s="207"/>
      <c r="C48" s="207"/>
      <c r="D48" s="207"/>
      <c r="E48" s="208"/>
      <c r="F48" s="208"/>
      <c r="G48" s="208"/>
      <c r="H48" s="208"/>
      <c r="I48" s="209"/>
      <c r="J48" s="208"/>
      <c r="K48" s="207"/>
      <c r="L48" s="207"/>
      <c r="M48" s="207"/>
      <c r="N48" s="208"/>
      <c r="O48" s="208"/>
      <c r="P48" s="207"/>
      <c r="Q48" s="207"/>
      <c r="R48" s="208"/>
      <c r="S48" s="208"/>
      <c r="T48" s="208"/>
      <c r="U48" s="208"/>
      <c r="V48" s="207"/>
      <c r="W48" s="208"/>
      <c r="X48" s="208"/>
      <c r="Y48" s="207"/>
      <c r="Z48" s="207"/>
      <c r="AA48" s="207"/>
    </row>
    <row r="49" spans="1:27" s="210" customFormat="1" x14ac:dyDescent="0.25">
      <c r="A49" s="206"/>
      <c r="B49" s="207"/>
      <c r="C49" s="207"/>
      <c r="D49" s="207"/>
      <c r="E49" s="208"/>
      <c r="F49" s="208"/>
      <c r="G49" s="208"/>
      <c r="H49" s="208"/>
      <c r="I49" s="209"/>
      <c r="J49" s="208"/>
      <c r="K49" s="207"/>
      <c r="L49" s="207"/>
      <c r="M49" s="207"/>
      <c r="N49" s="208"/>
      <c r="O49" s="208"/>
      <c r="P49" s="207"/>
      <c r="Q49" s="207"/>
      <c r="R49" s="208"/>
      <c r="S49" s="208"/>
      <c r="T49" s="208"/>
      <c r="U49" s="208"/>
      <c r="V49" s="207"/>
      <c r="W49" s="208"/>
      <c r="X49" s="208"/>
      <c r="Y49" s="207"/>
      <c r="Z49" s="207"/>
      <c r="AA49" s="207"/>
    </row>
    <row r="50" spans="1:27" s="210" customFormat="1" x14ac:dyDescent="0.25">
      <c r="A50" s="206"/>
      <c r="B50" s="207"/>
      <c r="C50" s="207"/>
      <c r="D50" s="207"/>
      <c r="E50" s="208"/>
      <c r="F50" s="208"/>
      <c r="G50" s="208"/>
      <c r="H50" s="208"/>
      <c r="I50" s="209"/>
      <c r="J50" s="207"/>
      <c r="K50" s="207"/>
      <c r="L50" s="207"/>
      <c r="M50" s="207"/>
      <c r="N50" s="208"/>
      <c r="O50" s="208"/>
      <c r="P50" s="207"/>
      <c r="Q50" s="207"/>
      <c r="R50" s="208"/>
      <c r="S50" s="208"/>
      <c r="T50" s="208"/>
      <c r="U50" s="208"/>
      <c r="V50" s="208"/>
      <c r="W50" s="208"/>
      <c r="X50" s="208"/>
      <c r="Y50" s="208"/>
      <c r="Z50" s="207"/>
      <c r="AA50" s="207"/>
    </row>
    <row r="51" spans="1:27" s="210" customFormat="1" x14ac:dyDescent="0.25">
      <c r="A51" s="206"/>
      <c r="B51" s="207"/>
      <c r="C51" s="207"/>
      <c r="D51" s="207"/>
      <c r="E51" s="215"/>
      <c r="F51" s="215"/>
      <c r="G51" s="215"/>
      <c r="H51" s="215"/>
      <c r="I51" s="209"/>
      <c r="J51" s="207"/>
      <c r="K51" s="207"/>
      <c r="L51" s="214"/>
      <c r="M51" s="207"/>
      <c r="N51" s="208"/>
      <c r="O51" s="208"/>
      <c r="P51" s="207"/>
      <c r="Q51" s="207"/>
      <c r="R51" s="208"/>
      <c r="S51" s="208"/>
      <c r="T51" s="208"/>
      <c r="U51" s="214"/>
      <c r="V51" s="214"/>
      <c r="W51" s="214"/>
      <c r="X51" s="215"/>
      <c r="Y51" s="214"/>
      <c r="Z51" s="207"/>
      <c r="AA51" s="207"/>
    </row>
    <row r="52" spans="1:27" s="210" customFormat="1" x14ac:dyDescent="0.25">
      <c r="A52" s="206"/>
      <c r="B52" s="207"/>
      <c r="C52" s="207"/>
      <c r="D52" s="207"/>
      <c r="E52" s="215"/>
      <c r="F52" s="215"/>
      <c r="G52" s="215"/>
      <c r="H52" s="215"/>
      <c r="I52" s="209"/>
      <c r="J52" s="214"/>
      <c r="K52" s="207"/>
      <c r="L52" s="207"/>
      <c r="M52" s="207"/>
      <c r="N52" s="208"/>
      <c r="O52" s="208"/>
      <c r="P52" s="207"/>
      <c r="Q52" s="207"/>
      <c r="R52" s="208"/>
      <c r="S52" s="208"/>
      <c r="T52" s="208"/>
      <c r="U52" s="208"/>
      <c r="V52" s="208"/>
      <c r="W52" s="208"/>
      <c r="X52" s="208"/>
      <c r="Y52" s="208"/>
      <c r="Z52" s="207"/>
      <c r="AA52" s="207"/>
    </row>
    <row r="53" spans="1:27" s="210" customFormat="1" x14ac:dyDescent="0.25">
      <c r="A53" s="206"/>
      <c r="B53" s="207"/>
      <c r="C53" s="207"/>
      <c r="D53" s="207"/>
      <c r="E53" s="215"/>
      <c r="F53" s="215"/>
      <c r="G53" s="215"/>
      <c r="H53" s="215"/>
      <c r="I53" s="209"/>
      <c r="J53" s="215"/>
      <c r="K53" s="207"/>
      <c r="L53" s="207"/>
      <c r="M53" s="207"/>
      <c r="N53" s="208"/>
      <c r="O53" s="208"/>
      <c r="P53" s="207"/>
      <c r="Q53" s="207"/>
      <c r="R53" s="208"/>
      <c r="S53" s="208"/>
      <c r="T53" s="218"/>
      <c r="U53" s="214"/>
      <c r="V53" s="214"/>
      <c r="W53" s="214"/>
      <c r="X53" s="214"/>
      <c r="Y53" s="214"/>
      <c r="Z53" s="214"/>
      <c r="AA53" s="207"/>
    </row>
    <row r="54" spans="1:27" s="210" customFormat="1" x14ac:dyDescent="0.25">
      <c r="A54" s="206"/>
      <c r="B54" s="207"/>
      <c r="C54" s="207"/>
      <c r="D54" s="207"/>
      <c r="E54" s="215"/>
      <c r="F54" s="215"/>
      <c r="G54" s="215"/>
      <c r="H54" s="215"/>
      <c r="I54" s="209"/>
      <c r="J54" s="208"/>
      <c r="K54" s="207"/>
      <c r="L54" s="219"/>
      <c r="M54" s="207"/>
      <c r="N54" s="215"/>
      <c r="O54" s="215"/>
      <c r="P54" s="207"/>
      <c r="Q54" s="207"/>
      <c r="R54" s="208"/>
      <c r="S54" s="208"/>
      <c r="T54" s="208"/>
      <c r="U54" s="207"/>
      <c r="V54" s="208"/>
      <c r="W54" s="208"/>
      <c r="X54" s="208"/>
      <c r="Y54" s="208"/>
      <c r="Z54" s="207"/>
      <c r="AA54" s="214"/>
    </row>
    <row r="55" spans="1:27" s="210" customFormat="1" x14ac:dyDescent="0.25">
      <c r="A55" s="206"/>
      <c r="B55" s="207"/>
      <c r="C55" s="214"/>
      <c r="D55" s="214"/>
      <c r="E55" s="214"/>
      <c r="F55" s="214"/>
      <c r="G55" s="214"/>
      <c r="H55" s="214"/>
      <c r="I55" s="209"/>
      <c r="J55" s="214"/>
      <c r="K55" s="214"/>
      <c r="L55" s="214"/>
      <c r="M55" s="214"/>
      <c r="N55" s="215"/>
      <c r="O55" s="215"/>
      <c r="P55" s="214"/>
      <c r="Q55" s="214"/>
      <c r="R55" s="214"/>
      <c r="S55" s="214"/>
      <c r="T55" s="214"/>
      <c r="U55" s="214"/>
      <c r="V55" s="214"/>
      <c r="W55" s="214"/>
      <c r="X55" s="214"/>
      <c r="Y55" s="214"/>
      <c r="Z55" s="214"/>
      <c r="AA55" s="214"/>
    </row>
    <row r="56" spans="1:27" s="210" customFormat="1" x14ac:dyDescent="0.25">
      <c r="A56" s="206"/>
      <c r="B56" s="207"/>
      <c r="C56" s="11"/>
      <c r="D56" s="207"/>
      <c r="E56" s="215"/>
      <c r="F56" s="215"/>
      <c r="G56" s="215"/>
      <c r="H56" s="215"/>
      <c r="I56" s="209"/>
      <c r="J56" s="207"/>
      <c r="K56" s="207"/>
      <c r="L56" s="220"/>
      <c r="M56" s="207"/>
      <c r="N56" s="207"/>
      <c r="O56" s="207"/>
      <c r="P56" s="207"/>
      <c r="Q56" s="207"/>
      <c r="R56" s="208"/>
      <c r="S56" s="208"/>
      <c r="T56" s="208"/>
      <c r="U56" s="208"/>
      <c r="V56" s="208"/>
      <c r="W56" s="208"/>
      <c r="X56" s="208"/>
      <c r="Y56" s="208"/>
      <c r="Z56" s="207"/>
      <c r="AA56" s="207"/>
    </row>
    <row r="57" spans="1:27" s="210" customFormat="1" x14ac:dyDescent="0.25">
      <c r="A57" s="206"/>
      <c r="B57" s="207"/>
      <c r="C57" s="207"/>
      <c r="D57" s="207"/>
      <c r="E57" s="215"/>
      <c r="F57" s="215"/>
      <c r="G57" s="215"/>
      <c r="H57" s="215"/>
      <c r="I57" s="209"/>
      <c r="J57" s="208"/>
      <c r="K57" s="207"/>
      <c r="L57" s="207"/>
      <c r="M57" s="207"/>
      <c r="N57" s="215"/>
      <c r="O57" s="215"/>
      <c r="P57" s="207"/>
      <c r="Q57" s="207"/>
      <c r="R57" s="208"/>
      <c r="S57" s="208"/>
      <c r="T57" s="208"/>
      <c r="U57" s="208"/>
      <c r="V57" s="208"/>
      <c r="W57" s="208"/>
      <c r="X57" s="208"/>
      <c r="Y57" s="208"/>
      <c r="Z57" s="207"/>
      <c r="AA57" s="207"/>
    </row>
    <row r="58" spans="1:27" s="210" customFormat="1" x14ac:dyDescent="0.25">
      <c r="A58" s="206"/>
      <c r="B58" s="207"/>
      <c r="C58" s="207"/>
      <c r="D58" s="207"/>
      <c r="E58" s="207"/>
      <c r="F58" s="214"/>
      <c r="G58" s="214"/>
      <c r="H58" s="214"/>
      <c r="I58" s="209"/>
      <c r="J58" s="208"/>
      <c r="K58" s="207"/>
      <c r="L58" s="207"/>
      <c r="M58" s="207"/>
      <c r="N58" s="215"/>
      <c r="O58" s="215"/>
      <c r="P58" s="207"/>
      <c r="Q58" s="207"/>
      <c r="R58" s="208"/>
      <c r="S58" s="208"/>
      <c r="T58" s="208"/>
      <c r="U58" s="208"/>
      <c r="V58" s="208"/>
      <c r="W58" s="208"/>
      <c r="X58" s="208"/>
      <c r="Y58" s="208"/>
      <c r="Z58" s="207"/>
      <c r="AA58" s="207"/>
    </row>
    <row r="59" spans="1:27" s="210" customFormat="1" x14ac:dyDescent="0.25">
      <c r="A59" s="206"/>
      <c r="B59" s="207"/>
      <c r="C59" s="207"/>
      <c r="D59" s="207"/>
      <c r="E59" s="215"/>
      <c r="F59" s="215"/>
      <c r="G59" s="215"/>
      <c r="H59" s="215"/>
      <c r="I59" s="209"/>
      <c r="J59" s="208"/>
      <c r="K59" s="207"/>
      <c r="L59" s="214"/>
      <c r="M59" s="207"/>
      <c r="N59" s="215"/>
      <c r="O59" s="215"/>
      <c r="P59" s="207"/>
      <c r="Q59" s="207"/>
      <c r="R59" s="208"/>
      <c r="S59" s="208"/>
      <c r="T59" s="208"/>
      <c r="U59" s="208"/>
      <c r="V59" s="208"/>
      <c r="W59" s="208"/>
      <c r="X59" s="208"/>
      <c r="Y59" s="208"/>
      <c r="Z59" s="207"/>
      <c r="AA59" s="207"/>
    </row>
    <row r="60" spans="1:27" s="210" customFormat="1" x14ac:dyDescent="0.25">
      <c r="A60" s="206"/>
      <c r="B60" s="207"/>
      <c r="C60" s="207"/>
      <c r="D60" s="207"/>
      <c r="E60" s="215"/>
      <c r="F60" s="215"/>
      <c r="G60" s="215"/>
      <c r="H60" s="215"/>
      <c r="I60" s="209"/>
      <c r="J60" s="207"/>
      <c r="K60" s="207"/>
      <c r="L60" s="214"/>
      <c r="M60" s="207"/>
      <c r="N60" s="215"/>
      <c r="O60" s="215"/>
      <c r="P60" s="207"/>
      <c r="Q60" s="207"/>
      <c r="R60" s="208"/>
      <c r="S60" s="208"/>
      <c r="T60" s="208"/>
      <c r="U60" s="208"/>
      <c r="V60" s="208"/>
      <c r="W60" s="208"/>
      <c r="X60" s="208"/>
      <c r="Y60" s="208"/>
      <c r="Z60" s="207"/>
      <c r="AA60" s="214"/>
    </row>
    <row r="61" spans="1:27" s="210" customFormat="1" x14ac:dyDescent="0.25">
      <c r="A61" s="206"/>
      <c r="B61" s="207"/>
      <c r="C61" s="207"/>
      <c r="D61" s="207"/>
      <c r="E61" s="215"/>
      <c r="F61" s="215"/>
      <c r="G61" s="215"/>
      <c r="H61" s="215"/>
      <c r="I61" s="209"/>
      <c r="J61" s="207"/>
      <c r="K61" s="207"/>
      <c r="L61" s="214"/>
      <c r="M61" s="207"/>
      <c r="N61" s="215"/>
      <c r="O61" s="215"/>
      <c r="P61" s="207"/>
      <c r="Q61" s="207"/>
      <c r="R61" s="221"/>
      <c r="S61" s="208"/>
      <c r="T61" s="208"/>
      <c r="U61" s="208"/>
      <c r="V61" s="208"/>
      <c r="W61" s="208"/>
      <c r="X61" s="208"/>
      <c r="Y61" s="208"/>
      <c r="Z61" s="207"/>
      <c r="AA61" s="207"/>
    </row>
    <row r="62" spans="1:27" s="210" customFormat="1" x14ac:dyDescent="0.25">
      <c r="A62" s="206"/>
      <c r="B62" s="207"/>
      <c r="C62" s="214"/>
      <c r="D62" s="214"/>
      <c r="E62" s="214"/>
      <c r="F62" s="214"/>
      <c r="G62" s="214"/>
      <c r="H62" s="214"/>
      <c r="I62" s="209"/>
      <c r="J62" s="207"/>
      <c r="K62" s="207"/>
      <c r="L62" s="214"/>
      <c r="M62" s="214"/>
      <c r="N62" s="214"/>
      <c r="O62" s="214"/>
      <c r="P62" s="207"/>
      <c r="Q62" s="207"/>
      <c r="R62" s="214"/>
      <c r="S62" s="207"/>
      <c r="T62" s="207"/>
      <c r="U62" s="207"/>
      <c r="V62" s="207"/>
      <c r="W62" s="207"/>
      <c r="X62" s="207"/>
      <c r="Y62" s="207"/>
      <c r="Z62" s="214"/>
      <c r="AA62" s="214"/>
    </row>
    <row r="63" spans="1:27" s="210" customFormat="1" x14ac:dyDescent="0.25">
      <c r="A63" s="206"/>
      <c r="B63" s="207"/>
      <c r="C63" s="207"/>
      <c r="D63" s="207"/>
      <c r="E63" s="215"/>
      <c r="F63" s="215"/>
      <c r="G63" s="215"/>
      <c r="H63" s="215"/>
      <c r="I63" s="209"/>
      <c r="J63" s="207"/>
      <c r="K63" s="207"/>
      <c r="L63" s="207"/>
      <c r="M63" s="207"/>
      <c r="N63" s="215"/>
      <c r="O63" s="215"/>
      <c r="P63" s="207"/>
      <c r="Q63" s="207"/>
      <c r="R63" s="215"/>
      <c r="S63" s="208"/>
      <c r="T63" s="208"/>
      <c r="U63" s="208"/>
      <c r="V63" s="208"/>
      <c r="W63" s="208"/>
      <c r="X63" s="208"/>
      <c r="Y63" s="208"/>
      <c r="Z63" s="214"/>
      <c r="AA63" s="214"/>
    </row>
    <row r="64" spans="1:27" s="210" customFormat="1" x14ac:dyDescent="0.25">
      <c r="A64" s="206"/>
      <c r="B64" s="207"/>
      <c r="C64" s="207"/>
      <c r="D64" s="207"/>
      <c r="E64" s="215"/>
      <c r="F64" s="215"/>
      <c r="G64" s="215"/>
      <c r="H64" s="215"/>
      <c r="I64" s="209"/>
      <c r="J64" s="207"/>
      <c r="K64" s="207"/>
      <c r="L64" s="207"/>
      <c r="M64" s="207"/>
      <c r="N64" s="215"/>
      <c r="O64" s="215"/>
      <c r="P64" s="207"/>
      <c r="Q64" s="207"/>
      <c r="R64" s="208"/>
      <c r="S64" s="208"/>
      <c r="T64" s="208"/>
      <c r="U64" s="208"/>
      <c r="V64" s="208"/>
      <c r="W64" s="208"/>
      <c r="X64" s="208"/>
      <c r="Y64" s="208"/>
      <c r="Z64" s="207"/>
      <c r="AA64" s="214"/>
    </row>
    <row r="65" spans="1:27" s="210" customFormat="1" x14ac:dyDescent="0.25">
      <c r="A65" s="206"/>
      <c r="B65" s="207"/>
      <c r="C65" s="207"/>
      <c r="D65" s="207"/>
      <c r="E65" s="215"/>
      <c r="F65" s="215"/>
      <c r="G65" s="215"/>
      <c r="H65" s="215"/>
      <c r="I65" s="209"/>
      <c r="J65" s="208"/>
      <c r="K65" s="207"/>
      <c r="L65" s="214"/>
      <c r="M65" s="207"/>
      <c r="N65" s="215"/>
      <c r="O65" s="215"/>
      <c r="P65" s="207"/>
      <c r="Q65" s="207"/>
      <c r="R65" s="208"/>
      <c r="S65" s="208"/>
      <c r="T65" s="208"/>
      <c r="U65" s="208"/>
      <c r="V65" s="208"/>
      <c r="W65" s="208"/>
      <c r="X65" s="208"/>
      <c r="Y65" s="208"/>
      <c r="Z65" s="214"/>
      <c r="AA65" s="207"/>
    </row>
    <row r="66" spans="1:27" s="210" customFormat="1" x14ac:dyDescent="0.25">
      <c r="A66" s="206"/>
      <c r="B66" s="207"/>
      <c r="C66" s="207"/>
      <c r="D66" s="207"/>
      <c r="E66" s="215"/>
      <c r="F66" s="215"/>
      <c r="G66" s="215"/>
      <c r="H66" s="215"/>
      <c r="I66" s="209"/>
      <c r="J66" s="214"/>
      <c r="K66" s="212"/>
      <c r="L66" s="220"/>
      <c r="M66" s="207"/>
      <c r="N66" s="215"/>
      <c r="O66" s="215"/>
      <c r="P66" s="207"/>
      <c r="Q66" s="207"/>
      <c r="R66" s="208"/>
      <c r="S66" s="208"/>
      <c r="T66" s="208"/>
      <c r="U66" s="208"/>
      <c r="V66" s="208"/>
      <c r="W66" s="208"/>
      <c r="X66" s="208"/>
      <c r="Y66" s="208"/>
      <c r="Z66" s="214"/>
      <c r="AA66" s="214"/>
    </row>
    <row r="67" spans="1:27" s="210" customFormat="1" x14ac:dyDescent="0.25">
      <c r="A67" s="206"/>
      <c r="B67" s="207"/>
      <c r="C67" s="207"/>
      <c r="D67" s="212"/>
      <c r="E67" s="215"/>
      <c r="F67" s="215"/>
      <c r="G67" s="215"/>
      <c r="H67" s="215"/>
      <c r="I67" s="209"/>
      <c r="J67" s="214"/>
      <c r="K67" s="214"/>
      <c r="L67" s="220"/>
      <c r="M67" s="207"/>
      <c r="N67" s="215"/>
      <c r="O67" s="215"/>
      <c r="P67" s="207"/>
      <c r="Q67" s="207"/>
      <c r="R67" s="208"/>
      <c r="S67" s="208"/>
      <c r="T67" s="208"/>
      <c r="U67" s="208"/>
      <c r="V67" s="208"/>
      <c r="W67" s="208"/>
      <c r="X67" s="208"/>
      <c r="Y67" s="208"/>
      <c r="Z67" s="207"/>
      <c r="AA67" s="214"/>
    </row>
    <row r="68" spans="1:27" s="210" customFormat="1" x14ac:dyDescent="0.25">
      <c r="A68" s="206"/>
      <c r="B68" s="207"/>
      <c r="C68" s="207"/>
      <c r="D68" s="207"/>
      <c r="E68" s="215"/>
      <c r="F68" s="215"/>
      <c r="G68" s="215"/>
      <c r="H68" s="214"/>
      <c r="I68" s="209"/>
      <c r="J68" s="214"/>
      <c r="K68" s="214"/>
      <c r="L68" s="220"/>
      <c r="M68" s="207"/>
      <c r="N68" s="215"/>
      <c r="O68" s="215"/>
      <c r="P68" s="207"/>
      <c r="Q68" s="207"/>
      <c r="R68" s="208"/>
      <c r="S68" s="208"/>
      <c r="T68" s="208"/>
      <c r="U68" s="208"/>
      <c r="V68" s="207"/>
      <c r="W68" s="207"/>
      <c r="X68" s="208"/>
      <c r="Y68" s="207"/>
      <c r="Z68" s="207"/>
      <c r="AA68" s="214"/>
    </row>
    <row r="69" spans="1:27" s="210" customFormat="1" x14ac:dyDescent="0.25">
      <c r="A69" s="206"/>
      <c r="B69" s="207"/>
      <c r="C69" s="207"/>
      <c r="D69" s="207"/>
      <c r="E69" s="214"/>
      <c r="F69" s="214"/>
      <c r="G69" s="215"/>
      <c r="H69" s="215"/>
      <c r="I69" s="209"/>
      <c r="J69" s="208"/>
      <c r="K69" s="207"/>
      <c r="L69" s="214"/>
      <c r="M69" s="207"/>
      <c r="N69" s="214"/>
      <c r="O69" s="214"/>
      <c r="P69" s="207"/>
      <c r="Q69" s="207"/>
      <c r="R69" s="208"/>
      <c r="S69" s="208"/>
      <c r="T69" s="214"/>
      <c r="U69" s="214"/>
      <c r="V69" s="208"/>
      <c r="W69" s="208"/>
      <c r="X69" s="207"/>
      <c r="Y69" s="208"/>
      <c r="Z69" s="214"/>
      <c r="AA69" s="214"/>
    </row>
    <row r="70" spans="1:27" s="210" customFormat="1" x14ac:dyDescent="0.25">
      <c r="A70" s="206"/>
      <c r="B70" s="207"/>
      <c r="C70" s="207"/>
      <c r="D70" s="207"/>
      <c r="E70" s="208"/>
      <c r="F70" s="208"/>
      <c r="G70" s="208"/>
      <c r="H70" s="208"/>
      <c r="I70" s="209"/>
      <c r="J70" s="214"/>
      <c r="K70" s="214"/>
      <c r="L70" s="214"/>
      <c r="M70" s="207"/>
      <c r="N70" s="215"/>
      <c r="O70" s="215"/>
      <c r="P70" s="214"/>
      <c r="Q70" s="214"/>
      <c r="R70" s="215"/>
      <c r="S70" s="215"/>
      <c r="T70" s="215"/>
      <c r="U70" s="215"/>
      <c r="V70" s="215"/>
      <c r="W70" s="215"/>
      <c r="X70" s="215"/>
      <c r="Y70" s="215"/>
      <c r="Z70" s="214"/>
      <c r="AA70" s="214"/>
    </row>
    <row r="71" spans="1:27" s="210" customFormat="1" x14ac:dyDescent="0.25">
      <c r="A71" s="206"/>
      <c r="B71" s="207"/>
      <c r="C71" s="207"/>
      <c r="D71" s="207"/>
      <c r="E71" s="208"/>
      <c r="F71" s="208"/>
      <c r="G71" s="208"/>
      <c r="H71" s="208"/>
      <c r="I71" s="209"/>
      <c r="J71" s="207"/>
      <c r="K71" s="207"/>
      <c r="L71" s="207"/>
      <c r="M71" s="207"/>
      <c r="N71" s="215"/>
      <c r="O71" s="215"/>
      <c r="P71" s="214"/>
      <c r="Q71" s="214"/>
      <c r="R71" s="215"/>
      <c r="S71" s="215"/>
      <c r="T71" s="215"/>
      <c r="U71" s="215"/>
      <c r="V71" s="215"/>
      <c r="W71" s="215"/>
      <c r="X71" s="215"/>
      <c r="Y71" s="215"/>
      <c r="Z71" s="214"/>
      <c r="AA71" s="214"/>
    </row>
    <row r="72" spans="1:27" s="210" customFormat="1" x14ac:dyDescent="0.25">
      <c r="A72" s="206"/>
      <c r="B72" s="207"/>
      <c r="C72" s="207"/>
      <c r="D72" s="207"/>
      <c r="E72" s="215"/>
      <c r="F72" s="215"/>
      <c r="G72" s="208"/>
      <c r="H72" s="215"/>
      <c r="I72" s="209"/>
      <c r="J72" s="207"/>
      <c r="K72" s="207"/>
      <c r="L72" s="214"/>
      <c r="M72" s="207"/>
      <c r="N72" s="215"/>
      <c r="O72" s="215"/>
      <c r="P72" s="214"/>
      <c r="Q72" s="214"/>
      <c r="R72" s="215"/>
      <c r="S72" s="215"/>
      <c r="T72" s="215"/>
      <c r="U72" s="215"/>
      <c r="V72" s="215"/>
      <c r="W72" s="215"/>
      <c r="X72" s="215"/>
      <c r="Y72" s="215"/>
      <c r="Z72" s="214"/>
      <c r="AA72" s="214"/>
    </row>
    <row r="73" spans="1:27" s="210" customFormat="1" x14ac:dyDescent="0.25">
      <c r="A73" s="206"/>
      <c r="B73" s="207"/>
      <c r="C73" s="207"/>
      <c r="D73" s="207"/>
      <c r="E73" s="215"/>
      <c r="F73" s="215"/>
      <c r="G73" s="215"/>
      <c r="H73" s="215"/>
      <c r="I73" s="209"/>
      <c r="J73" s="208"/>
      <c r="K73" s="207"/>
      <c r="L73" s="207"/>
      <c r="M73" s="207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4"/>
      <c r="AA73" s="214"/>
    </row>
    <row r="74" spans="1:27" s="210" customFormat="1" x14ac:dyDescent="0.25">
      <c r="A74" s="206"/>
      <c r="B74" s="207"/>
      <c r="C74" s="207"/>
      <c r="D74" s="207"/>
      <c r="E74" s="215"/>
      <c r="F74" s="215"/>
      <c r="G74" s="215"/>
      <c r="H74" s="215"/>
      <c r="I74" s="209"/>
      <c r="J74" s="207"/>
      <c r="K74" s="207"/>
      <c r="L74" s="207"/>
      <c r="M74" s="207"/>
      <c r="N74" s="215"/>
      <c r="O74" s="215"/>
      <c r="P74" s="214"/>
      <c r="Q74" s="214"/>
      <c r="R74" s="215"/>
      <c r="S74" s="215"/>
      <c r="T74" s="215"/>
      <c r="U74" s="215"/>
      <c r="V74" s="215"/>
      <c r="W74" s="215"/>
      <c r="X74" s="215"/>
      <c r="Y74" s="215"/>
      <c r="Z74" s="214"/>
      <c r="AA74" s="214"/>
    </row>
    <row r="75" spans="1:27" s="210" customFormat="1" x14ac:dyDescent="0.25">
      <c r="A75" s="206"/>
      <c r="B75" s="207"/>
      <c r="C75" s="207"/>
      <c r="D75" s="207"/>
      <c r="E75" s="215"/>
      <c r="F75" s="215"/>
      <c r="G75" s="215"/>
      <c r="H75" s="215"/>
      <c r="I75" s="209"/>
      <c r="J75" s="207"/>
      <c r="K75" s="207"/>
      <c r="L75" s="207"/>
      <c r="M75" s="207"/>
      <c r="N75" s="215"/>
      <c r="O75" s="215"/>
      <c r="P75" s="214"/>
      <c r="Q75" s="214"/>
      <c r="R75" s="215"/>
      <c r="S75" s="215"/>
      <c r="T75" s="215"/>
      <c r="U75" s="215"/>
      <c r="V75" s="215"/>
      <c r="W75" s="215"/>
      <c r="X75" s="215"/>
      <c r="Y75" s="215"/>
      <c r="Z75" s="214"/>
      <c r="AA75" s="214"/>
    </row>
    <row r="76" spans="1:27" s="210" customFormat="1" x14ac:dyDescent="0.25">
      <c r="A76" s="206"/>
      <c r="B76" s="207"/>
      <c r="C76" s="207"/>
      <c r="D76" s="207"/>
      <c r="E76" s="214"/>
      <c r="F76" s="214"/>
      <c r="G76" s="214"/>
      <c r="H76" s="214"/>
      <c r="I76" s="209"/>
      <c r="J76" s="214"/>
      <c r="K76" s="214"/>
      <c r="L76" s="214"/>
      <c r="M76" s="207"/>
      <c r="N76" s="214"/>
      <c r="O76" s="214"/>
      <c r="P76" s="214"/>
      <c r="Q76" s="214"/>
      <c r="R76" s="214"/>
      <c r="S76" s="214"/>
      <c r="T76" s="214"/>
      <c r="U76" s="214"/>
      <c r="V76" s="214"/>
      <c r="W76" s="214"/>
      <c r="X76" s="214"/>
      <c r="Y76" s="214"/>
      <c r="Z76" s="214"/>
      <c r="AA76" s="214"/>
    </row>
    <row r="77" spans="1:27" s="210" customFormat="1" x14ac:dyDescent="0.25">
      <c r="A77" s="206"/>
      <c r="B77" s="207"/>
      <c r="C77" s="207"/>
      <c r="D77" s="207"/>
      <c r="E77" s="215"/>
      <c r="F77" s="215"/>
      <c r="G77" s="215"/>
      <c r="H77" s="215"/>
      <c r="I77" s="209"/>
      <c r="J77" s="208"/>
      <c r="K77" s="207"/>
      <c r="L77" s="207"/>
      <c r="M77" s="207"/>
      <c r="N77" s="214"/>
      <c r="O77" s="214"/>
      <c r="P77" s="214"/>
      <c r="Q77" s="214"/>
      <c r="R77" s="215"/>
      <c r="S77" s="215"/>
      <c r="T77" s="215"/>
      <c r="U77" s="215"/>
      <c r="V77" s="215"/>
      <c r="W77" s="215"/>
      <c r="X77" s="215"/>
      <c r="Y77" s="215"/>
      <c r="Z77" s="214"/>
      <c r="AA77" s="214"/>
    </row>
    <row r="78" spans="1:27" s="210" customFormat="1" x14ac:dyDescent="0.25">
      <c r="A78" s="206"/>
      <c r="B78" s="207"/>
      <c r="C78" s="207"/>
      <c r="D78" s="207"/>
      <c r="E78" s="215"/>
      <c r="F78" s="215"/>
      <c r="G78" s="215"/>
      <c r="H78" s="215"/>
      <c r="I78" s="209"/>
      <c r="J78" s="208"/>
      <c r="K78" s="207"/>
      <c r="L78" s="207"/>
      <c r="M78" s="207"/>
      <c r="N78" s="215"/>
      <c r="O78" s="215"/>
      <c r="P78" s="214"/>
      <c r="Q78" s="214"/>
      <c r="R78" s="215"/>
      <c r="S78" s="215"/>
      <c r="T78" s="215"/>
      <c r="U78" s="215"/>
      <c r="V78" s="215"/>
      <c r="W78" s="215"/>
      <c r="X78" s="215"/>
      <c r="Y78" s="215"/>
      <c r="Z78" s="214"/>
      <c r="AA78" s="214"/>
    </row>
    <row r="79" spans="1:27" s="210" customFormat="1" x14ac:dyDescent="0.25">
      <c r="A79" s="206"/>
      <c r="B79" s="207"/>
      <c r="C79" s="207"/>
      <c r="D79" s="207"/>
      <c r="E79" s="215"/>
      <c r="F79" s="215"/>
      <c r="G79" s="215"/>
      <c r="H79" s="215"/>
      <c r="I79" s="209"/>
      <c r="J79" s="207"/>
      <c r="K79" s="207"/>
      <c r="L79" s="207"/>
      <c r="M79" s="207"/>
      <c r="N79" s="215"/>
      <c r="O79" s="215"/>
      <c r="P79" s="214"/>
      <c r="Q79" s="214"/>
      <c r="R79" s="215"/>
      <c r="S79" s="215"/>
      <c r="T79" s="215"/>
      <c r="U79" s="215"/>
      <c r="V79" s="215"/>
      <c r="W79" s="215"/>
      <c r="X79" s="215"/>
      <c r="Y79" s="215"/>
      <c r="Z79" s="214"/>
      <c r="AA79" s="214"/>
    </row>
    <row r="80" spans="1:27" s="210" customFormat="1" x14ac:dyDescent="0.25">
      <c r="A80" s="206"/>
      <c r="B80" s="207"/>
      <c r="C80" s="207"/>
      <c r="D80" s="207"/>
      <c r="E80" s="215"/>
      <c r="F80" s="215"/>
      <c r="G80" s="215"/>
      <c r="H80" s="215"/>
      <c r="I80" s="209"/>
      <c r="J80" s="207"/>
      <c r="K80" s="207"/>
      <c r="L80" s="207"/>
      <c r="M80" s="207"/>
      <c r="N80" s="215"/>
      <c r="O80" s="215"/>
      <c r="P80" s="214"/>
      <c r="Q80" s="214"/>
      <c r="R80" s="215"/>
      <c r="S80" s="215"/>
      <c r="T80" s="215"/>
      <c r="U80" s="215"/>
      <c r="V80" s="215"/>
      <c r="W80" s="215"/>
      <c r="X80" s="215"/>
      <c r="Y80" s="215"/>
      <c r="Z80" s="214"/>
      <c r="AA80" s="214"/>
    </row>
    <row r="81" spans="1:27" s="210" customFormat="1" x14ac:dyDescent="0.25">
      <c r="A81" s="206"/>
      <c r="B81" s="207"/>
      <c r="C81" s="207"/>
      <c r="D81" s="207"/>
      <c r="E81" s="215"/>
      <c r="F81" s="215"/>
      <c r="G81" s="215"/>
      <c r="H81" s="215"/>
      <c r="I81" s="209"/>
      <c r="J81" s="208"/>
      <c r="K81" s="207"/>
      <c r="L81" s="207"/>
      <c r="M81" s="207"/>
      <c r="N81" s="215"/>
      <c r="O81" s="215"/>
      <c r="P81" s="214"/>
      <c r="Q81" s="214"/>
      <c r="R81" s="215"/>
      <c r="S81" s="215"/>
      <c r="T81" s="215"/>
      <c r="U81" s="215"/>
      <c r="V81" s="215"/>
      <c r="W81" s="215"/>
      <c r="X81" s="215"/>
      <c r="Y81" s="215"/>
      <c r="Z81" s="214"/>
      <c r="AA81" s="214"/>
    </row>
    <row r="82" spans="1:27" s="210" customFormat="1" x14ac:dyDescent="0.25">
      <c r="A82" s="206"/>
      <c r="B82" s="207"/>
      <c r="C82" s="207"/>
      <c r="D82" s="207"/>
      <c r="E82" s="215"/>
      <c r="F82" s="215"/>
      <c r="G82" s="215"/>
      <c r="H82" s="215"/>
      <c r="I82" s="209"/>
      <c r="J82" s="207"/>
      <c r="K82" s="207"/>
      <c r="L82" s="207"/>
      <c r="M82" s="207"/>
      <c r="N82" s="215"/>
      <c r="O82" s="215"/>
      <c r="P82" s="214"/>
      <c r="Q82" s="214"/>
      <c r="R82" s="215"/>
      <c r="S82" s="215"/>
      <c r="T82" s="215"/>
      <c r="U82" s="215"/>
      <c r="V82" s="215"/>
      <c r="W82" s="215"/>
      <c r="X82" s="215"/>
      <c r="Y82" s="215"/>
      <c r="Z82" s="214"/>
      <c r="AA82" s="214"/>
    </row>
    <row r="83" spans="1:27" s="210" customFormat="1" x14ac:dyDescent="0.25">
      <c r="A83" s="206"/>
      <c r="B83" s="150"/>
    </row>
    <row r="84" spans="1:27" s="210" customFormat="1" x14ac:dyDescent="0.25">
      <c r="A84" s="206"/>
      <c r="B84" s="207"/>
      <c r="C84" s="207"/>
      <c r="D84" s="207"/>
      <c r="E84" s="215"/>
      <c r="F84" s="215"/>
      <c r="G84" s="215"/>
      <c r="H84" s="215"/>
      <c r="I84" s="209"/>
      <c r="J84" s="208"/>
      <c r="K84" s="207"/>
      <c r="L84" s="207"/>
      <c r="M84" s="207"/>
      <c r="N84" s="215"/>
      <c r="O84" s="215"/>
      <c r="P84" s="214"/>
      <c r="Q84" s="214"/>
      <c r="R84" s="215"/>
      <c r="S84" s="215"/>
      <c r="T84" s="215"/>
      <c r="U84" s="215"/>
      <c r="V84" s="215"/>
      <c r="W84" s="215"/>
      <c r="X84" s="215"/>
      <c r="Y84" s="215"/>
      <c r="Z84" s="214"/>
      <c r="AA84" s="214"/>
    </row>
    <row r="85" spans="1:27" s="210" customFormat="1" x14ac:dyDescent="0.25">
      <c r="A85" s="206"/>
      <c r="B85" s="207"/>
      <c r="C85" s="207"/>
      <c r="D85" s="207"/>
      <c r="E85" s="215"/>
      <c r="F85" s="215"/>
      <c r="G85" s="215"/>
      <c r="H85" s="215"/>
      <c r="I85" s="209"/>
      <c r="J85" s="207"/>
      <c r="K85" s="207"/>
      <c r="L85" s="214"/>
      <c r="M85" s="207"/>
      <c r="N85" s="215"/>
      <c r="O85" s="215"/>
      <c r="P85" s="214"/>
      <c r="Q85" s="214"/>
      <c r="R85" s="215"/>
      <c r="S85" s="215"/>
      <c r="T85" s="215"/>
      <c r="U85" s="215"/>
      <c r="V85" s="215"/>
      <c r="W85" s="215"/>
      <c r="X85" s="215"/>
      <c r="Y85" s="215"/>
      <c r="Z85" s="214"/>
      <c r="AA85" s="214"/>
    </row>
    <row r="86" spans="1:27" s="210" customFormat="1" x14ac:dyDescent="0.25">
      <c r="A86" s="206"/>
      <c r="B86" s="207"/>
      <c r="C86" s="207"/>
      <c r="D86" s="207"/>
      <c r="E86" s="215"/>
      <c r="F86" s="215"/>
      <c r="G86" s="215"/>
      <c r="H86" s="215"/>
      <c r="I86" s="209"/>
      <c r="J86" s="208"/>
      <c r="K86" s="207"/>
      <c r="L86" s="214"/>
      <c r="M86" s="207"/>
      <c r="N86" s="215"/>
      <c r="O86" s="215"/>
      <c r="P86" s="214"/>
      <c r="Q86" s="214"/>
      <c r="R86" s="215"/>
      <c r="S86" s="215"/>
      <c r="T86" s="215"/>
      <c r="U86" s="215"/>
      <c r="V86" s="215"/>
      <c r="W86" s="215"/>
      <c r="X86" s="215"/>
      <c r="Y86" s="215"/>
      <c r="Z86" s="214"/>
      <c r="AA86" s="214"/>
    </row>
    <row r="87" spans="1:27" s="210" customFormat="1" x14ac:dyDescent="0.25">
      <c r="A87" s="206"/>
      <c r="B87" s="207"/>
      <c r="C87" s="207"/>
      <c r="D87" s="207"/>
      <c r="E87" s="215"/>
      <c r="F87" s="215"/>
      <c r="G87" s="215"/>
      <c r="H87" s="215"/>
      <c r="I87" s="209"/>
      <c r="J87" s="208"/>
      <c r="K87" s="207"/>
      <c r="L87" s="207"/>
      <c r="M87" s="207"/>
      <c r="N87" s="215"/>
      <c r="O87" s="215"/>
      <c r="P87" s="214"/>
      <c r="Q87" s="214"/>
      <c r="R87" s="215"/>
      <c r="S87" s="215"/>
      <c r="T87" s="215"/>
      <c r="U87" s="215"/>
      <c r="V87" s="215"/>
      <c r="W87" s="215"/>
      <c r="X87" s="215"/>
      <c r="Y87" s="215"/>
      <c r="Z87" s="214"/>
      <c r="AA87" s="214"/>
    </row>
    <row r="88" spans="1:27" s="210" customFormat="1" x14ac:dyDescent="0.25">
      <c r="A88" s="206"/>
      <c r="B88" s="207"/>
      <c r="C88" s="207"/>
      <c r="D88" s="207"/>
      <c r="E88" s="215"/>
      <c r="F88" s="215"/>
      <c r="G88" s="215"/>
      <c r="H88" s="215"/>
      <c r="I88" s="209"/>
      <c r="J88" s="208"/>
      <c r="K88" s="207"/>
      <c r="L88" s="207"/>
      <c r="M88" s="207"/>
      <c r="N88" s="214"/>
      <c r="O88" s="214"/>
      <c r="P88" s="214"/>
      <c r="Q88" s="214"/>
      <c r="R88" s="215"/>
      <c r="S88" s="215"/>
      <c r="T88" s="215"/>
      <c r="U88" s="215"/>
      <c r="V88" s="215"/>
      <c r="W88" s="215"/>
      <c r="X88" s="215"/>
      <c r="Y88" s="215"/>
      <c r="Z88" s="214"/>
      <c r="AA88" s="214"/>
    </row>
    <row r="89" spans="1:27" s="210" customFormat="1" x14ac:dyDescent="0.25">
      <c r="A89" s="206"/>
      <c r="B89" s="207"/>
      <c r="C89" s="207"/>
      <c r="D89" s="207"/>
      <c r="E89" s="222"/>
      <c r="F89" s="215"/>
      <c r="G89" s="215"/>
      <c r="H89" s="215"/>
      <c r="I89" s="209"/>
      <c r="J89" s="215"/>
      <c r="K89" s="214"/>
      <c r="L89" s="214"/>
      <c r="M89" s="207"/>
      <c r="N89" s="215"/>
      <c r="O89" s="215"/>
      <c r="P89" s="214"/>
      <c r="Q89" s="214"/>
      <c r="R89" s="215"/>
      <c r="S89" s="215"/>
      <c r="T89" s="215"/>
      <c r="U89" s="215"/>
      <c r="V89" s="215"/>
      <c r="W89" s="215"/>
      <c r="X89" s="215"/>
      <c r="Y89" s="215"/>
      <c r="Z89" s="214"/>
      <c r="AA89" s="214"/>
    </row>
    <row r="90" spans="1:27" s="210" customFormat="1" x14ac:dyDescent="0.25">
      <c r="A90" s="206"/>
      <c r="B90" s="207"/>
      <c r="C90" s="207"/>
      <c r="D90" s="207"/>
      <c r="E90" s="214"/>
      <c r="F90" s="214"/>
      <c r="G90" s="214"/>
      <c r="H90" s="214"/>
      <c r="I90" s="209"/>
      <c r="J90" s="214"/>
      <c r="K90" s="214"/>
      <c r="L90" s="214"/>
      <c r="M90" s="207"/>
      <c r="N90" s="214"/>
      <c r="O90" s="214"/>
      <c r="P90" s="214"/>
      <c r="Q90" s="214"/>
      <c r="R90" s="214"/>
      <c r="S90" s="214"/>
      <c r="T90" s="214"/>
      <c r="U90" s="214"/>
      <c r="V90" s="214"/>
      <c r="W90" s="214"/>
      <c r="X90" s="214"/>
      <c r="Y90" s="214"/>
      <c r="Z90" s="214"/>
      <c r="AA90" s="214"/>
    </row>
    <row r="91" spans="1:27" s="210" customFormat="1" x14ac:dyDescent="0.25">
      <c r="A91" s="206"/>
      <c r="B91" s="207"/>
      <c r="C91" s="207"/>
      <c r="D91" s="207"/>
      <c r="E91" s="215"/>
      <c r="F91" s="215"/>
      <c r="G91" s="215"/>
      <c r="H91" s="215"/>
      <c r="I91" s="209"/>
      <c r="J91" s="208"/>
      <c r="K91" s="207"/>
      <c r="L91" s="214"/>
      <c r="M91" s="207"/>
      <c r="N91" s="215"/>
      <c r="O91" s="215"/>
      <c r="P91" s="214"/>
      <c r="Q91" s="214"/>
      <c r="R91" s="215"/>
      <c r="S91" s="215"/>
      <c r="T91" s="215"/>
      <c r="U91" s="215"/>
      <c r="V91" s="215"/>
      <c r="W91" s="215"/>
      <c r="X91" s="215"/>
      <c r="Y91" s="215"/>
      <c r="Z91" s="214"/>
      <c r="AA91" s="214"/>
    </row>
    <row r="92" spans="1:27" s="210" customFormat="1" x14ac:dyDescent="0.25">
      <c r="A92" s="206"/>
      <c r="B92" s="207"/>
      <c r="C92" s="207"/>
      <c r="D92" s="207"/>
      <c r="E92" s="215"/>
      <c r="F92" s="215"/>
      <c r="G92" s="215"/>
      <c r="H92" s="215"/>
      <c r="I92" s="209"/>
      <c r="J92" s="208"/>
      <c r="K92" s="207"/>
      <c r="L92" s="214"/>
      <c r="M92" s="207"/>
      <c r="N92" s="215"/>
      <c r="O92" s="215"/>
      <c r="P92" s="214"/>
      <c r="Q92" s="214"/>
      <c r="R92" s="215"/>
      <c r="S92" s="215"/>
      <c r="T92" s="215"/>
      <c r="U92" s="215"/>
      <c r="V92" s="215"/>
      <c r="W92" s="215"/>
      <c r="X92" s="215"/>
      <c r="Y92" s="215"/>
      <c r="Z92" s="214"/>
      <c r="AA92" s="214"/>
    </row>
    <row r="93" spans="1:27" s="210" customFormat="1" x14ac:dyDescent="0.25">
      <c r="A93" s="206"/>
      <c r="B93" s="207"/>
      <c r="C93" s="207"/>
      <c r="D93" s="207"/>
      <c r="E93" s="215"/>
      <c r="F93" s="215"/>
      <c r="G93" s="215"/>
      <c r="H93" s="215"/>
      <c r="I93" s="209"/>
      <c r="J93" s="208"/>
      <c r="K93" s="207"/>
      <c r="L93" s="214"/>
      <c r="M93" s="207"/>
      <c r="N93" s="215"/>
      <c r="O93" s="215"/>
      <c r="P93" s="214"/>
      <c r="Q93" s="214"/>
      <c r="R93" s="215"/>
      <c r="S93" s="215"/>
      <c r="T93" s="215"/>
      <c r="U93" s="215"/>
      <c r="V93" s="215"/>
      <c r="W93" s="215"/>
      <c r="X93" s="215"/>
      <c r="Y93" s="215"/>
      <c r="Z93" s="214"/>
      <c r="AA93" s="214"/>
    </row>
    <row r="94" spans="1:27" s="210" customFormat="1" x14ac:dyDescent="0.25">
      <c r="A94" s="206"/>
      <c r="B94" s="207"/>
      <c r="C94" s="207"/>
      <c r="D94" s="207"/>
      <c r="E94" s="215"/>
      <c r="F94" s="215"/>
      <c r="G94" s="215"/>
      <c r="H94" s="215"/>
      <c r="I94" s="209"/>
      <c r="J94" s="207"/>
      <c r="K94" s="207"/>
      <c r="L94" s="214"/>
      <c r="M94" s="207"/>
      <c r="N94" s="215"/>
      <c r="O94" s="215"/>
      <c r="P94" s="214"/>
      <c r="Q94" s="214"/>
      <c r="R94" s="215"/>
      <c r="S94" s="215"/>
      <c r="T94" s="215"/>
      <c r="U94" s="215"/>
      <c r="V94" s="215"/>
      <c r="W94" s="215"/>
      <c r="X94" s="215"/>
      <c r="Y94" s="215"/>
      <c r="Z94" s="214"/>
      <c r="AA94" s="214"/>
    </row>
    <row r="95" spans="1:27" s="210" customFormat="1" x14ac:dyDescent="0.25">
      <c r="A95" s="206"/>
      <c r="B95" s="207"/>
      <c r="C95" s="207"/>
      <c r="D95" s="207"/>
      <c r="E95" s="215"/>
      <c r="F95" s="215"/>
      <c r="G95" s="215"/>
      <c r="H95" s="215"/>
      <c r="I95" s="209"/>
      <c r="J95" s="207"/>
      <c r="K95" s="207"/>
      <c r="L95" s="214"/>
      <c r="M95" s="207"/>
      <c r="N95" s="215"/>
      <c r="O95" s="215"/>
      <c r="P95" s="214"/>
      <c r="Q95" s="214"/>
      <c r="R95" s="215"/>
      <c r="S95" s="215"/>
      <c r="T95" s="215"/>
      <c r="U95" s="215"/>
      <c r="V95" s="215"/>
      <c r="W95" s="215"/>
      <c r="X95" s="215"/>
      <c r="Y95" s="215"/>
      <c r="Z95" s="214"/>
      <c r="AA95" s="214"/>
    </row>
    <row r="96" spans="1:27" s="210" customFormat="1" x14ac:dyDescent="0.25">
      <c r="A96" s="206"/>
      <c r="B96" s="207"/>
      <c r="C96" s="207"/>
      <c r="D96" s="207"/>
      <c r="E96" s="208"/>
      <c r="F96" s="208"/>
      <c r="G96" s="208"/>
      <c r="H96" s="208"/>
      <c r="I96" s="209"/>
      <c r="J96" s="208"/>
      <c r="K96" s="207"/>
      <c r="L96" s="214"/>
      <c r="M96" s="207"/>
      <c r="N96" s="214"/>
      <c r="O96" s="214"/>
      <c r="P96" s="214"/>
      <c r="Q96" s="214"/>
      <c r="R96" s="215"/>
      <c r="S96" s="215"/>
      <c r="T96" s="215"/>
      <c r="U96" s="215"/>
      <c r="V96" s="214"/>
      <c r="W96" s="214"/>
      <c r="X96" s="215"/>
      <c r="Y96" s="215"/>
      <c r="Z96" s="214"/>
      <c r="AA96" s="214"/>
    </row>
    <row r="97" spans="1:27" s="210" customFormat="1" x14ac:dyDescent="0.25">
      <c r="A97" s="206"/>
      <c r="B97" s="207"/>
      <c r="C97" s="207"/>
      <c r="D97" s="207"/>
      <c r="E97" s="214"/>
      <c r="F97" s="214"/>
      <c r="G97" s="215"/>
      <c r="H97" s="215"/>
      <c r="I97" s="209"/>
      <c r="J97" s="208"/>
      <c r="K97" s="207"/>
      <c r="L97" s="214"/>
      <c r="M97" s="207"/>
      <c r="N97" s="215"/>
      <c r="O97" s="215"/>
      <c r="P97" s="214"/>
      <c r="Q97" s="214"/>
      <c r="R97" s="215"/>
      <c r="S97" s="215"/>
      <c r="T97" s="215"/>
      <c r="U97" s="215"/>
      <c r="V97" s="215"/>
      <c r="W97" s="215"/>
      <c r="X97" s="214"/>
      <c r="Y97" s="214"/>
      <c r="Z97" s="214"/>
      <c r="AA97" s="214"/>
    </row>
    <row r="98" spans="1:27" s="210" customFormat="1" x14ac:dyDescent="0.25">
      <c r="A98" s="206"/>
      <c r="B98" s="207"/>
      <c r="C98" s="207"/>
      <c r="D98" s="207"/>
      <c r="E98" s="215"/>
      <c r="F98" s="215"/>
      <c r="G98" s="215"/>
      <c r="H98" s="215"/>
      <c r="I98" s="209"/>
      <c r="J98" s="208"/>
      <c r="K98" s="207"/>
      <c r="L98" s="214"/>
      <c r="M98" s="207"/>
      <c r="N98" s="214"/>
      <c r="O98" s="214"/>
      <c r="P98" s="214"/>
      <c r="Q98" s="214"/>
      <c r="R98" s="215"/>
      <c r="S98" s="215"/>
      <c r="T98" s="215"/>
      <c r="U98" s="215"/>
      <c r="V98" s="215"/>
      <c r="W98" s="215"/>
      <c r="X98" s="215"/>
      <c r="Y98" s="215"/>
      <c r="Z98" s="214"/>
      <c r="AA98" s="214"/>
    </row>
    <row r="99" spans="1:27" s="210" customFormat="1" x14ac:dyDescent="0.25">
      <c r="A99" s="206"/>
      <c r="B99" s="207"/>
      <c r="C99" s="207"/>
      <c r="D99" s="207"/>
      <c r="E99" s="215"/>
      <c r="F99" s="215"/>
      <c r="G99" s="215"/>
      <c r="H99" s="215"/>
      <c r="I99" s="209"/>
      <c r="J99" s="207"/>
      <c r="K99" s="207"/>
      <c r="L99" s="214"/>
      <c r="M99" s="207"/>
      <c r="N99" s="215"/>
      <c r="O99" s="215"/>
      <c r="P99" s="214"/>
      <c r="Q99" s="214"/>
      <c r="R99" s="215"/>
      <c r="S99" s="215"/>
      <c r="T99" s="215"/>
      <c r="U99" s="215"/>
      <c r="V99" s="215"/>
      <c r="W99" s="215"/>
      <c r="X99" s="215"/>
      <c r="Y99" s="215"/>
      <c r="Z99" s="214"/>
      <c r="AA99" s="214"/>
    </row>
    <row r="100" spans="1:27" s="210" customFormat="1" x14ac:dyDescent="0.25">
      <c r="A100" s="206"/>
      <c r="B100" s="207"/>
      <c r="C100" s="207"/>
      <c r="D100" s="207"/>
      <c r="E100" s="215"/>
      <c r="F100" s="215"/>
      <c r="G100" s="215"/>
      <c r="H100" s="215"/>
      <c r="I100" s="209"/>
      <c r="J100" s="208"/>
      <c r="K100" s="207"/>
      <c r="L100" s="214"/>
      <c r="M100" s="207"/>
      <c r="N100" s="214"/>
      <c r="O100" s="214"/>
      <c r="P100" s="214"/>
      <c r="Q100" s="214"/>
      <c r="R100" s="215"/>
      <c r="S100" s="215"/>
      <c r="T100" s="215"/>
      <c r="U100" s="215"/>
      <c r="V100" s="215"/>
      <c r="W100" s="215"/>
      <c r="X100" s="215"/>
      <c r="Y100" s="215"/>
      <c r="Z100" s="214"/>
      <c r="AA100" s="214"/>
    </row>
    <row r="101" spans="1:27" s="210" customFormat="1" x14ac:dyDescent="0.25">
      <c r="A101" s="206"/>
      <c r="B101" s="207"/>
      <c r="C101" s="207"/>
      <c r="D101" s="207"/>
      <c r="E101" s="215"/>
      <c r="F101" s="215"/>
      <c r="G101" s="215"/>
      <c r="H101" s="215"/>
      <c r="I101" s="209"/>
      <c r="J101" s="207"/>
      <c r="K101" s="207"/>
      <c r="L101" s="214"/>
      <c r="M101" s="207"/>
      <c r="N101" s="214"/>
      <c r="O101" s="214"/>
      <c r="P101" s="214"/>
      <c r="Q101" s="214"/>
      <c r="R101" s="215"/>
      <c r="S101" s="215"/>
      <c r="T101" s="215"/>
      <c r="U101" s="215"/>
      <c r="V101" s="215"/>
      <c r="W101" s="215"/>
      <c r="X101" s="215"/>
      <c r="Y101" s="215"/>
      <c r="Z101" s="214"/>
      <c r="AA101" s="214"/>
    </row>
    <row r="102" spans="1:27" s="210" customFormat="1" x14ac:dyDescent="0.25">
      <c r="A102" s="206"/>
      <c r="B102" s="207"/>
      <c r="C102" s="207"/>
      <c r="D102" s="207"/>
      <c r="E102" s="215"/>
      <c r="F102" s="215"/>
      <c r="G102" s="215"/>
      <c r="H102" s="215"/>
      <c r="I102" s="209"/>
      <c r="J102" s="207"/>
      <c r="K102" s="207"/>
      <c r="L102" s="214"/>
      <c r="M102" s="207"/>
      <c r="N102" s="214"/>
      <c r="O102" s="214"/>
      <c r="P102" s="214"/>
      <c r="Q102" s="214"/>
      <c r="R102" s="215"/>
      <c r="S102" s="215"/>
      <c r="T102" s="215"/>
      <c r="U102" s="215"/>
      <c r="V102" s="215"/>
      <c r="W102" s="215"/>
      <c r="X102" s="215"/>
      <c r="Y102" s="215"/>
      <c r="Z102" s="214"/>
      <c r="AA102" s="214"/>
    </row>
    <row r="103" spans="1:27" s="210" customFormat="1" x14ac:dyDescent="0.25">
      <c r="A103" s="206"/>
      <c r="B103" s="207"/>
      <c r="C103" s="207"/>
      <c r="D103" s="207"/>
      <c r="E103" s="215"/>
      <c r="F103" s="215"/>
      <c r="G103" s="223"/>
      <c r="H103" s="223"/>
      <c r="I103" s="209"/>
      <c r="J103" s="207"/>
      <c r="K103" s="207"/>
      <c r="L103" s="214"/>
      <c r="M103" s="207"/>
      <c r="N103" s="215"/>
      <c r="O103" s="215"/>
      <c r="P103" s="214"/>
      <c r="Q103" s="214"/>
      <c r="R103" s="215"/>
      <c r="S103" s="215"/>
      <c r="T103" s="215"/>
      <c r="U103" s="215"/>
      <c r="V103" s="215"/>
      <c r="W103" s="215"/>
      <c r="X103" s="215"/>
      <c r="Y103" s="215"/>
      <c r="Z103" s="214"/>
      <c r="AA103" s="214"/>
    </row>
    <row r="104" spans="1:27" s="210" customFormat="1" x14ac:dyDescent="0.25">
      <c r="A104" s="206"/>
      <c r="B104" s="207"/>
      <c r="C104" s="207"/>
      <c r="D104" s="207"/>
      <c r="E104" s="214"/>
      <c r="F104" s="214"/>
      <c r="G104" s="215"/>
      <c r="H104" s="215"/>
      <c r="I104" s="209"/>
      <c r="J104" s="214"/>
      <c r="K104" s="214"/>
      <c r="L104" s="214"/>
      <c r="M104" s="207"/>
      <c r="N104" s="214"/>
      <c r="O104" s="214"/>
      <c r="P104" s="214"/>
      <c r="Q104" s="214"/>
      <c r="R104" s="214"/>
      <c r="S104" s="214"/>
      <c r="T104" s="214"/>
      <c r="U104" s="214"/>
      <c r="V104" s="215"/>
      <c r="W104" s="215"/>
      <c r="X104" s="214"/>
      <c r="Y104" s="215"/>
      <c r="Z104" s="214"/>
      <c r="AA104" s="214"/>
    </row>
    <row r="105" spans="1:27" s="210" customFormat="1" x14ac:dyDescent="0.25">
      <c r="A105" s="206"/>
      <c r="B105" s="207"/>
      <c r="C105" s="214"/>
      <c r="D105" s="207"/>
      <c r="E105" s="215"/>
      <c r="F105" s="215"/>
      <c r="G105" s="215"/>
      <c r="H105" s="215"/>
      <c r="I105" s="209"/>
      <c r="J105" s="215"/>
      <c r="K105" s="214"/>
      <c r="L105" s="214"/>
      <c r="M105" s="214"/>
      <c r="N105" s="214"/>
      <c r="O105" s="214"/>
      <c r="P105" s="214"/>
      <c r="Q105" s="214"/>
      <c r="R105" s="215"/>
      <c r="S105" s="215"/>
      <c r="T105" s="215"/>
      <c r="U105" s="215"/>
      <c r="V105" s="215"/>
      <c r="W105" s="215"/>
      <c r="X105" s="215"/>
      <c r="Y105" s="215"/>
      <c r="Z105" s="214"/>
      <c r="AA105" s="214"/>
    </row>
    <row r="106" spans="1:27" s="210" customFormat="1" x14ac:dyDescent="0.25">
      <c r="A106" s="206"/>
      <c r="B106" s="207"/>
      <c r="C106" s="214"/>
      <c r="D106" s="207"/>
      <c r="E106" s="214"/>
      <c r="F106" s="214"/>
      <c r="G106" s="214"/>
      <c r="H106" s="214"/>
      <c r="I106" s="209"/>
      <c r="J106" s="214"/>
      <c r="K106" s="214"/>
      <c r="L106" s="214"/>
      <c r="M106" s="214"/>
      <c r="N106" s="214"/>
      <c r="O106" s="214"/>
      <c r="P106" s="214"/>
      <c r="Q106" s="214"/>
      <c r="R106" s="215"/>
      <c r="S106" s="215"/>
      <c r="T106" s="214"/>
      <c r="U106" s="214"/>
      <c r="V106" s="214"/>
      <c r="W106" s="214"/>
      <c r="X106" s="214"/>
      <c r="Y106" s="214"/>
      <c r="Z106" s="214"/>
      <c r="AA106" s="214"/>
    </row>
    <row r="107" spans="1:27" s="210" customFormat="1" x14ac:dyDescent="0.25">
      <c r="A107" s="206"/>
      <c r="B107" s="207"/>
      <c r="C107" s="214"/>
      <c r="D107" s="207"/>
      <c r="E107" s="215"/>
      <c r="F107" s="215"/>
      <c r="G107" s="215"/>
      <c r="H107" s="215"/>
      <c r="I107" s="209"/>
      <c r="J107" s="214"/>
      <c r="K107" s="214"/>
      <c r="L107" s="214"/>
      <c r="M107" s="214"/>
      <c r="N107" s="214"/>
      <c r="O107" s="214"/>
      <c r="P107" s="214"/>
      <c r="Q107" s="214"/>
      <c r="R107" s="215"/>
      <c r="S107" s="215"/>
      <c r="T107" s="215"/>
      <c r="U107" s="215"/>
      <c r="V107" s="215"/>
      <c r="W107" s="215"/>
      <c r="X107" s="215"/>
      <c r="Y107" s="215"/>
      <c r="Z107" s="214"/>
      <c r="AA107" s="214"/>
    </row>
    <row r="108" spans="1:27" s="210" customFormat="1" x14ac:dyDescent="0.25">
      <c r="A108" s="206"/>
      <c r="B108" s="207"/>
      <c r="C108" s="214"/>
      <c r="D108" s="207"/>
      <c r="E108" s="215"/>
      <c r="F108" s="215"/>
      <c r="G108" s="215"/>
      <c r="H108" s="215"/>
      <c r="I108" s="209"/>
      <c r="J108" s="215"/>
      <c r="K108" s="214"/>
      <c r="L108" s="214"/>
      <c r="M108" s="214"/>
      <c r="N108" s="214"/>
      <c r="O108" s="214"/>
      <c r="P108" s="214"/>
      <c r="Q108" s="214"/>
      <c r="R108" s="215"/>
      <c r="S108" s="215"/>
      <c r="T108" s="215"/>
      <c r="U108" s="215"/>
      <c r="V108" s="215"/>
      <c r="W108" s="215"/>
      <c r="X108" s="215"/>
      <c r="Y108" s="215"/>
      <c r="Z108" s="214"/>
      <c r="AA108" s="214"/>
    </row>
    <row r="109" spans="1:27" s="210" customFormat="1" x14ac:dyDescent="0.25">
      <c r="A109" s="206"/>
      <c r="B109" s="207"/>
      <c r="C109" s="214"/>
      <c r="D109" s="207"/>
      <c r="E109" s="215"/>
      <c r="F109" s="215"/>
      <c r="G109" s="215"/>
      <c r="H109" s="215"/>
      <c r="I109" s="209"/>
      <c r="J109" s="214"/>
      <c r="K109" s="214"/>
      <c r="L109" s="214"/>
      <c r="M109" s="214"/>
      <c r="N109" s="215"/>
      <c r="O109" s="215"/>
      <c r="P109" s="214"/>
      <c r="Q109" s="214"/>
      <c r="R109" s="215"/>
      <c r="S109" s="215"/>
      <c r="T109" s="215"/>
      <c r="U109" s="215"/>
      <c r="V109" s="215"/>
      <c r="W109" s="215"/>
      <c r="X109" s="215"/>
      <c r="Y109" s="215"/>
      <c r="Z109" s="214"/>
      <c r="AA109" s="214"/>
    </row>
    <row r="110" spans="1:27" s="210" customFormat="1" x14ac:dyDescent="0.25">
      <c r="A110" s="206"/>
      <c r="B110" s="207"/>
      <c r="C110" s="214"/>
      <c r="D110" s="207"/>
      <c r="E110" s="215"/>
      <c r="F110" s="215"/>
      <c r="G110" s="215"/>
      <c r="H110" s="215"/>
      <c r="I110" s="209"/>
      <c r="J110" s="214"/>
      <c r="K110" s="214"/>
      <c r="L110" s="214"/>
      <c r="M110" s="214"/>
      <c r="N110" s="214"/>
      <c r="O110" s="214"/>
      <c r="P110" s="214"/>
      <c r="Q110" s="214"/>
      <c r="R110" s="215"/>
      <c r="S110" s="215"/>
      <c r="T110" s="215"/>
      <c r="U110" s="215"/>
      <c r="V110" s="215"/>
      <c r="W110" s="215"/>
      <c r="X110" s="215"/>
      <c r="Y110" s="215"/>
      <c r="Z110" s="214"/>
      <c r="AA110" s="214"/>
    </row>
    <row r="111" spans="1:27" s="210" customFormat="1" x14ac:dyDescent="0.25">
      <c r="A111" s="206"/>
      <c r="B111" s="207"/>
      <c r="C111" s="214"/>
      <c r="D111" s="207"/>
      <c r="E111" s="215"/>
      <c r="F111" s="215"/>
      <c r="G111" s="215"/>
      <c r="H111" s="215"/>
      <c r="I111" s="209"/>
      <c r="J111" s="214"/>
      <c r="K111" s="214"/>
      <c r="L111" s="214"/>
      <c r="M111" s="214"/>
      <c r="N111" s="214"/>
      <c r="O111" s="214"/>
      <c r="P111" s="214"/>
      <c r="Q111" s="214"/>
      <c r="R111" s="215"/>
      <c r="S111" s="215"/>
      <c r="T111" s="215"/>
      <c r="U111" s="215"/>
      <c r="V111" s="215"/>
      <c r="W111" s="215"/>
      <c r="X111" s="215"/>
      <c r="Y111" s="215"/>
      <c r="Z111" s="214"/>
      <c r="AA111" s="214"/>
    </row>
    <row r="112" spans="1:27" s="210" customFormat="1" x14ac:dyDescent="0.25">
      <c r="A112" s="206"/>
      <c r="B112" s="207"/>
      <c r="C112" s="214"/>
      <c r="D112" s="207"/>
      <c r="E112" s="215"/>
      <c r="F112" s="215"/>
      <c r="G112" s="215"/>
      <c r="H112" s="215"/>
      <c r="I112" s="209"/>
      <c r="J112" s="214"/>
      <c r="K112" s="214"/>
      <c r="L112" s="214"/>
      <c r="M112" s="214"/>
      <c r="N112" s="214"/>
      <c r="O112" s="214"/>
      <c r="P112" s="214"/>
      <c r="Q112" s="214"/>
      <c r="R112" s="215"/>
      <c r="S112" s="215"/>
      <c r="T112" s="215"/>
      <c r="U112" s="215"/>
      <c r="V112" s="215"/>
      <c r="W112" s="215"/>
      <c r="X112" s="215"/>
      <c r="Y112" s="215"/>
      <c r="Z112" s="214"/>
      <c r="AA112" s="214"/>
    </row>
    <row r="113" spans="1:27" s="210" customFormat="1" x14ac:dyDescent="0.25">
      <c r="A113" s="206"/>
      <c r="B113" s="207"/>
      <c r="C113" s="214"/>
      <c r="D113" s="207"/>
      <c r="E113" s="214"/>
      <c r="F113" s="214"/>
      <c r="G113" s="214"/>
      <c r="H113" s="214"/>
      <c r="I113" s="209"/>
      <c r="J113" s="214"/>
      <c r="K113" s="214"/>
      <c r="L113" s="214"/>
      <c r="M113" s="214"/>
      <c r="N113" s="214"/>
      <c r="O113" s="214"/>
      <c r="P113" s="214"/>
      <c r="Q113" s="214"/>
      <c r="R113" s="214"/>
      <c r="S113" s="214"/>
      <c r="T113" s="214"/>
      <c r="U113" s="214"/>
      <c r="V113" s="214"/>
      <c r="W113" s="214"/>
      <c r="X113" s="214"/>
      <c r="Y113" s="214"/>
      <c r="Z113" s="214"/>
      <c r="AA113" s="214"/>
    </row>
    <row r="114" spans="1:27" s="210" customFormat="1" x14ac:dyDescent="0.25">
      <c r="A114" s="206"/>
      <c r="B114" s="207"/>
      <c r="C114" s="214"/>
      <c r="D114" s="207"/>
      <c r="E114" s="215"/>
      <c r="F114" s="215"/>
      <c r="G114" s="215"/>
      <c r="H114" s="215"/>
      <c r="I114" s="209"/>
      <c r="J114" s="214"/>
      <c r="K114" s="214"/>
      <c r="L114" s="214"/>
      <c r="M114" s="214"/>
      <c r="N114" s="214"/>
      <c r="O114" s="214"/>
      <c r="P114" s="214"/>
      <c r="Q114" s="214"/>
      <c r="R114" s="215"/>
      <c r="S114" s="215"/>
      <c r="T114" s="215"/>
      <c r="U114" s="215"/>
      <c r="V114" s="215"/>
      <c r="W114" s="215"/>
      <c r="X114" s="215"/>
      <c r="Y114" s="215"/>
      <c r="Z114" s="214"/>
      <c r="AA114" s="214"/>
    </row>
    <row r="115" spans="1:27" s="210" customFormat="1" x14ac:dyDescent="0.25">
      <c r="A115" s="206"/>
      <c r="B115" s="207"/>
      <c r="C115" s="214"/>
      <c r="D115" s="207"/>
      <c r="E115" s="215"/>
      <c r="F115" s="215"/>
      <c r="G115" s="215"/>
      <c r="H115" s="215"/>
      <c r="I115" s="209"/>
      <c r="J115" s="214"/>
      <c r="K115" s="214"/>
      <c r="L115" s="214"/>
      <c r="M115" s="214"/>
      <c r="N115" s="214"/>
      <c r="O115" s="214"/>
      <c r="P115" s="214"/>
      <c r="Q115" s="214"/>
      <c r="R115" s="215"/>
      <c r="S115" s="215"/>
      <c r="T115" s="215"/>
      <c r="U115" s="215"/>
      <c r="V115" s="215"/>
      <c r="W115" s="215"/>
      <c r="X115" s="215"/>
      <c r="Y115" s="215"/>
      <c r="Z115" s="214"/>
      <c r="AA115" s="214"/>
    </row>
    <row r="116" spans="1:27" s="210" customFormat="1" x14ac:dyDescent="0.25">
      <c r="A116" s="206"/>
      <c r="B116" s="207"/>
      <c r="C116" s="214"/>
      <c r="D116" s="207"/>
      <c r="E116" s="215"/>
      <c r="F116" s="215"/>
      <c r="G116" s="215"/>
      <c r="H116" s="215"/>
      <c r="I116" s="209"/>
      <c r="J116" s="214"/>
      <c r="K116" s="214"/>
      <c r="L116" s="214"/>
      <c r="M116" s="214"/>
      <c r="N116" s="215"/>
      <c r="O116" s="215"/>
      <c r="P116" s="214"/>
      <c r="Q116" s="214"/>
      <c r="R116" s="215"/>
      <c r="S116" s="215"/>
      <c r="T116" s="215"/>
      <c r="U116" s="215"/>
      <c r="V116" s="215"/>
      <c r="W116" s="215"/>
      <c r="X116" s="215"/>
      <c r="Y116" s="215"/>
      <c r="Z116" s="214"/>
      <c r="AA116" s="214"/>
    </row>
    <row r="117" spans="1:27" s="210" customFormat="1" x14ac:dyDescent="0.25">
      <c r="A117" s="206"/>
      <c r="B117" s="207"/>
      <c r="C117" s="214"/>
      <c r="D117" s="207"/>
      <c r="E117" s="215"/>
      <c r="F117" s="215"/>
      <c r="G117" s="215"/>
      <c r="H117" s="215"/>
      <c r="I117" s="209"/>
      <c r="J117" s="215"/>
      <c r="K117" s="214"/>
      <c r="L117" s="214"/>
      <c r="M117" s="214"/>
      <c r="N117" s="215"/>
      <c r="O117" s="215"/>
      <c r="P117" s="214"/>
      <c r="Q117" s="214"/>
      <c r="R117" s="215"/>
      <c r="S117" s="215"/>
      <c r="T117" s="215"/>
      <c r="U117" s="215"/>
      <c r="V117" s="215"/>
      <c r="W117" s="215"/>
      <c r="X117" s="215"/>
      <c r="Y117" s="215"/>
      <c r="Z117" s="214"/>
      <c r="AA117" s="214"/>
    </row>
    <row r="118" spans="1:27" s="210" customFormat="1" x14ac:dyDescent="0.25">
      <c r="A118" s="206"/>
      <c r="B118" s="207"/>
      <c r="C118" s="214"/>
      <c r="D118" s="207"/>
      <c r="E118" s="215"/>
      <c r="F118" s="215"/>
      <c r="G118" s="215"/>
      <c r="H118" s="215"/>
      <c r="I118" s="209"/>
      <c r="J118" s="215"/>
      <c r="K118" s="214"/>
      <c r="L118" s="214"/>
      <c r="M118" s="214"/>
      <c r="N118" s="214"/>
      <c r="O118" s="214"/>
      <c r="P118" s="214"/>
      <c r="Q118" s="214"/>
      <c r="R118" s="215"/>
      <c r="S118" s="215"/>
      <c r="T118" s="215"/>
      <c r="U118" s="215"/>
      <c r="V118" s="215"/>
      <c r="W118" s="215"/>
      <c r="X118" s="215"/>
      <c r="Y118" s="215"/>
      <c r="Z118" s="214"/>
      <c r="AA118" s="214"/>
    </row>
    <row r="119" spans="1:27" s="210" customFormat="1" x14ac:dyDescent="0.25">
      <c r="A119" s="206"/>
      <c r="B119" s="207"/>
      <c r="C119" s="214"/>
      <c r="D119" s="207"/>
      <c r="E119" s="215"/>
      <c r="F119" s="215"/>
      <c r="G119" s="215"/>
      <c r="H119" s="215"/>
      <c r="I119" s="209"/>
      <c r="J119" s="215"/>
      <c r="K119" s="214"/>
      <c r="L119" s="214"/>
      <c r="M119" s="214"/>
      <c r="N119" s="214"/>
      <c r="O119" s="214"/>
      <c r="P119" s="214"/>
      <c r="Q119" s="214"/>
      <c r="R119" s="215"/>
      <c r="S119" s="215"/>
      <c r="T119" s="215"/>
      <c r="U119" s="215"/>
      <c r="V119" s="215"/>
      <c r="W119" s="215"/>
      <c r="X119" s="215"/>
      <c r="Y119" s="215"/>
      <c r="Z119" s="214"/>
      <c r="AA119" s="214"/>
    </row>
    <row r="120" spans="1:27" s="210" customFormat="1" x14ac:dyDescent="0.25">
      <c r="A120" s="206"/>
      <c r="B120" s="207"/>
      <c r="C120" s="214"/>
      <c r="D120" s="207"/>
      <c r="E120" s="214"/>
      <c r="F120" s="214"/>
      <c r="G120" s="214"/>
      <c r="H120" s="214"/>
      <c r="I120" s="209"/>
      <c r="J120" s="215"/>
      <c r="K120" s="214"/>
      <c r="L120" s="214"/>
      <c r="M120" s="214"/>
      <c r="N120" s="215"/>
      <c r="O120" s="215"/>
      <c r="P120" s="214"/>
      <c r="Q120" s="214"/>
      <c r="R120" s="215"/>
      <c r="S120" s="215"/>
      <c r="T120" s="215"/>
      <c r="U120" s="215"/>
      <c r="V120" s="215"/>
      <c r="W120" s="215"/>
      <c r="X120" s="215"/>
      <c r="Y120" s="214"/>
      <c r="Z120" s="214"/>
      <c r="AA120" s="214"/>
    </row>
    <row r="121" spans="1:27" s="210" customFormat="1" x14ac:dyDescent="0.25">
      <c r="A121" s="206"/>
      <c r="B121" s="207"/>
      <c r="C121" s="214"/>
      <c r="D121" s="207"/>
      <c r="E121" s="215"/>
      <c r="F121" s="215"/>
      <c r="G121" s="215"/>
      <c r="H121" s="215"/>
      <c r="I121" s="209"/>
      <c r="J121" s="215"/>
      <c r="K121" s="214"/>
      <c r="L121" s="214"/>
      <c r="M121" s="214"/>
      <c r="N121" s="215"/>
      <c r="O121" s="215"/>
      <c r="P121" s="214"/>
      <c r="Q121" s="214"/>
      <c r="R121" s="215"/>
      <c r="S121" s="215"/>
      <c r="T121" s="215"/>
      <c r="U121" s="215"/>
      <c r="V121" s="215"/>
      <c r="W121" s="215"/>
      <c r="X121" s="215"/>
      <c r="Y121" s="215"/>
      <c r="Z121" s="214"/>
      <c r="AA121" s="214"/>
    </row>
    <row r="122" spans="1:27" s="210" customFormat="1" x14ac:dyDescent="0.25">
      <c r="A122" s="206"/>
      <c r="B122" s="207"/>
      <c r="C122" s="214"/>
      <c r="D122" s="207"/>
      <c r="E122" s="215"/>
      <c r="F122" s="215"/>
      <c r="G122" s="215"/>
      <c r="H122" s="215"/>
      <c r="I122" s="209"/>
      <c r="J122" s="215"/>
      <c r="K122" s="214"/>
      <c r="L122" s="214"/>
      <c r="M122" s="214"/>
      <c r="N122" s="214"/>
      <c r="O122" s="214"/>
      <c r="P122" s="214"/>
      <c r="Q122" s="214"/>
      <c r="R122" s="215"/>
      <c r="S122" s="215"/>
      <c r="T122" s="215"/>
      <c r="U122" s="215"/>
      <c r="V122" s="215"/>
      <c r="W122" s="215"/>
      <c r="X122" s="215"/>
      <c r="Y122" s="215"/>
      <c r="Z122" s="214"/>
      <c r="AA122" s="214"/>
    </row>
    <row r="123" spans="1:27" s="210" customFormat="1" x14ac:dyDescent="0.25">
      <c r="A123" s="206"/>
      <c r="B123" s="207"/>
      <c r="C123" s="214"/>
      <c r="D123" s="207"/>
      <c r="E123" s="215"/>
      <c r="F123" s="215"/>
      <c r="G123" s="215"/>
      <c r="H123" s="215"/>
      <c r="I123" s="209"/>
      <c r="J123" s="215"/>
      <c r="K123" s="215"/>
      <c r="L123" s="214"/>
      <c r="M123" s="214"/>
      <c r="N123" s="214"/>
      <c r="O123" s="214"/>
      <c r="P123" s="214"/>
      <c r="Q123" s="214"/>
      <c r="R123" s="215"/>
      <c r="S123" s="215"/>
      <c r="T123" s="215"/>
      <c r="U123" s="215"/>
      <c r="V123" s="215"/>
      <c r="W123" s="215"/>
      <c r="X123" s="215"/>
      <c r="Y123" s="215"/>
      <c r="Z123" s="214"/>
      <c r="AA123" s="214"/>
    </row>
    <row r="124" spans="1:27" s="210" customFormat="1" x14ac:dyDescent="0.25">
      <c r="A124" s="206"/>
      <c r="B124" s="207"/>
      <c r="C124" s="214"/>
      <c r="D124" s="207"/>
      <c r="E124" s="215"/>
      <c r="F124" s="215"/>
      <c r="G124" s="215"/>
      <c r="H124" s="215"/>
      <c r="I124" s="209"/>
      <c r="J124" s="214"/>
      <c r="K124" s="214"/>
      <c r="L124" s="214"/>
      <c r="M124" s="214"/>
      <c r="N124" s="214"/>
      <c r="O124" s="214"/>
      <c r="P124" s="214"/>
      <c r="Q124" s="214"/>
      <c r="R124" s="215"/>
      <c r="S124" s="215"/>
      <c r="T124" s="215"/>
      <c r="U124" s="215"/>
      <c r="V124" s="215"/>
      <c r="W124" s="215"/>
      <c r="X124" s="215"/>
      <c r="Y124" s="215"/>
      <c r="Z124" s="214"/>
      <c r="AA124" s="214"/>
    </row>
    <row r="125" spans="1:27" s="210" customFormat="1" x14ac:dyDescent="0.25">
      <c r="A125" s="206"/>
      <c r="B125" s="207"/>
      <c r="C125" s="214"/>
      <c r="D125" s="207"/>
      <c r="E125" s="215"/>
      <c r="F125" s="215"/>
      <c r="G125" s="215"/>
      <c r="H125" s="215"/>
      <c r="I125" s="209"/>
      <c r="J125" s="214"/>
      <c r="K125" s="214"/>
      <c r="L125" s="214"/>
      <c r="M125" s="214"/>
      <c r="N125" s="214"/>
      <c r="O125" s="214"/>
      <c r="P125" s="214"/>
      <c r="Q125" s="214"/>
      <c r="R125" s="215"/>
      <c r="S125" s="215"/>
      <c r="T125" s="215"/>
      <c r="U125" s="215"/>
      <c r="V125" s="215"/>
      <c r="W125" s="215"/>
      <c r="X125" s="215"/>
      <c r="Y125" s="215"/>
      <c r="Z125" s="214"/>
      <c r="AA125" s="214"/>
    </row>
    <row r="126" spans="1:27" s="210" customFormat="1" x14ac:dyDescent="0.25">
      <c r="A126" s="206"/>
      <c r="B126" s="207"/>
      <c r="C126" s="214"/>
      <c r="D126" s="207"/>
      <c r="E126" s="215"/>
      <c r="F126" s="215"/>
      <c r="G126" s="215"/>
      <c r="H126" s="215"/>
      <c r="I126" s="209"/>
      <c r="J126" s="214"/>
      <c r="K126" s="214"/>
      <c r="L126" s="214"/>
      <c r="M126" s="214"/>
      <c r="N126" s="214"/>
      <c r="O126" s="214"/>
      <c r="P126" s="214"/>
      <c r="Q126" s="214"/>
      <c r="R126" s="215"/>
      <c r="S126" s="215"/>
      <c r="T126" s="215"/>
      <c r="U126" s="215"/>
      <c r="V126" s="215"/>
      <c r="W126" s="215"/>
      <c r="X126" s="215"/>
      <c r="Y126" s="215"/>
      <c r="Z126" s="214"/>
      <c r="AA126" s="214"/>
    </row>
    <row r="127" spans="1:27" s="210" customFormat="1" x14ac:dyDescent="0.25">
      <c r="A127" s="206"/>
      <c r="B127" s="207"/>
      <c r="C127" s="214"/>
      <c r="D127" s="207"/>
      <c r="E127" s="215"/>
      <c r="F127" s="215"/>
      <c r="G127" s="215"/>
      <c r="H127" s="215"/>
      <c r="I127" s="209"/>
      <c r="J127" s="215"/>
      <c r="K127" s="214"/>
      <c r="L127" s="214"/>
      <c r="M127" s="214"/>
      <c r="N127" s="214"/>
      <c r="O127" s="214"/>
      <c r="P127" s="214"/>
      <c r="Q127" s="214"/>
      <c r="R127" s="215"/>
      <c r="S127" s="215"/>
      <c r="T127" s="215"/>
      <c r="U127" s="215"/>
      <c r="V127" s="215"/>
      <c r="W127" s="215"/>
      <c r="X127" s="215"/>
      <c r="Y127" s="215"/>
      <c r="Z127" s="214"/>
      <c r="AA127" s="214"/>
    </row>
    <row r="128" spans="1:27" s="210" customFormat="1" x14ac:dyDescent="0.25">
      <c r="A128" s="206"/>
      <c r="B128" s="207"/>
      <c r="C128" s="214"/>
      <c r="D128" s="207"/>
      <c r="E128" s="215"/>
      <c r="F128" s="215"/>
      <c r="G128" s="215"/>
      <c r="H128" s="215"/>
      <c r="I128" s="209"/>
      <c r="J128" s="215"/>
      <c r="K128" s="214"/>
      <c r="L128" s="214"/>
      <c r="M128" s="214"/>
      <c r="N128" s="214"/>
      <c r="O128" s="214"/>
      <c r="P128" s="214"/>
      <c r="Q128" s="214"/>
      <c r="R128" s="215"/>
      <c r="S128" s="215"/>
      <c r="T128" s="215"/>
      <c r="U128" s="215"/>
      <c r="V128" s="215"/>
      <c r="W128" s="215"/>
      <c r="X128" s="215"/>
      <c r="Y128" s="215"/>
      <c r="Z128" s="214"/>
      <c r="AA128" s="214"/>
    </row>
    <row r="129" spans="1:27" s="210" customFormat="1" x14ac:dyDescent="0.25">
      <c r="A129" s="206"/>
      <c r="B129" s="207"/>
      <c r="C129" s="214"/>
      <c r="D129" s="207"/>
      <c r="E129" s="215"/>
      <c r="F129" s="215"/>
      <c r="G129" s="215"/>
      <c r="H129" s="215"/>
      <c r="I129" s="209"/>
      <c r="J129" s="214"/>
      <c r="K129" s="214"/>
      <c r="L129" s="214"/>
      <c r="M129" s="214"/>
      <c r="N129" s="214"/>
      <c r="O129" s="214"/>
      <c r="P129" s="214"/>
      <c r="Q129" s="214"/>
      <c r="R129" s="215"/>
      <c r="S129" s="215"/>
      <c r="T129" s="215"/>
      <c r="U129" s="215"/>
      <c r="V129" s="215"/>
      <c r="W129" s="215"/>
      <c r="X129" s="215"/>
      <c r="Y129" s="215"/>
      <c r="Z129" s="214"/>
      <c r="AA129" s="214"/>
    </row>
    <row r="130" spans="1:27" s="210" customFormat="1" x14ac:dyDescent="0.25">
      <c r="A130" s="206"/>
      <c r="B130" s="207"/>
      <c r="C130" s="214"/>
      <c r="D130" s="207"/>
      <c r="E130" s="215"/>
      <c r="F130" s="215"/>
      <c r="G130" s="215"/>
      <c r="H130" s="215"/>
      <c r="I130" s="209"/>
      <c r="J130" s="215"/>
      <c r="K130" s="214"/>
      <c r="L130" s="214"/>
      <c r="M130" s="214"/>
      <c r="N130" s="214"/>
      <c r="O130" s="214"/>
      <c r="P130" s="214"/>
      <c r="Q130" s="214"/>
      <c r="R130" s="215"/>
      <c r="S130" s="215"/>
      <c r="T130" s="215"/>
      <c r="U130" s="215"/>
      <c r="V130" s="215"/>
      <c r="W130" s="215"/>
      <c r="X130" s="215"/>
      <c r="Y130" s="215"/>
      <c r="Z130" s="214"/>
      <c r="AA130" s="214"/>
    </row>
    <row r="131" spans="1:27" s="210" customFormat="1" x14ac:dyDescent="0.25">
      <c r="A131" s="206"/>
      <c r="B131" s="207"/>
      <c r="C131" s="214"/>
      <c r="D131" s="207"/>
      <c r="E131" s="215"/>
      <c r="F131" s="215"/>
      <c r="G131" s="215"/>
      <c r="H131" s="215"/>
      <c r="I131" s="209"/>
      <c r="J131" s="215"/>
      <c r="K131" s="214"/>
      <c r="L131" s="214"/>
      <c r="M131" s="214"/>
      <c r="N131" s="214"/>
      <c r="O131" s="214"/>
      <c r="P131" s="214"/>
      <c r="Q131" s="214"/>
      <c r="R131" s="215"/>
      <c r="S131" s="215"/>
      <c r="T131" s="215"/>
      <c r="U131" s="215"/>
      <c r="V131" s="215"/>
      <c r="W131" s="215"/>
      <c r="X131" s="215"/>
      <c r="Y131" s="215"/>
      <c r="Z131" s="215"/>
      <c r="AA131" s="214"/>
    </row>
    <row r="132" spans="1:27" s="210" customFormat="1" x14ac:dyDescent="0.25">
      <c r="A132" s="206"/>
      <c r="B132" s="207"/>
      <c r="C132" s="214"/>
      <c r="D132" s="207"/>
      <c r="E132" s="215"/>
      <c r="F132" s="215"/>
      <c r="G132" s="215"/>
      <c r="H132" s="221"/>
      <c r="I132" s="209"/>
      <c r="J132" s="214"/>
      <c r="K132" s="214"/>
      <c r="L132" s="214"/>
      <c r="M132" s="214"/>
      <c r="N132" s="214"/>
      <c r="O132" s="214"/>
      <c r="P132" s="214"/>
      <c r="Q132" s="214"/>
      <c r="R132" s="215"/>
      <c r="S132" s="215"/>
      <c r="T132" s="215"/>
      <c r="U132" s="215"/>
      <c r="V132" s="214"/>
      <c r="W132" s="214"/>
      <c r="X132" s="214"/>
      <c r="Y132" s="214"/>
      <c r="Z132" s="214"/>
      <c r="AA132" s="214"/>
    </row>
    <row r="133" spans="1:27" s="210" customFormat="1" x14ac:dyDescent="0.25">
      <c r="A133" s="206"/>
      <c r="B133" s="207"/>
      <c r="C133" s="214"/>
      <c r="D133" s="207"/>
      <c r="E133" s="215"/>
      <c r="F133" s="215"/>
      <c r="G133" s="215"/>
      <c r="H133" s="215"/>
      <c r="I133" s="209"/>
      <c r="J133" s="221"/>
      <c r="K133" s="214"/>
      <c r="L133" s="214"/>
      <c r="M133" s="214"/>
      <c r="N133" s="214"/>
      <c r="O133" s="214"/>
      <c r="P133" s="214"/>
      <c r="Q133" s="214"/>
      <c r="R133" s="215"/>
      <c r="S133" s="215"/>
      <c r="T133" s="214"/>
      <c r="U133" s="214"/>
      <c r="V133" s="215"/>
      <c r="W133" s="215"/>
      <c r="X133" s="214"/>
      <c r="Y133" s="215"/>
      <c r="Z133" s="214"/>
      <c r="AA133" s="214"/>
    </row>
    <row r="134" spans="1:27" s="210" customFormat="1" x14ac:dyDescent="0.25">
      <c r="A134" s="206"/>
      <c r="B134" s="207"/>
      <c r="C134" s="214"/>
      <c r="D134" s="214"/>
      <c r="E134" s="215"/>
      <c r="F134" s="215"/>
      <c r="G134" s="215"/>
      <c r="H134" s="215"/>
      <c r="I134" s="209"/>
      <c r="J134" s="214"/>
      <c r="K134" s="214"/>
      <c r="L134" s="214"/>
      <c r="M134" s="214"/>
      <c r="N134" s="214"/>
      <c r="O134" s="214"/>
      <c r="P134" s="214"/>
      <c r="Q134" s="214"/>
      <c r="R134" s="215"/>
      <c r="S134" s="215"/>
      <c r="T134" s="215"/>
      <c r="U134" s="215"/>
      <c r="V134" s="215"/>
      <c r="W134" s="215"/>
      <c r="X134" s="215"/>
      <c r="Y134" s="215"/>
      <c r="Z134" s="214"/>
      <c r="AA134" s="214"/>
    </row>
    <row r="135" spans="1:27" s="28" customFormat="1" x14ac:dyDescent="0.25">
      <c r="A135" s="35"/>
      <c r="B135" s="36"/>
      <c r="C135" s="37"/>
      <c r="D135" s="37"/>
      <c r="E135" s="37"/>
      <c r="F135" s="37"/>
      <c r="G135" s="37"/>
      <c r="H135" s="37"/>
      <c r="I135" s="38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spans="1:27" s="28" customFormat="1" x14ac:dyDescent="0.25">
      <c r="A136" s="35"/>
      <c r="B136" s="36"/>
      <c r="C136" s="37"/>
      <c r="D136" s="37"/>
      <c r="E136" s="65"/>
      <c r="F136" s="65"/>
      <c r="G136" s="65"/>
      <c r="H136" s="65"/>
      <c r="I136" s="38"/>
      <c r="J136" s="37"/>
      <c r="K136" s="37"/>
      <c r="L136" s="37"/>
      <c r="M136" s="37"/>
      <c r="N136" s="37"/>
      <c r="O136" s="37"/>
      <c r="P136" s="37"/>
      <c r="Q136" s="37"/>
      <c r="R136" s="65"/>
      <c r="S136" s="65"/>
      <c r="T136" s="65"/>
      <c r="U136" s="65"/>
      <c r="V136" s="65"/>
      <c r="W136" s="65"/>
      <c r="X136" s="65"/>
      <c r="Y136" s="65"/>
      <c r="Z136" s="37"/>
      <c r="AA136" s="37"/>
    </row>
    <row r="137" spans="1:27" s="28" customFormat="1" x14ac:dyDescent="0.25">
      <c r="A137" s="35">
        <v>45790</v>
      </c>
      <c r="B137" s="36"/>
      <c r="C137" s="37"/>
      <c r="D137" s="37"/>
      <c r="E137" s="37"/>
      <c r="F137" s="37"/>
      <c r="G137" s="37"/>
      <c r="H137" s="37"/>
      <c r="I137" s="38">
        <f t="shared" ref="I137:I163" si="2">H137-F137</f>
        <v>0</v>
      </c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spans="1:27" s="28" customFormat="1" x14ac:dyDescent="0.25">
      <c r="A138" s="35">
        <v>45791</v>
      </c>
      <c r="B138" s="36"/>
      <c r="C138" s="37"/>
      <c r="D138" s="37"/>
      <c r="E138" s="37"/>
      <c r="F138" s="37"/>
      <c r="G138" s="37"/>
      <c r="H138" s="37"/>
      <c r="I138" s="38">
        <f t="shared" si="2"/>
        <v>0</v>
      </c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spans="1:27" s="28" customFormat="1" x14ac:dyDescent="0.25">
      <c r="A139" s="35">
        <v>45792</v>
      </c>
      <c r="B139" s="36"/>
      <c r="C139" s="37"/>
      <c r="D139" s="37"/>
      <c r="E139" s="37"/>
      <c r="F139" s="37"/>
      <c r="G139" s="37"/>
      <c r="H139" s="37"/>
      <c r="I139" s="38">
        <f t="shared" si="2"/>
        <v>0</v>
      </c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spans="1:27" s="28" customFormat="1" x14ac:dyDescent="0.25">
      <c r="A140" s="35">
        <v>45793</v>
      </c>
      <c r="B140" s="36"/>
      <c r="C140" s="37"/>
      <c r="D140" s="37"/>
      <c r="E140" s="37"/>
      <c r="F140" s="37"/>
      <c r="G140" s="37"/>
      <c r="H140" s="37"/>
      <c r="I140" s="38">
        <f t="shared" si="2"/>
        <v>0</v>
      </c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spans="1:27" s="28" customFormat="1" x14ac:dyDescent="0.25">
      <c r="A141" s="35">
        <v>45794</v>
      </c>
      <c r="B141" s="36"/>
      <c r="C141" s="37"/>
      <c r="D141" s="37"/>
      <c r="E141" s="37"/>
      <c r="F141" s="37"/>
      <c r="G141" s="37"/>
      <c r="H141" s="37"/>
      <c r="I141" s="38">
        <f t="shared" si="2"/>
        <v>0</v>
      </c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spans="1:27" s="28" customFormat="1" x14ac:dyDescent="0.25">
      <c r="A142" s="35">
        <v>45795</v>
      </c>
      <c r="B142" s="36"/>
      <c r="C142" s="37"/>
      <c r="D142" s="37"/>
      <c r="E142" s="37"/>
      <c r="F142" s="37"/>
      <c r="G142" s="37"/>
      <c r="H142" s="37"/>
      <c r="I142" s="38">
        <f t="shared" si="2"/>
        <v>0</v>
      </c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spans="1:27" s="28" customFormat="1" x14ac:dyDescent="0.25">
      <c r="A143" s="35">
        <v>45796</v>
      </c>
      <c r="B143" s="36"/>
      <c r="C143" s="37"/>
      <c r="D143" s="37"/>
      <c r="E143" s="37"/>
      <c r="F143" s="37"/>
      <c r="G143" s="37"/>
      <c r="H143" s="37"/>
      <c r="I143" s="38">
        <f t="shared" si="2"/>
        <v>0</v>
      </c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spans="1:27" s="28" customFormat="1" x14ac:dyDescent="0.25">
      <c r="A144" s="35">
        <v>45797</v>
      </c>
      <c r="B144" s="36"/>
      <c r="C144" s="37"/>
      <c r="D144" s="37"/>
      <c r="E144" s="37"/>
      <c r="F144" s="37"/>
      <c r="G144" s="37"/>
      <c r="H144" s="37"/>
      <c r="I144" s="38">
        <f t="shared" si="2"/>
        <v>0</v>
      </c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spans="1:27" s="28" customFormat="1" x14ac:dyDescent="0.25">
      <c r="A145" s="35">
        <v>45798</v>
      </c>
      <c r="B145" s="36"/>
      <c r="C145" s="37"/>
      <c r="D145" s="37"/>
      <c r="E145" s="37"/>
      <c r="F145" s="37"/>
      <c r="G145" s="37"/>
      <c r="H145" s="37"/>
      <c r="I145" s="38">
        <f t="shared" si="2"/>
        <v>0</v>
      </c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spans="1:27" s="28" customFormat="1" x14ac:dyDescent="0.25">
      <c r="A146" s="35">
        <v>45799</v>
      </c>
      <c r="B146" s="36"/>
      <c r="C146" s="37"/>
      <c r="D146" s="37"/>
      <c r="E146" s="37"/>
      <c r="F146" s="37"/>
      <c r="G146" s="37"/>
      <c r="H146" s="37"/>
      <c r="I146" s="38">
        <f t="shared" si="2"/>
        <v>0</v>
      </c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spans="1:27" s="28" customFormat="1" x14ac:dyDescent="0.25">
      <c r="A147" s="35">
        <v>45800</v>
      </c>
      <c r="B147" s="36"/>
      <c r="C147" s="37"/>
      <c r="D147" s="37"/>
      <c r="E147" s="37"/>
      <c r="F147" s="37"/>
      <c r="G147" s="37"/>
      <c r="H147" s="37"/>
      <c r="I147" s="38">
        <f t="shared" si="2"/>
        <v>0</v>
      </c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spans="1:27" s="28" customFormat="1" x14ac:dyDescent="0.25">
      <c r="A148" s="35">
        <v>45801</v>
      </c>
      <c r="B148" s="36"/>
      <c r="C148" s="37"/>
      <c r="D148" s="37"/>
      <c r="E148" s="37"/>
      <c r="F148" s="37"/>
      <c r="G148" s="37"/>
      <c r="H148" s="37"/>
      <c r="I148" s="38">
        <f t="shared" si="2"/>
        <v>0</v>
      </c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spans="1:27" s="28" customFormat="1" x14ac:dyDescent="0.25">
      <c r="A149" s="35">
        <v>45802</v>
      </c>
      <c r="B149" s="36"/>
      <c r="C149" s="37"/>
      <c r="D149" s="37"/>
      <c r="E149" s="37"/>
      <c r="F149" s="37"/>
      <c r="G149" s="37"/>
      <c r="H149" s="37"/>
      <c r="I149" s="38">
        <f t="shared" si="2"/>
        <v>0</v>
      </c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spans="1:27" s="28" customFormat="1" x14ac:dyDescent="0.25">
      <c r="A150" s="35">
        <v>45803</v>
      </c>
      <c r="B150" s="36"/>
      <c r="C150" s="37"/>
      <c r="D150" s="37"/>
      <c r="E150" s="37"/>
      <c r="F150" s="37"/>
      <c r="G150" s="37"/>
      <c r="H150" s="37"/>
      <c r="I150" s="38">
        <f t="shared" si="2"/>
        <v>0</v>
      </c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spans="1:27" s="28" customFormat="1" x14ac:dyDescent="0.25">
      <c r="A151" s="35">
        <v>45804</v>
      </c>
      <c r="B151" s="36"/>
      <c r="C151" s="37"/>
      <c r="D151" s="37"/>
      <c r="E151" s="37"/>
      <c r="F151" s="37"/>
      <c r="G151" s="37"/>
      <c r="H151" s="37"/>
      <c r="I151" s="38">
        <f t="shared" si="2"/>
        <v>0</v>
      </c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spans="1:27" s="28" customFormat="1" x14ac:dyDescent="0.25">
      <c r="A152" s="35">
        <v>45805</v>
      </c>
      <c r="B152" s="36"/>
      <c r="C152" s="37"/>
      <c r="D152" s="37"/>
      <c r="E152" s="37"/>
      <c r="F152" s="37"/>
      <c r="G152" s="37"/>
      <c r="H152" s="37"/>
      <c r="I152" s="38">
        <f t="shared" si="2"/>
        <v>0</v>
      </c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</row>
    <row r="153" spans="1:27" s="28" customFormat="1" x14ac:dyDescent="0.25">
      <c r="A153" s="35">
        <v>45806</v>
      </c>
      <c r="B153" s="36"/>
      <c r="C153" s="37"/>
      <c r="D153" s="37"/>
      <c r="E153" s="37"/>
      <c r="F153" s="37"/>
      <c r="G153" s="37"/>
      <c r="H153" s="37"/>
      <c r="I153" s="38">
        <f t="shared" si="2"/>
        <v>0</v>
      </c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</row>
    <row r="154" spans="1:27" s="28" customFormat="1" x14ac:dyDescent="0.25">
      <c r="A154" s="35">
        <v>45807</v>
      </c>
      <c r="B154" s="36"/>
      <c r="C154" s="37"/>
      <c r="D154" s="37"/>
      <c r="E154" s="37"/>
      <c r="F154" s="37"/>
      <c r="G154" s="37"/>
      <c r="H154" s="37"/>
      <c r="I154" s="38">
        <f t="shared" si="2"/>
        <v>0</v>
      </c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</row>
    <row r="155" spans="1:27" s="28" customFormat="1" x14ac:dyDescent="0.25">
      <c r="A155" s="35">
        <v>45808</v>
      </c>
      <c r="B155" s="36"/>
      <c r="C155" s="37"/>
      <c r="D155" s="37"/>
      <c r="E155" s="37"/>
      <c r="F155" s="37"/>
      <c r="G155" s="37"/>
      <c r="H155" s="37"/>
      <c r="I155" s="38">
        <f t="shared" si="2"/>
        <v>0</v>
      </c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</row>
    <row r="156" spans="1:27" s="28" customFormat="1" x14ac:dyDescent="0.25">
      <c r="A156" s="35">
        <v>45809</v>
      </c>
      <c r="B156" s="36"/>
      <c r="C156" s="37"/>
      <c r="D156" s="37"/>
      <c r="E156" s="37"/>
      <c r="F156" s="37"/>
      <c r="G156" s="37"/>
      <c r="H156" s="37"/>
      <c r="I156" s="38">
        <f t="shared" si="2"/>
        <v>0</v>
      </c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</row>
    <row r="157" spans="1:27" s="28" customFormat="1" x14ac:dyDescent="0.25">
      <c r="A157" s="35">
        <v>45810</v>
      </c>
      <c r="B157" s="36"/>
      <c r="C157" s="37"/>
      <c r="D157" s="37"/>
      <c r="E157" s="37"/>
      <c r="F157" s="37"/>
      <c r="G157" s="37"/>
      <c r="H157" s="37"/>
      <c r="I157" s="38">
        <f t="shared" si="2"/>
        <v>0</v>
      </c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</row>
    <row r="158" spans="1:27" s="28" customFormat="1" x14ac:dyDescent="0.25">
      <c r="A158" s="35">
        <v>45811</v>
      </c>
      <c r="B158" s="36"/>
      <c r="C158" s="37"/>
      <c r="D158" s="37"/>
      <c r="E158" s="37"/>
      <c r="F158" s="37"/>
      <c r="G158" s="37"/>
      <c r="H158" s="37"/>
      <c r="I158" s="38">
        <f t="shared" si="2"/>
        <v>0</v>
      </c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</row>
    <row r="159" spans="1:27" s="28" customFormat="1" x14ac:dyDescent="0.25">
      <c r="A159" s="35">
        <v>45812</v>
      </c>
      <c r="B159" s="36"/>
      <c r="C159" s="37"/>
      <c r="D159" s="37"/>
      <c r="E159" s="37"/>
      <c r="F159" s="37"/>
      <c r="G159" s="37"/>
      <c r="H159" s="37"/>
      <c r="I159" s="38">
        <f t="shared" si="2"/>
        <v>0</v>
      </c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</row>
    <row r="160" spans="1:27" s="28" customFormat="1" x14ac:dyDescent="0.25">
      <c r="A160" s="35">
        <v>45813</v>
      </c>
      <c r="B160" s="36"/>
      <c r="C160" s="37"/>
      <c r="D160" s="37"/>
      <c r="E160" s="37"/>
      <c r="F160" s="37"/>
      <c r="G160" s="37"/>
      <c r="H160" s="37"/>
      <c r="I160" s="38">
        <f t="shared" si="2"/>
        <v>0</v>
      </c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</row>
    <row r="161" spans="1:27" s="28" customFormat="1" x14ac:dyDescent="0.25">
      <c r="A161" s="35">
        <v>45814</v>
      </c>
      <c r="B161" s="36"/>
      <c r="C161" s="37"/>
      <c r="D161" s="37"/>
      <c r="E161" s="37"/>
      <c r="F161" s="37"/>
      <c r="G161" s="37"/>
      <c r="H161" s="37"/>
      <c r="I161" s="38">
        <f t="shared" si="2"/>
        <v>0</v>
      </c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</row>
    <row r="162" spans="1:27" s="28" customFormat="1" x14ac:dyDescent="0.25">
      <c r="A162" s="35">
        <v>45815</v>
      </c>
      <c r="B162" s="36"/>
      <c r="C162" s="37"/>
      <c r="D162" s="37"/>
      <c r="E162" s="37"/>
      <c r="F162" s="37"/>
      <c r="G162" s="37"/>
      <c r="H162" s="37"/>
      <c r="I162" s="38">
        <f t="shared" si="2"/>
        <v>0</v>
      </c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</row>
    <row r="163" spans="1:27" s="28" customFormat="1" x14ac:dyDescent="0.25">
      <c r="A163" s="35">
        <v>45816</v>
      </c>
      <c r="B163" s="36"/>
      <c r="C163" s="37"/>
      <c r="D163" s="37"/>
      <c r="E163" s="37"/>
      <c r="F163" s="37"/>
      <c r="G163" s="37"/>
      <c r="H163" s="37"/>
      <c r="I163" s="38">
        <f t="shared" si="2"/>
        <v>0</v>
      </c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</row>
    <row r="164" spans="1:27" s="28" customFormat="1" x14ac:dyDescent="0.25">
      <c r="A164" s="35">
        <v>45817</v>
      </c>
      <c r="B164" s="36"/>
      <c r="C164" s="37"/>
      <c r="D164" s="37"/>
      <c r="E164" s="37"/>
      <c r="F164" s="37"/>
      <c r="G164" s="37"/>
      <c r="H164" s="37"/>
      <c r="I164" s="38">
        <f t="shared" ref="I164:I227" si="3">H164-F164</f>
        <v>0</v>
      </c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</row>
    <row r="165" spans="1:27" s="28" customFormat="1" x14ac:dyDescent="0.25">
      <c r="A165" s="35">
        <v>45818</v>
      </c>
      <c r="B165" s="36"/>
      <c r="C165" s="37"/>
      <c r="D165" s="37"/>
      <c r="E165" s="37"/>
      <c r="F165" s="37"/>
      <c r="G165" s="37"/>
      <c r="H165" s="37"/>
      <c r="I165" s="38">
        <f t="shared" si="3"/>
        <v>0</v>
      </c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</row>
    <row r="166" spans="1:27" s="28" customFormat="1" x14ac:dyDescent="0.25">
      <c r="A166" s="35">
        <v>45819</v>
      </c>
      <c r="B166" s="36"/>
      <c r="C166" s="37"/>
      <c r="D166" s="37"/>
      <c r="E166" s="37"/>
      <c r="F166" s="37"/>
      <c r="G166" s="37"/>
      <c r="H166" s="37"/>
      <c r="I166" s="38">
        <f t="shared" si="3"/>
        <v>0</v>
      </c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</row>
    <row r="167" spans="1:27" s="28" customFormat="1" x14ac:dyDescent="0.25">
      <c r="A167" s="35">
        <v>45820</v>
      </c>
      <c r="B167" s="36"/>
      <c r="C167" s="37"/>
      <c r="D167" s="37"/>
      <c r="E167" s="37"/>
      <c r="F167" s="37"/>
      <c r="G167" s="37"/>
      <c r="H167" s="37"/>
      <c r="I167" s="38">
        <f t="shared" si="3"/>
        <v>0</v>
      </c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</row>
    <row r="168" spans="1:27" s="28" customFormat="1" x14ac:dyDescent="0.25">
      <c r="A168" s="35">
        <v>45821</v>
      </c>
      <c r="B168" s="36"/>
      <c r="C168" s="37"/>
      <c r="D168" s="37"/>
      <c r="E168" s="37"/>
      <c r="F168" s="37"/>
      <c r="G168" s="37"/>
      <c r="H168" s="37"/>
      <c r="I168" s="38">
        <f t="shared" si="3"/>
        <v>0</v>
      </c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</row>
    <row r="169" spans="1:27" s="28" customFormat="1" x14ac:dyDescent="0.25">
      <c r="A169" s="35">
        <v>45822</v>
      </c>
      <c r="B169" s="36"/>
      <c r="C169" s="37"/>
      <c r="D169" s="37"/>
      <c r="E169" s="37"/>
      <c r="F169" s="37"/>
      <c r="G169" s="37"/>
      <c r="H169" s="37"/>
      <c r="I169" s="38">
        <f t="shared" si="3"/>
        <v>0</v>
      </c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</row>
    <row r="170" spans="1:27" s="28" customFormat="1" x14ac:dyDescent="0.25">
      <c r="A170" s="35">
        <v>45823</v>
      </c>
      <c r="B170" s="36"/>
      <c r="C170" s="37"/>
      <c r="D170" s="37"/>
      <c r="E170" s="37"/>
      <c r="F170" s="37"/>
      <c r="G170" s="37"/>
      <c r="H170" s="37"/>
      <c r="I170" s="38">
        <f t="shared" si="3"/>
        <v>0</v>
      </c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</row>
    <row r="171" spans="1:27" s="28" customFormat="1" x14ac:dyDescent="0.25">
      <c r="A171" s="35">
        <v>45824</v>
      </c>
      <c r="B171" s="36"/>
      <c r="C171" s="37"/>
      <c r="D171" s="37"/>
      <c r="E171" s="37"/>
      <c r="F171" s="37"/>
      <c r="G171" s="37"/>
      <c r="H171" s="37"/>
      <c r="I171" s="38">
        <f t="shared" si="3"/>
        <v>0</v>
      </c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</row>
    <row r="172" spans="1:27" s="28" customFormat="1" x14ac:dyDescent="0.25">
      <c r="A172" s="35">
        <v>45825</v>
      </c>
      <c r="B172" s="36"/>
      <c r="C172" s="37"/>
      <c r="D172" s="37"/>
      <c r="E172" s="37"/>
      <c r="F172" s="37"/>
      <c r="G172" s="37"/>
      <c r="H172" s="37"/>
      <c r="I172" s="38">
        <f t="shared" si="3"/>
        <v>0</v>
      </c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</row>
    <row r="173" spans="1:27" s="28" customFormat="1" x14ac:dyDescent="0.25">
      <c r="A173" s="35">
        <v>45826</v>
      </c>
      <c r="B173" s="36"/>
      <c r="C173" s="37"/>
      <c r="D173" s="37"/>
      <c r="E173" s="37"/>
      <c r="F173" s="37"/>
      <c r="G173" s="37"/>
      <c r="H173" s="37"/>
      <c r="I173" s="38">
        <f t="shared" si="3"/>
        <v>0</v>
      </c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</row>
    <row r="174" spans="1:27" s="28" customFormat="1" x14ac:dyDescent="0.25">
      <c r="A174" s="35">
        <v>45827</v>
      </c>
      <c r="B174" s="36"/>
      <c r="C174" s="37"/>
      <c r="D174" s="37"/>
      <c r="E174" s="37"/>
      <c r="F174" s="37"/>
      <c r="G174" s="37"/>
      <c r="H174" s="37"/>
      <c r="I174" s="38">
        <f t="shared" si="3"/>
        <v>0</v>
      </c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</row>
    <row r="175" spans="1:27" s="28" customFormat="1" x14ac:dyDescent="0.25">
      <c r="A175" s="35">
        <v>45828</v>
      </c>
      <c r="B175" s="36"/>
      <c r="C175" s="37"/>
      <c r="D175" s="37"/>
      <c r="E175" s="37"/>
      <c r="F175" s="37"/>
      <c r="G175" s="37"/>
      <c r="H175" s="37"/>
      <c r="I175" s="38">
        <f t="shared" si="3"/>
        <v>0</v>
      </c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</row>
    <row r="176" spans="1:27" s="28" customFormat="1" x14ac:dyDescent="0.25">
      <c r="A176" s="35">
        <v>45829</v>
      </c>
      <c r="B176" s="36"/>
      <c r="C176" s="37"/>
      <c r="D176" s="37"/>
      <c r="E176" s="37"/>
      <c r="F176" s="37"/>
      <c r="G176" s="37"/>
      <c r="H176" s="37"/>
      <c r="I176" s="38">
        <f t="shared" si="3"/>
        <v>0</v>
      </c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</row>
    <row r="177" spans="1:27" s="28" customFormat="1" x14ac:dyDescent="0.25">
      <c r="A177" s="35">
        <v>45830</v>
      </c>
      <c r="B177" s="36"/>
      <c r="C177" s="37"/>
      <c r="D177" s="37"/>
      <c r="E177" s="37"/>
      <c r="F177" s="37"/>
      <c r="G177" s="37"/>
      <c r="H177" s="37"/>
      <c r="I177" s="38">
        <f t="shared" si="3"/>
        <v>0</v>
      </c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</row>
    <row r="178" spans="1:27" s="28" customFormat="1" x14ac:dyDescent="0.25">
      <c r="A178" s="35">
        <v>45831</v>
      </c>
      <c r="B178" s="36"/>
      <c r="C178" s="37"/>
      <c r="D178" s="37"/>
      <c r="E178" s="37"/>
      <c r="F178" s="37"/>
      <c r="G178" s="37"/>
      <c r="H178" s="37"/>
      <c r="I178" s="38">
        <f t="shared" si="3"/>
        <v>0</v>
      </c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</row>
    <row r="179" spans="1:27" s="28" customFormat="1" x14ac:dyDescent="0.25">
      <c r="A179" s="35">
        <v>45832</v>
      </c>
      <c r="B179" s="36"/>
      <c r="C179" s="37"/>
      <c r="D179" s="37"/>
      <c r="E179" s="37"/>
      <c r="F179" s="37"/>
      <c r="G179" s="37"/>
      <c r="H179" s="37"/>
      <c r="I179" s="38">
        <f t="shared" si="3"/>
        <v>0</v>
      </c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</row>
    <row r="180" spans="1:27" s="28" customFormat="1" x14ac:dyDescent="0.25">
      <c r="A180" s="35">
        <v>45833</v>
      </c>
      <c r="B180" s="36"/>
      <c r="C180" s="37"/>
      <c r="D180" s="37"/>
      <c r="E180" s="37"/>
      <c r="F180" s="37"/>
      <c r="G180" s="37"/>
      <c r="H180" s="37"/>
      <c r="I180" s="38">
        <f t="shared" si="3"/>
        <v>0</v>
      </c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</row>
    <row r="181" spans="1:27" s="28" customFormat="1" x14ac:dyDescent="0.25">
      <c r="A181" s="35">
        <v>45834</v>
      </c>
      <c r="B181" s="36"/>
      <c r="C181" s="37"/>
      <c r="D181" s="37"/>
      <c r="E181" s="37"/>
      <c r="F181" s="37"/>
      <c r="G181" s="37"/>
      <c r="H181" s="37"/>
      <c r="I181" s="38">
        <f t="shared" si="3"/>
        <v>0</v>
      </c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</row>
    <row r="182" spans="1:27" s="28" customFormat="1" x14ac:dyDescent="0.25">
      <c r="A182" s="35">
        <v>45835</v>
      </c>
      <c r="B182" s="36"/>
      <c r="C182" s="37"/>
      <c r="D182" s="37"/>
      <c r="E182" s="37"/>
      <c r="F182" s="37"/>
      <c r="G182" s="37"/>
      <c r="H182" s="37"/>
      <c r="I182" s="38">
        <f t="shared" si="3"/>
        <v>0</v>
      </c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</row>
    <row r="183" spans="1:27" s="28" customFormat="1" x14ac:dyDescent="0.25">
      <c r="A183" s="35">
        <v>45836</v>
      </c>
      <c r="B183" s="36"/>
      <c r="C183" s="37"/>
      <c r="D183" s="37"/>
      <c r="E183" s="37"/>
      <c r="F183" s="37"/>
      <c r="G183" s="37"/>
      <c r="H183" s="37"/>
      <c r="I183" s="38">
        <f t="shared" si="3"/>
        <v>0</v>
      </c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</row>
    <row r="184" spans="1:27" s="28" customFormat="1" x14ac:dyDescent="0.25">
      <c r="A184" s="35">
        <v>45837</v>
      </c>
      <c r="B184" s="36"/>
      <c r="C184" s="37"/>
      <c r="D184" s="37"/>
      <c r="E184" s="37"/>
      <c r="F184" s="37"/>
      <c r="G184" s="37"/>
      <c r="H184" s="37"/>
      <c r="I184" s="38">
        <f t="shared" si="3"/>
        <v>0</v>
      </c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</row>
    <row r="185" spans="1:27" s="28" customFormat="1" x14ac:dyDescent="0.25">
      <c r="A185" s="35">
        <v>45838</v>
      </c>
      <c r="B185" s="36"/>
      <c r="C185" s="37"/>
      <c r="D185" s="37"/>
      <c r="E185" s="37"/>
      <c r="F185" s="37"/>
      <c r="G185" s="37"/>
      <c r="H185" s="37"/>
      <c r="I185" s="38">
        <f t="shared" si="3"/>
        <v>0</v>
      </c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</row>
    <row r="186" spans="1:27" s="28" customFormat="1" x14ac:dyDescent="0.25">
      <c r="A186" s="35">
        <v>45839</v>
      </c>
      <c r="B186" s="36"/>
      <c r="C186" s="37"/>
      <c r="D186" s="37"/>
      <c r="E186" s="37"/>
      <c r="F186" s="37"/>
      <c r="G186" s="37"/>
      <c r="H186" s="37"/>
      <c r="I186" s="38">
        <f t="shared" si="3"/>
        <v>0</v>
      </c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</row>
    <row r="187" spans="1:27" s="28" customFormat="1" x14ac:dyDescent="0.25">
      <c r="A187" s="35">
        <v>45840</v>
      </c>
      <c r="B187" s="36"/>
      <c r="C187" s="37"/>
      <c r="D187" s="37"/>
      <c r="E187" s="37"/>
      <c r="F187" s="37"/>
      <c r="G187" s="37"/>
      <c r="H187" s="37"/>
      <c r="I187" s="38">
        <f t="shared" si="3"/>
        <v>0</v>
      </c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</row>
    <row r="188" spans="1:27" s="28" customFormat="1" x14ac:dyDescent="0.25">
      <c r="A188" s="35">
        <v>45841</v>
      </c>
      <c r="B188" s="36"/>
      <c r="C188" s="37"/>
      <c r="D188" s="37"/>
      <c r="E188" s="37"/>
      <c r="F188" s="37"/>
      <c r="G188" s="37"/>
      <c r="H188" s="37"/>
      <c r="I188" s="38">
        <f t="shared" si="3"/>
        <v>0</v>
      </c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</row>
    <row r="189" spans="1:27" s="28" customFormat="1" x14ac:dyDescent="0.25">
      <c r="A189" s="35">
        <v>45842</v>
      </c>
      <c r="B189" s="36"/>
      <c r="C189" s="37"/>
      <c r="D189" s="37"/>
      <c r="E189" s="37"/>
      <c r="F189" s="37"/>
      <c r="G189" s="37"/>
      <c r="H189" s="37"/>
      <c r="I189" s="38">
        <f t="shared" si="3"/>
        <v>0</v>
      </c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</row>
    <row r="190" spans="1:27" s="28" customFormat="1" x14ac:dyDescent="0.25">
      <c r="A190" s="35">
        <v>45843</v>
      </c>
      <c r="B190" s="36"/>
      <c r="C190" s="37"/>
      <c r="D190" s="37"/>
      <c r="E190" s="37"/>
      <c r="F190" s="37"/>
      <c r="G190" s="37"/>
      <c r="H190" s="37"/>
      <c r="I190" s="38">
        <f t="shared" si="3"/>
        <v>0</v>
      </c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</row>
    <row r="191" spans="1:27" s="28" customFormat="1" x14ac:dyDescent="0.25">
      <c r="A191" s="35">
        <v>45844</v>
      </c>
      <c r="B191" s="36"/>
      <c r="C191" s="37"/>
      <c r="D191" s="37"/>
      <c r="E191" s="37"/>
      <c r="F191" s="37"/>
      <c r="G191" s="37"/>
      <c r="H191" s="37"/>
      <c r="I191" s="38">
        <f t="shared" si="3"/>
        <v>0</v>
      </c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</row>
    <row r="192" spans="1:27" s="28" customFormat="1" x14ac:dyDescent="0.25">
      <c r="A192" s="35">
        <v>45845</v>
      </c>
      <c r="B192" s="36"/>
      <c r="C192" s="37"/>
      <c r="D192" s="37"/>
      <c r="E192" s="37"/>
      <c r="F192" s="37"/>
      <c r="G192" s="37"/>
      <c r="H192" s="37"/>
      <c r="I192" s="38">
        <f t="shared" si="3"/>
        <v>0</v>
      </c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</row>
    <row r="193" spans="1:27" s="28" customFormat="1" x14ac:dyDescent="0.25">
      <c r="A193" s="35">
        <v>45846</v>
      </c>
      <c r="B193" s="36"/>
      <c r="C193" s="37"/>
      <c r="D193" s="37"/>
      <c r="E193" s="37"/>
      <c r="F193" s="37"/>
      <c r="G193" s="37"/>
      <c r="H193" s="37"/>
      <c r="I193" s="38">
        <f t="shared" si="3"/>
        <v>0</v>
      </c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</row>
    <row r="194" spans="1:27" s="28" customFormat="1" x14ac:dyDescent="0.25">
      <c r="A194" s="35">
        <v>45847</v>
      </c>
      <c r="B194" s="36"/>
      <c r="C194" s="37"/>
      <c r="D194" s="37"/>
      <c r="E194" s="37"/>
      <c r="F194" s="37"/>
      <c r="G194" s="37"/>
      <c r="H194" s="37"/>
      <c r="I194" s="38">
        <f t="shared" si="3"/>
        <v>0</v>
      </c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</row>
    <row r="195" spans="1:27" s="28" customFormat="1" x14ac:dyDescent="0.25">
      <c r="A195" s="35">
        <v>45848</v>
      </c>
      <c r="B195" s="36"/>
      <c r="C195" s="37"/>
      <c r="D195" s="37"/>
      <c r="E195" s="37"/>
      <c r="F195" s="37"/>
      <c r="G195" s="37"/>
      <c r="H195" s="37"/>
      <c r="I195" s="38">
        <f t="shared" si="3"/>
        <v>0</v>
      </c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</row>
    <row r="196" spans="1:27" s="28" customFormat="1" x14ac:dyDescent="0.25">
      <c r="A196" s="35">
        <v>45849</v>
      </c>
      <c r="B196" s="36"/>
      <c r="C196" s="37"/>
      <c r="D196" s="37"/>
      <c r="E196" s="37"/>
      <c r="F196" s="37"/>
      <c r="G196" s="37"/>
      <c r="H196" s="37"/>
      <c r="I196" s="38">
        <f t="shared" si="3"/>
        <v>0</v>
      </c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</row>
    <row r="197" spans="1:27" s="28" customFormat="1" x14ac:dyDescent="0.25">
      <c r="A197" s="35">
        <v>45850</v>
      </c>
      <c r="B197" s="36"/>
      <c r="C197" s="37"/>
      <c r="D197" s="37"/>
      <c r="E197" s="37"/>
      <c r="F197" s="37"/>
      <c r="G197" s="37"/>
      <c r="H197" s="37"/>
      <c r="I197" s="38">
        <f t="shared" si="3"/>
        <v>0</v>
      </c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</row>
    <row r="198" spans="1:27" s="28" customFormat="1" x14ac:dyDescent="0.25">
      <c r="A198" s="35">
        <v>45851</v>
      </c>
      <c r="B198" s="36"/>
      <c r="C198" s="37"/>
      <c r="D198" s="37"/>
      <c r="E198" s="37"/>
      <c r="F198" s="37"/>
      <c r="G198" s="37"/>
      <c r="H198" s="37"/>
      <c r="I198" s="38">
        <f t="shared" si="3"/>
        <v>0</v>
      </c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</row>
    <row r="199" spans="1:27" s="28" customFormat="1" x14ac:dyDescent="0.25">
      <c r="A199" s="35">
        <v>45852</v>
      </c>
      <c r="B199" s="36"/>
      <c r="C199" s="37"/>
      <c r="D199" s="37"/>
      <c r="E199" s="37"/>
      <c r="F199" s="37"/>
      <c r="G199" s="37"/>
      <c r="H199" s="37"/>
      <c r="I199" s="38">
        <f t="shared" si="3"/>
        <v>0</v>
      </c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28" customFormat="1" x14ac:dyDescent="0.25">
      <c r="A200" s="35">
        <v>45853</v>
      </c>
      <c r="B200" s="36"/>
      <c r="C200" s="37"/>
      <c r="D200" s="37"/>
      <c r="E200" s="37"/>
      <c r="F200" s="37"/>
      <c r="G200" s="37"/>
      <c r="H200" s="37"/>
      <c r="I200" s="38">
        <f t="shared" si="3"/>
        <v>0</v>
      </c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28" customFormat="1" x14ac:dyDescent="0.25">
      <c r="A201" s="35">
        <v>45854</v>
      </c>
      <c r="B201" s="36"/>
      <c r="C201" s="37"/>
      <c r="D201" s="37"/>
      <c r="E201" s="37"/>
      <c r="F201" s="37"/>
      <c r="G201" s="37"/>
      <c r="H201" s="37"/>
      <c r="I201" s="38">
        <f t="shared" si="3"/>
        <v>0</v>
      </c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</row>
    <row r="202" spans="1:27" s="28" customFormat="1" x14ac:dyDescent="0.25">
      <c r="A202" s="35">
        <v>45855</v>
      </c>
      <c r="B202" s="36"/>
      <c r="C202" s="37"/>
      <c r="D202" s="37"/>
      <c r="E202" s="37"/>
      <c r="F202" s="37"/>
      <c r="G202" s="37"/>
      <c r="H202" s="37"/>
      <c r="I202" s="38">
        <f t="shared" si="3"/>
        <v>0</v>
      </c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</row>
    <row r="203" spans="1:27" s="28" customFormat="1" x14ac:dyDescent="0.25">
      <c r="A203" s="35">
        <v>45856</v>
      </c>
      <c r="B203" s="36"/>
      <c r="C203" s="37"/>
      <c r="D203" s="37"/>
      <c r="E203" s="37"/>
      <c r="F203" s="37"/>
      <c r="G203" s="37"/>
      <c r="H203" s="37"/>
      <c r="I203" s="38">
        <f t="shared" si="3"/>
        <v>0</v>
      </c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</row>
    <row r="204" spans="1:27" s="28" customFormat="1" x14ac:dyDescent="0.25">
      <c r="A204" s="35">
        <v>45857</v>
      </c>
      <c r="B204" s="36"/>
      <c r="C204" s="37"/>
      <c r="D204" s="37"/>
      <c r="E204" s="37"/>
      <c r="F204" s="37"/>
      <c r="G204" s="37"/>
      <c r="H204" s="37"/>
      <c r="I204" s="38">
        <f t="shared" si="3"/>
        <v>0</v>
      </c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</row>
    <row r="205" spans="1:27" s="28" customFormat="1" x14ac:dyDescent="0.25">
      <c r="A205" s="35">
        <v>45858</v>
      </c>
      <c r="B205" s="36"/>
      <c r="C205" s="37"/>
      <c r="D205" s="37"/>
      <c r="E205" s="37"/>
      <c r="F205" s="37"/>
      <c r="G205" s="37"/>
      <c r="H205" s="37"/>
      <c r="I205" s="38">
        <f t="shared" si="3"/>
        <v>0</v>
      </c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</row>
    <row r="206" spans="1:27" s="28" customFormat="1" x14ac:dyDescent="0.25">
      <c r="A206" s="35">
        <v>45859</v>
      </c>
      <c r="B206" s="36"/>
      <c r="C206" s="37"/>
      <c r="D206" s="37"/>
      <c r="E206" s="37"/>
      <c r="F206" s="37"/>
      <c r="G206" s="37"/>
      <c r="H206" s="37"/>
      <c r="I206" s="38">
        <f t="shared" si="3"/>
        <v>0</v>
      </c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</row>
    <row r="207" spans="1:27" s="28" customFormat="1" x14ac:dyDescent="0.25">
      <c r="A207" s="35">
        <v>45860</v>
      </c>
      <c r="B207" s="36"/>
      <c r="C207" s="37"/>
      <c r="D207" s="37"/>
      <c r="E207" s="37"/>
      <c r="F207" s="37"/>
      <c r="G207" s="37"/>
      <c r="H207" s="37"/>
      <c r="I207" s="38">
        <f t="shared" si="3"/>
        <v>0</v>
      </c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</row>
    <row r="208" spans="1:27" s="28" customFormat="1" x14ac:dyDescent="0.25">
      <c r="A208" s="35">
        <v>45861</v>
      </c>
      <c r="B208" s="36"/>
      <c r="C208" s="37"/>
      <c r="D208" s="37"/>
      <c r="E208" s="37"/>
      <c r="F208" s="37"/>
      <c r="G208" s="37"/>
      <c r="H208" s="37"/>
      <c r="I208" s="38">
        <f t="shared" si="3"/>
        <v>0</v>
      </c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</row>
    <row r="209" spans="1:27" s="28" customFormat="1" x14ac:dyDescent="0.25">
      <c r="A209" s="35">
        <v>45862</v>
      </c>
      <c r="B209" s="36"/>
      <c r="C209" s="37"/>
      <c r="D209" s="37"/>
      <c r="E209" s="37"/>
      <c r="F209" s="37"/>
      <c r="G209" s="37"/>
      <c r="H209" s="37"/>
      <c r="I209" s="38">
        <f t="shared" si="3"/>
        <v>0</v>
      </c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</row>
    <row r="210" spans="1:27" s="28" customFormat="1" x14ac:dyDescent="0.25">
      <c r="A210" s="35">
        <v>45863</v>
      </c>
      <c r="B210" s="36"/>
      <c r="C210" s="37"/>
      <c r="D210" s="37"/>
      <c r="E210" s="37"/>
      <c r="F210" s="37"/>
      <c r="G210" s="37"/>
      <c r="H210" s="37"/>
      <c r="I210" s="38">
        <f t="shared" si="3"/>
        <v>0</v>
      </c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</row>
    <row r="211" spans="1:27" s="28" customFormat="1" x14ac:dyDescent="0.25">
      <c r="A211" s="35">
        <v>45864</v>
      </c>
      <c r="B211" s="36"/>
      <c r="C211" s="37"/>
      <c r="D211" s="37"/>
      <c r="E211" s="37"/>
      <c r="F211" s="37"/>
      <c r="G211" s="37"/>
      <c r="H211" s="37"/>
      <c r="I211" s="38">
        <f t="shared" si="3"/>
        <v>0</v>
      </c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</row>
    <row r="212" spans="1:27" s="28" customFormat="1" x14ac:dyDescent="0.25">
      <c r="A212" s="35">
        <v>45865</v>
      </c>
      <c r="B212" s="36"/>
      <c r="C212" s="37"/>
      <c r="D212" s="37"/>
      <c r="E212" s="37"/>
      <c r="F212" s="37"/>
      <c r="G212" s="37"/>
      <c r="H212" s="37"/>
      <c r="I212" s="38">
        <f t="shared" si="3"/>
        <v>0</v>
      </c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</row>
    <row r="213" spans="1:27" s="28" customFormat="1" x14ac:dyDescent="0.25">
      <c r="A213" s="35">
        <v>45866</v>
      </c>
      <c r="B213" s="36"/>
      <c r="C213" s="37"/>
      <c r="D213" s="37"/>
      <c r="E213" s="37"/>
      <c r="F213" s="37"/>
      <c r="G213" s="37"/>
      <c r="H213" s="37"/>
      <c r="I213" s="38">
        <f t="shared" si="3"/>
        <v>0</v>
      </c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</row>
    <row r="214" spans="1:27" s="28" customFormat="1" x14ac:dyDescent="0.25">
      <c r="A214" s="35">
        <v>45867</v>
      </c>
      <c r="B214" s="36"/>
      <c r="C214" s="37"/>
      <c r="D214" s="37"/>
      <c r="E214" s="37"/>
      <c r="F214" s="37"/>
      <c r="G214" s="37"/>
      <c r="H214" s="37"/>
      <c r="I214" s="38">
        <f t="shared" si="3"/>
        <v>0</v>
      </c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</row>
    <row r="215" spans="1:27" s="28" customFormat="1" x14ac:dyDescent="0.25">
      <c r="A215" s="35">
        <v>45868</v>
      </c>
      <c r="B215" s="36"/>
      <c r="C215" s="37"/>
      <c r="D215" s="37"/>
      <c r="E215" s="37"/>
      <c r="F215" s="37"/>
      <c r="G215" s="37"/>
      <c r="H215" s="37"/>
      <c r="I215" s="38">
        <f t="shared" si="3"/>
        <v>0</v>
      </c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</row>
    <row r="216" spans="1:27" s="28" customFormat="1" x14ac:dyDescent="0.25">
      <c r="A216" s="35">
        <v>45869</v>
      </c>
      <c r="B216" s="36"/>
      <c r="C216" s="37"/>
      <c r="D216" s="37"/>
      <c r="E216" s="37"/>
      <c r="F216" s="37"/>
      <c r="G216" s="37"/>
      <c r="H216" s="37"/>
      <c r="I216" s="38">
        <f t="shared" si="3"/>
        <v>0</v>
      </c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</row>
    <row r="217" spans="1:27" s="28" customFormat="1" x14ac:dyDescent="0.25">
      <c r="A217" s="35">
        <v>45870</v>
      </c>
      <c r="B217" s="36"/>
      <c r="C217" s="37"/>
      <c r="D217" s="37"/>
      <c r="E217" s="37"/>
      <c r="F217" s="37"/>
      <c r="G217" s="37"/>
      <c r="H217" s="37"/>
      <c r="I217" s="38">
        <f t="shared" si="3"/>
        <v>0</v>
      </c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</row>
    <row r="218" spans="1:27" s="28" customFormat="1" x14ac:dyDescent="0.25">
      <c r="A218" s="35">
        <v>45871</v>
      </c>
      <c r="B218" s="36"/>
      <c r="C218" s="37"/>
      <c r="D218" s="37"/>
      <c r="E218" s="37"/>
      <c r="F218" s="37"/>
      <c r="G218" s="37"/>
      <c r="H218" s="37"/>
      <c r="I218" s="38">
        <f t="shared" si="3"/>
        <v>0</v>
      </c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</row>
    <row r="219" spans="1:27" s="28" customFormat="1" x14ac:dyDescent="0.25">
      <c r="A219" s="35">
        <v>45872</v>
      </c>
      <c r="B219" s="36"/>
      <c r="C219" s="37"/>
      <c r="D219" s="37"/>
      <c r="E219" s="37"/>
      <c r="F219" s="37"/>
      <c r="G219" s="37"/>
      <c r="H219" s="37"/>
      <c r="I219" s="38">
        <f t="shared" si="3"/>
        <v>0</v>
      </c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</row>
    <row r="220" spans="1:27" s="28" customFormat="1" x14ac:dyDescent="0.25">
      <c r="A220" s="35">
        <v>45873</v>
      </c>
      <c r="B220" s="36"/>
      <c r="C220" s="37"/>
      <c r="D220" s="37"/>
      <c r="E220" s="37"/>
      <c r="F220" s="37"/>
      <c r="G220" s="37"/>
      <c r="H220" s="37"/>
      <c r="I220" s="38">
        <f t="shared" si="3"/>
        <v>0</v>
      </c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</row>
    <row r="221" spans="1:27" s="28" customFormat="1" x14ac:dyDescent="0.25">
      <c r="A221" s="35">
        <v>45874</v>
      </c>
      <c r="B221" s="36"/>
      <c r="C221" s="37"/>
      <c r="D221" s="37"/>
      <c r="E221" s="37"/>
      <c r="F221" s="37"/>
      <c r="G221" s="37"/>
      <c r="H221" s="37"/>
      <c r="I221" s="38">
        <f t="shared" si="3"/>
        <v>0</v>
      </c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</row>
    <row r="222" spans="1:27" s="28" customFormat="1" x14ac:dyDescent="0.25">
      <c r="A222" s="35">
        <v>45875</v>
      </c>
      <c r="B222" s="36"/>
      <c r="C222" s="37"/>
      <c r="D222" s="37"/>
      <c r="E222" s="37"/>
      <c r="F222" s="37"/>
      <c r="G222" s="37"/>
      <c r="H222" s="37"/>
      <c r="I222" s="38">
        <f t="shared" si="3"/>
        <v>0</v>
      </c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</row>
    <row r="223" spans="1:27" s="28" customFormat="1" x14ac:dyDescent="0.25">
      <c r="A223" s="35">
        <v>45876</v>
      </c>
      <c r="B223" s="36"/>
      <c r="C223" s="37"/>
      <c r="D223" s="37"/>
      <c r="E223" s="37"/>
      <c r="F223" s="37"/>
      <c r="G223" s="37"/>
      <c r="H223" s="37"/>
      <c r="I223" s="38">
        <f t="shared" si="3"/>
        <v>0</v>
      </c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</row>
    <row r="224" spans="1:27" s="28" customFormat="1" x14ac:dyDescent="0.25">
      <c r="A224" s="35">
        <v>45877</v>
      </c>
      <c r="B224" s="36"/>
      <c r="C224" s="37"/>
      <c r="D224" s="37"/>
      <c r="E224" s="37"/>
      <c r="F224" s="37"/>
      <c r="G224" s="37"/>
      <c r="H224" s="37"/>
      <c r="I224" s="38">
        <f t="shared" si="3"/>
        <v>0</v>
      </c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</row>
    <row r="225" spans="1:27" s="28" customFormat="1" x14ac:dyDescent="0.25">
      <c r="A225" s="35">
        <v>45878</v>
      </c>
      <c r="B225" s="36"/>
      <c r="C225" s="37"/>
      <c r="D225" s="37"/>
      <c r="E225" s="37"/>
      <c r="F225" s="37"/>
      <c r="G225" s="37"/>
      <c r="H225" s="37"/>
      <c r="I225" s="38">
        <f t="shared" si="3"/>
        <v>0</v>
      </c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</row>
    <row r="226" spans="1:27" s="28" customFormat="1" x14ac:dyDescent="0.25">
      <c r="A226" s="35">
        <v>45879</v>
      </c>
      <c r="B226" s="36"/>
      <c r="C226" s="37"/>
      <c r="D226" s="37"/>
      <c r="E226" s="37"/>
      <c r="F226" s="37"/>
      <c r="G226" s="37"/>
      <c r="H226" s="37"/>
      <c r="I226" s="38">
        <f t="shared" si="3"/>
        <v>0</v>
      </c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</row>
    <row r="227" spans="1:27" s="28" customFormat="1" x14ac:dyDescent="0.25">
      <c r="A227" s="35">
        <v>45880</v>
      </c>
      <c r="B227" s="36"/>
      <c r="C227" s="37"/>
      <c r="D227" s="37"/>
      <c r="E227" s="37"/>
      <c r="F227" s="37"/>
      <c r="G227" s="37"/>
      <c r="H227" s="37"/>
      <c r="I227" s="38">
        <f t="shared" si="3"/>
        <v>0</v>
      </c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</row>
    <row r="228" spans="1:27" s="28" customFormat="1" x14ac:dyDescent="0.25">
      <c r="A228" s="35">
        <v>45881</v>
      </c>
      <c r="B228" s="36"/>
      <c r="C228" s="37"/>
      <c r="D228" s="37"/>
      <c r="E228" s="37"/>
      <c r="F228" s="37"/>
      <c r="G228" s="37"/>
      <c r="H228" s="37"/>
      <c r="I228" s="38">
        <f t="shared" ref="I228:I291" si="4">H228-F228</f>
        <v>0</v>
      </c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</row>
    <row r="229" spans="1:27" s="28" customFormat="1" x14ac:dyDescent="0.25">
      <c r="A229" s="35">
        <v>45882</v>
      </c>
      <c r="B229" s="36"/>
      <c r="C229" s="37"/>
      <c r="D229" s="37"/>
      <c r="E229" s="37"/>
      <c r="F229" s="37"/>
      <c r="G229" s="37"/>
      <c r="H229" s="37"/>
      <c r="I229" s="38">
        <f t="shared" si="4"/>
        <v>0</v>
      </c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</row>
    <row r="230" spans="1:27" s="28" customFormat="1" x14ac:dyDescent="0.25">
      <c r="A230" s="35">
        <v>45883</v>
      </c>
      <c r="B230" s="36"/>
      <c r="C230" s="37"/>
      <c r="D230" s="37"/>
      <c r="E230" s="37"/>
      <c r="F230" s="37"/>
      <c r="G230" s="37"/>
      <c r="H230" s="37"/>
      <c r="I230" s="38">
        <f t="shared" si="4"/>
        <v>0</v>
      </c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</row>
    <row r="231" spans="1:27" s="28" customFormat="1" x14ac:dyDescent="0.25">
      <c r="A231" s="35">
        <v>45884</v>
      </c>
      <c r="B231" s="36"/>
      <c r="C231" s="37"/>
      <c r="D231" s="37"/>
      <c r="E231" s="37"/>
      <c r="F231" s="37"/>
      <c r="G231" s="37"/>
      <c r="H231" s="37"/>
      <c r="I231" s="38">
        <f t="shared" si="4"/>
        <v>0</v>
      </c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</row>
    <row r="232" spans="1:27" s="28" customFormat="1" x14ac:dyDescent="0.25">
      <c r="A232" s="35">
        <v>45885</v>
      </c>
      <c r="B232" s="36"/>
      <c r="C232" s="37"/>
      <c r="D232" s="37"/>
      <c r="E232" s="37"/>
      <c r="F232" s="37"/>
      <c r="G232" s="37"/>
      <c r="H232" s="37"/>
      <c r="I232" s="38">
        <f t="shared" si="4"/>
        <v>0</v>
      </c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</row>
    <row r="233" spans="1:27" s="28" customFormat="1" x14ac:dyDescent="0.25">
      <c r="A233" s="35">
        <v>45886</v>
      </c>
      <c r="B233" s="36"/>
      <c r="C233" s="37"/>
      <c r="D233" s="37"/>
      <c r="E233" s="37"/>
      <c r="F233" s="37"/>
      <c r="G233" s="37"/>
      <c r="H233" s="37"/>
      <c r="I233" s="38">
        <f t="shared" si="4"/>
        <v>0</v>
      </c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</row>
    <row r="234" spans="1:27" s="28" customFormat="1" x14ac:dyDescent="0.25">
      <c r="A234" s="35">
        <v>45887</v>
      </c>
      <c r="B234" s="36"/>
      <c r="C234" s="37"/>
      <c r="D234" s="37"/>
      <c r="E234" s="37"/>
      <c r="F234" s="37"/>
      <c r="G234" s="37"/>
      <c r="H234" s="37"/>
      <c r="I234" s="38">
        <f t="shared" si="4"/>
        <v>0</v>
      </c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</row>
    <row r="235" spans="1:27" s="28" customFormat="1" x14ac:dyDescent="0.25">
      <c r="A235" s="35">
        <v>45888</v>
      </c>
      <c r="B235" s="36"/>
      <c r="C235" s="37"/>
      <c r="D235" s="37"/>
      <c r="E235" s="37"/>
      <c r="F235" s="37"/>
      <c r="G235" s="37"/>
      <c r="H235" s="37"/>
      <c r="I235" s="38">
        <f t="shared" si="4"/>
        <v>0</v>
      </c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</row>
    <row r="236" spans="1:27" s="28" customFormat="1" x14ac:dyDescent="0.25">
      <c r="A236" s="35">
        <v>45889</v>
      </c>
      <c r="B236" s="36"/>
      <c r="C236" s="37"/>
      <c r="D236" s="37"/>
      <c r="E236" s="37"/>
      <c r="F236" s="37"/>
      <c r="G236" s="37"/>
      <c r="H236" s="37"/>
      <c r="I236" s="38">
        <f t="shared" si="4"/>
        <v>0</v>
      </c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</row>
    <row r="237" spans="1:27" s="28" customFormat="1" x14ac:dyDescent="0.25">
      <c r="A237" s="35">
        <v>45890</v>
      </c>
      <c r="B237" s="36"/>
      <c r="C237" s="37"/>
      <c r="D237" s="37"/>
      <c r="E237" s="37"/>
      <c r="F237" s="37"/>
      <c r="G237" s="37"/>
      <c r="H237" s="37"/>
      <c r="I237" s="38">
        <f t="shared" si="4"/>
        <v>0</v>
      </c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</row>
    <row r="238" spans="1:27" s="28" customFormat="1" x14ac:dyDescent="0.25">
      <c r="A238" s="35">
        <v>45891</v>
      </c>
      <c r="B238" s="36"/>
      <c r="C238" s="37"/>
      <c r="D238" s="37"/>
      <c r="E238" s="37"/>
      <c r="F238" s="37"/>
      <c r="G238" s="37"/>
      <c r="H238" s="37"/>
      <c r="I238" s="38">
        <f t="shared" si="4"/>
        <v>0</v>
      </c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</row>
    <row r="239" spans="1:27" s="28" customFormat="1" x14ac:dyDescent="0.25">
      <c r="A239" s="35">
        <v>45892</v>
      </c>
      <c r="B239" s="36"/>
      <c r="C239" s="37"/>
      <c r="D239" s="37"/>
      <c r="E239" s="37"/>
      <c r="F239" s="37"/>
      <c r="G239" s="37"/>
      <c r="H239" s="37"/>
      <c r="I239" s="38">
        <f t="shared" si="4"/>
        <v>0</v>
      </c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</row>
    <row r="240" spans="1:27" s="28" customFormat="1" x14ac:dyDescent="0.25">
      <c r="A240" s="35">
        <v>45893</v>
      </c>
      <c r="B240" s="36"/>
      <c r="C240" s="37"/>
      <c r="D240" s="37"/>
      <c r="E240" s="37"/>
      <c r="F240" s="37"/>
      <c r="G240" s="37"/>
      <c r="H240" s="37"/>
      <c r="I240" s="38">
        <f t="shared" si="4"/>
        <v>0</v>
      </c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</row>
    <row r="241" spans="1:27" s="28" customFormat="1" x14ac:dyDescent="0.25">
      <c r="A241" s="35">
        <v>45894</v>
      </c>
      <c r="B241" s="36"/>
      <c r="C241" s="37"/>
      <c r="D241" s="37"/>
      <c r="E241" s="37"/>
      <c r="F241" s="37"/>
      <c r="G241" s="37"/>
      <c r="H241" s="37"/>
      <c r="I241" s="38">
        <f t="shared" si="4"/>
        <v>0</v>
      </c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</row>
    <row r="242" spans="1:27" s="28" customFormat="1" x14ac:dyDescent="0.25">
      <c r="A242" s="35">
        <v>45895</v>
      </c>
      <c r="B242" s="36"/>
      <c r="C242" s="37"/>
      <c r="D242" s="37"/>
      <c r="E242" s="37"/>
      <c r="F242" s="37"/>
      <c r="G242" s="37"/>
      <c r="H242" s="37"/>
      <c r="I242" s="38">
        <f t="shared" si="4"/>
        <v>0</v>
      </c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</row>
    <row r="243" spans="1:27" s="28" customFormat="1" x14ac:dyDescent="0.25">
      <c r="A243" s="35">
        <v>45896</v>
      </c>
      <c r="B243" s="36"/>
      <c r="C243" s="37"/>
      <c r="D243" s="37"/>
      <c r="E243" s="37"/>
      <c r="F243" s="37"/>
      <c r="G243" s="37"/>
      <c r="H243" s="37"/>
      <c r="I243" s="38">
        <f t="shared" si="4"/>
        <v>0</v>
      </c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</row>
    <row r="244" spans="1:27" s="28" customFormat="1" x14ac:dyDescent="0.25">
      <c r="A244" s="35">
        <v>45897</v>
      </c>
      <c r="B244" s="36"/>
      <c r="C244" s="37"/>
      <c r="D244" s="37"/>
      <c r="E244" s="37"/>
      <c r="F244" s="37"/>
      <c r="G244" s="37"/>
      <c r="H244" s="37"/>
      <c r="I244" s="38">
        <f t="shared" si="4"/>
        <v>0</v>
      </c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</row>
    <row r="245" spans="1:27" s="28" customFormat="1" x14ac:dyDescent="0.25">
      <c r="A245" s="35">
        <v>45898</v>
      </c>
      <c r="B245" s="36"/>
      <c r="C245" s="37"/>
      <c r="D245" s="37"/>
      <c r="E245" s="37"/>
      <c r="F245" s="37"/>
      <c r="G245" s="37"/>
      <c r="H245" s="37"/>
      <c r="I245" s="38">
        <f t="shared" si="4"/>
        <v>0</v>
      </c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</row>
    <row r="246" spans="1:27" s="28" customFormat="1" x14ac:dyDescent="0.25">
      <c r="A246" s="35">
        <v>45899</v>
      </c>
      <c r="B246" s="36"/>
      <c r="C246" s="37"/>
      <c r="D246" s="37"/>
      <c r="E246" s="37"/>
      <c r="F246" s="37"/>
      <c r="G246" s="37"/>
      <c r="H246" s="37"/>
      <c r="I246" s="38">
        <f t="shared" si="4"/>
        <v>0</v>
      </c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</row>
    <row r="247" spans="1:27" s="28" customFormat="1" x14ac:dyDescent="0.25">
      <c r="A247" s="35">
        <v>45900</v>
      </c>
      <c r="B247" s="36"/>
      <c r="C247" s="37"/>
      <c r="D247" s="37"/>
      <c r="E247" s="37"/>
      <c r="F247" s="37"/>
      <c r="G247" s="37"/>
      <c r="H247" s="37"/>
      <c r="I247" s="38">
        <f t="shared" si="4"/>
        <v>0</v>
      </c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</row>
    <row r="248" spans="1:27" s="28" customFormat="1" x14ac:dyDescent="0.25">
      <c r="A248" s="35">
        <v>45901</v>
      </c>
      <c r="B248" s="36"/>
      <c r="C248" s="37"/>
      <c r="D248" s="37"/>
      <c r="E248" s="37"/>
      <c r="F248" s="37"/>
      <c r="G248" s="37"/>
      <c r="H248" s="37"/>
      <c r="I248" s="38">
        <f t="shared" si="4"/>
        <v>0</v>
      </c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</row>
    <row r="249" spans="1:27" s="28" customFormat="1" x14ac:dyDescent="0.25">
      <c r="A249" s="35">
        <v>45902</v>
      </c>
      <c r="B249" s="36"/>
      <c r="C249" s="37"/>
      <c r="D249" s="37"/>
      <c r="E249" s="37"/>
      <c r="F249" s="37"/>
      <c r="G249" s="37"/>
      <c r="H249" s="37"/>
      <c r="I249" s="38">
        <f t="shared" si="4"/>
        <v>0</v>
      </c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</row>
    <row r="250" spans="1:27" s="28" customFormat="1" x14ac:dyDescent="0.25">
      <c r="A250" s="35">
        <v>45903</v>
      </c>
      <c r="B250" s="36"/>
      <c r="C250" s="37"/>
      <c r="D250" s="37"/>
      <c r="E250" s="37"/>
      <c r="F250" s="37"/>
      <c r="G250" s="37"/>
      <c r="H250" s="37"/>
      <c r="I250" s="38">
        <f t="shared" si="4"/>
        <v>0</v>
      </c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</row>
    <row r="251" spans="1:27" s="28" customFormat="1" x14ac:dyDescent="0.25">
      <c r="A251" s="35">
        <v>45904</v>
      </c>
      <c r="B251" s="36"/>
      <c r="C251" s="37"/>
      <c r="D251" s="37"/>
      <c r="E251" s="37"/>
      <c r="F251" s="37"/>
      <c r="G251" s="37"/>
      <c r="H251" s="37"/>
      <c r="I251" s="38">
        <f t="shared" si="4"/>
        <v>0</v>
      </c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</row>
    <row r="252" spans="1:27" s="28" customFormat="1" x14ac:dyDescent="0.25">
      <c r="A252" s="35">
        <v>45905</v>
      </c>
      <c r="B252" s="36"/>
      <c r="C252" s="37"/>
      <c r="D252" s="37"/>
      <c r="E252" s="37"/>
      <c r="F252" s="37"/>
      <c r="G252" s="37"/>
      <c r="H252" s="37"/>
      <c r="I252" s="38">
        <f t="shared" si="4"/>
        <v>0</v>
      </c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</row>
    <row r="253" spans="1:27" s="28" customFormat="1" x14ac:dyDescent="0.25">
      <c r="A253" s="35">
        <v>45906</v>
      </c>
      <c r="B253" s="36"/>
      <c r="C253" s="37"/>
      <c r="D253" s="37"/>
      <c r="E253" s="37"/>
      <c r="F253" s="37"/>
      <c r="G253" s="37"/>
      <c r="H253" s="37"/>
      <c r="I253" s="38">
        <f t="shared" si="4"/>
        <v>0</v>
      </c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</row>
    <row r="254" spans="1:27" s="28" customFormat="1" x14ac:dyDescent="0.25">
      <c r="A254" s="35">
        <v>45907</v>
      </c>
      <c r="B254" s="36"/>
      <c r="C254" s="37"/>
      <c r="D254" s="37"/>
      <c r="E254" s="37"/>
      <c r="F254" s="37"/>
      <c r="G254" s="37"/>
      <c r="H254" s="37"/>
      <c r="I254" s="38">
        <f t="shared" si="4"/>
        <v>0</v>
      </c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</row>
    <row r="255" spans="1:27" s="28" customFormat="1" x14ac:dyDescent="0.25">
      <c r="A255" s="35">
        <v>45908</v>
      </c>
      <c r="B255" s="36"/>
      <c r="C255" s="37"/>
      <c r="D255" s="37"/>
      <c r="E255" s="37"/>
      <c r="F255" s="37"/>
      <c r="G255" s="37"/>
      <c r="H255" s="37"/>
      <c r="I255" s="38">
        <f t="shared" si="4"/>
        <v>0</v>
      </c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</row>
    <row r="256" spans="1:27" s="28" customFormat="1" x14ac:dyDescent="0.25">
      <c r="A256" s="35">
        <v>45909</v>
      </c>
      <c r="B256" s="36"/>
      <c r="C256" s="37"/>
      <c r="D256" s="37"/>
      <c r="E256" s="37"/>
      <c r="F256" s="37"/>
      <c r="G256" s="37"/>
      <c r="H256" s="37"/>
      <c r="I256" s="38">
        <f t="shared" si="4"/>
        <v>0</v>
      </c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</row>
    <row r="257" spans="1:27" s="28" customFormat="1" x14ac:dyDescent="0.25">
      <c r="A257" s="35">
        <v>45910</v>
      </c>
      <c r="B257" s="36"/>
      <c r="C257" s="37"/>
      <c r="D257" s="37"/>
      <c r="E257" s="37"/>
      <c r="F257" s="37"/>
      <c r="G257" s="37"/>
      <c r="H257" s="37"/>
      <c r="I257" s="38">
        <f t="shared" si="4"/>
        <v>0</v>
      </c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</row>
    <row r="258" spans="1:27" s="28" customFormat="1" x14ac:dyDescent="0.25">
      <c r="A258" s="35">
        <v>45911</v>
      </c>
      <c r="B258" s="36"/>
      <c r="C258" s="37"/>
      <c r="D258" s="37"/>
      <c r="E258" s="37"/>
      <c r="F258" s="37"/>
      <c r="G258" s="37"/>
      <c r="H258" s="37"/>
      <c r="I258" s="38">
        <f t="shared" si="4"/>
        <v>0</v>
      </c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</row>
    <row r="259" spans="1:27" s="28" customFormat="1" x14ac:dyDescent="0.25">
      <c r="A259" s="35">
        <v>45912</v>
      </c>
      <c r="B259" s="36"/>
      <c r="C259" s="37"/>
      <c r="D259" s="37"/>
      <c r="E259" s="37"/>
      <c r="F259" s="37"/>
      <c r="G259" s="37"/>
      <c r="H259" s="37"/>
      <c r="I259" s="38">
        <f t="shared" si="4"/>
        <v>0</v>
      </c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</row>
    <row r="260" spans="1:27" s="28" customFormat="1" x14ac:dyDescent="0.25">
      <c r="A260" s="35">
        <v>45913</v>
      </c>
      <c r="B260" s="36"/>
      <c r="C260" s="37"/>
      <c r="D260" s="37"/>
      <c r="E260" s="37"/>
      <c r="F260" s="37"/>
      <c r="G260" s="37"/>
      <c r="H260" s="37"/>
      <c r="I260" s="38">
        <f t="shared" si="4"/>
        <v>0</v>
      </c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</row>
    <row r="261" spans="1:27" s="28" customFormat="1" x14ac:dyDescent="0.25">
      <c r="A261" s="35">
        <v>45914</v>
      </c>
      <c r="B261" s="36"/>
      <c r="C261" s="37"/>
      <c r="D261" s="37"/>
      <c r="E261" s="37"/>
      <c r="F261" s="37"/>
      <c r="G261" s="37"/>
      <c r="H261" s="37"/>
      <c r="I261" s="38">
        <f t="shared" si="4"/>
        <v>0</v>
      </c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</row>
    <row r="262" spans="1:27" s="28" customFormat="1" x14ac:dyDescent="0.25">
      <c r="A262" s="35">
        <v>45915</v>
      </c>
      <c r="B262" s="36"/>
      <c r="C262" s="37"/>
      <c r="D262" s="37"/>
      <c r="E262" s="37"/>
      <c r="F262" s="37"/>
      <c r="G262" s="37"/>
      <c r="H262" s="37"/>
      <c r="I262" s="38">
        <f t="shared" si="4"/>
        <v>0</v>
      </c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</row>
    <row r="263" spans="1:27" s="28" customFormat="1" x14ac:dyDescent="0.25">
      <c r="A263" s="35">
        <v>45916</v>
      </c>
      <c r="B263" s="36"/>
      <c r="C263" s="37"/>
      <c r="D263" s="37"/>
      <c r="E263" s="37"/>
      <c r="F263" s="37"/>
      <c r="G263" s="37"/>
      <c r="H263" s="37"/>
      <c r="I263" s="38">
        <f t="shared" si="4"/>
        <v>0</v>
      </c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</row>
    <row r="264" spans="1:27" s="28" customFormat="1" x14ac:dyDescent="0.25">
      <c r="A264" s="35">
        <v>45917</v>
      </c>
      <c r="B264" s="36"/>
      <c r="C264" s="37"/>
      <c r="D264" s="37"/>
      <c r="E264" s="37"/>
      <c r="F264" s="37"/>
      <c r="G264" s="37"/>
      <c r="H264" s="37"/>
      <c r="I264" s="38">
        <f t="shared" si="4"/>
        <v>0</v>
      </c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</row>
    <row r="265" spans="1:27" s="28" customFormat="1" x14ac:dyDescent="0.25">
      <c r="A265" s="35">
        <v>45918</v>
      </c>
      <c r="B265" s="36"/>
      <c r="C265" s="37"/>
      <c r="D265" s="37"/>
      <c r="E265" s="37"/>
      <c r="F265" s="37"/>
      <c r="G265" s="37"/>
      <c r="H265" s="37"/>
      <c r="I265" s="38">
        <f t="shared" si="4"/>
        <v>0</v>
      </c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</row>
    <row r="266" spans="1:27" s="28" customFormat="1" x14ac:dyDescent="0.25">
      <c r="A266" s="35">
        <v>45919</v>
      </c>
      <c r="B266" s="36"/>
      <c r="C266" s="37"/>
      <c r="D266" s="37"/>
      <c r="E266" s="37"/>
      <c r="F266" s="37"/>
      <c r="G266" s="37"/>
      <c r="H266" s="37"/>
      <c r="I266" s="38">
        <f t="shared" si="4"/>
        <v>0</v>
      </c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</row>
    <row r="267" spans="1:27" s="28" customFormat="1" x14ac:dyDescent="0.25">
      <c r="A267" s="35">
        <v>45920</v>
      </c>
      <c r="B267" s="36"/>
      <c r="C267" s="37"/>
      <c r="D267" s="37"/>
      <c r="E267" s="37"/>
      <c r="F267" s="37"/>
      <c r="G267" s="37"/>
      <c r="H267" s="37"/>
      <c r="I267" s="38">
        <f t="shared" si="4"/>
        <v>0</v>
      </c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</row>
    <row r="268" spans="1:27" s="28" customFormat="1" x14ac:dyDescent="0.25">
      <c r="A268" s="35">
        <v>45921</v>
      </c>
      <c r="B268" s="36"/>
      <c r="C268" s="37"/>
      <c r="D268" s="37"/>
      <c r="E268" s="37"/>
      <c r="F268" s="37"/>
      <c r="G268" s="37"/>
      <c r="H268" s="37"/>
      <c r="I268" s="38">
        <f t="shared" si="4"/>
        <v>0</v>
      </c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</row>
    <row r="269" spans="1:27" s="28" customFormat="1" x14ac:dyDescent="0.25">
      <c r="A269" s="35">
        <v>45922</v>
      </c>
      <c r="B269" s="36"/>
      <c r="C269" s="37"/>
      <c r="D269" s="37"/>
      <c r="E269" s="37"/>
      <c r="F269" s="37"/>
      <c r="G269" s="37"/>
      <c r="H269" s="37"/>
      <c r="I269" s="38">
        <f t="shared" si="4"/>
        <v>0</v>
      </c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</row>
    <row r="270" spans="1:27" s="28" customFormat="1" x14ac:dyDescent="0.25">
      <c r="A270" s="35">
        <v>45923</v>
      </c>
      <c r="B270" s="36"/>
      <c r="C270" s="37"/>
      <c r="D270" s="37"/>
      <c r="E270" s="37"/>
      <c r="F270" s="37"/>
      <c r="G270" s="37"/>
      <c r="H270" s="37"/>
      <c r="I270" s="38">
        <f t="shared" si="4"/>
        <v>0</v>
      </c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</row>
    <row r="271" spans="1:27" s="28" customFormat="1" x14ac:dyDescent="0.25">
      <c r="A271" s="35">
        <v>45924</v>
      </c>
      <c r="B271" s="36"/>
      <c r="C271" s="37"/>
      <c r="D271" s="37"/>
      <c r="E271" s="37"/>
      <c r="F271" s="37"/>
      <c r="G271" s="37"/>
      <c r="H271" s="37"/>
      <c r="I271" s="38">
        <f t="shared" si="4"/>
        <v>0</v>
      </c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</row>
    <row r="272" spans="1:27" s="28" customFormat="1" x14ac:dyDescent="0.25">
      <c r="A272" s="35">
        <v>45925</v>
      </c>
      <c r="B272" s="36"/>
      <c r="C272" s="37"/>
      <c r="D272" s="37"/>
      <c r="E272" s="37"/>
      <c r="F272" s="37"/>
      <c r="G272" s="37"/>
      <c r="H272" s="37"/>
      <c r="I272" s="38">
        <f t="shared" si="4"/>
        <v>0</v>
      </c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</row>
    <row r="273" spans="1:27" s="28" customFormat="1" x14ac:dyDescent="0.25">
      <c r="A273" s="35">
        <v>45926</v>
      </c>
      <c r="B273" s="36"/>
      <c r="C273" s="37"/>
      <c r="D273" s="37"/>
      <c r="E273" s="37"/>
      <c r="F273" s="37"/>
      <c r="G273" s="37"/>
      <c r="H273" s="37"/>
      <c r="I273" s="38">
        <f t="shared" si="4"/>
        <v>0</v>
      </c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</row>
    <row r="274" spans="1:27" s="28" customFormat="1" x14ac:dyDescent="0.25">
      <c r="A274" s="35">
        <v>45927</v>
      </c>
      <c r="B274" s="36"/>
      <c r="C274" s="37"/>
      <c r="D274" s="37"/>
      <c r="E274" s="37"/>
      <c r="F274" s="37"/>
      <c r="G274" s="37"/>
      <c r="H274" s="37"/>
      <c r="I274" s="38">
        <f t="shared" si="4"/>
        <v>0</v>
      </c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</row>
    <row r="275" spans="1:27" s="28" customFormat="1" x14ac:dyDescent="0.25">
      <c r="A275" s="35">
        <v>45928</v>
      </c>
      <c r="B275" s="36"/>
      <c r="C275" s="37"/>
      <c r="D275" s="37"/>
      <c r="E275" s="37"/>
      <c r="F275" s="37"/>
      <c r="G275" s="37"/>
      <c r="H275" s="37"/>
      <c r="I275" s="38">
        <f t="shared" si="4"/>
        <v>0</v>
      </c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</row>
    <row r="276" spans="1:27" s="28" customFormat="1" x14ac:dyDescent="0.25">
      <c r="A276" s="35">
        <v>45929</v>
      </c>
      <c r="B276" s="36"/>
      <c r="C276" s="37"/>
      <c r="D276" s="37"/>
      <c r="E276" s="37"/>
      <c r="F276" s="37"/>
      <c r="G276" s="37"/>
      <c r="H276" s="37"/>
      <c r="I276" s="38">
        <f t="shared" si="4"/>
        <v>0</v>
      </c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</row>
    <row r="277" spans="1:27" s="28" customFormat="1" x14ac:dyDescent="0.25">
      <c r="A277" s="35">
        <v>45930</v>
      </c>
      <c r="B277" s="36"/>
      <c r="C277" s="37"/>
      <c r="D277" s="37"/>
      <c r="E277" s="37"/>
      <c r="F277" s="37"/>
      <c r="G277" s="37"/>
      <c r="H277" s="37"/>
      <c r="I277" s="38">
        <f t="shared" si="4"/>
        <v>0</v>
      </c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</row>
    <row r="278" spans="1:27" s="28" customFormat="1" x14ac:dyDescent="0.25">
      <c r="A278" s="35">
        <v>45931</v>
      </c>
      <c r="B278" s="36"/>
      <c r="C278" s="37"/>
      <c r="D278" s="37"/>
      <c r="E278" s="37"/>
      <c r="F278" s="37"/>
      <c r="G278" s="37"/>
      <c r="H278" s="37"/>
      <c r="I278" s="38">
        <f t="shared" si="4"/>
        <v>0</v>
      </c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</row>
    <row r="279" spans="1:27" s="28" customFormat="1" x14ac:dyDescent="0.25">
      <c r="A279" s="35">
        <v>45932</v>
      </c>
      <c r="B279" s="36"/>
      <c r="C279" s="37"/>
      <c r="D279" s="37"/>
      <c r="E279" s="37"/>
      <c r="F279" s="37"/>
      <c r="G279" s="37"/>
      <c r="H279" s="37"/>
      <c r="I279" s="38">
        <f t="shared" si="4"/>
        <v>0</v>
      </c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</row>
    <row r="280" spans="1:27" s="28" customFormat="1" x14ac:dyDescent="0.25">
      <c r="A280" s="35">
        <v>45933</v>
      </c>
      <c r="B280" s="36"/>
      <c r="C280" s="37"/>
      <c r="D280" s="37"/>
      <c r="E280" s="37"/>
      <c r="F280" s="37"/>
      <c r="G280" s="37"/>
      <c r="H280" s="37"/>
      <c r="I280" s="38">
        <f t="shared" si="4"/>
        <v>0</v>
      </c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</row>
    <row r="281" spans="1:27" s="28" customFormat="1" x14ac:dyDescent="0.25">
      <c r="A281" s="35">
        <v>45934</v>
      </c>
      <c r="B281" s="36"/>
      <c r="C281" s="37"/>
      <c r="D281" s="37"/>
      <c r="E281" s="37"/>
      <c r="F281" s="37"/>
      <c r="G281" s="37"/>
      <c r="H281" s="37"/>
      <c r="I281" s="38">
        <f t="shared" si="4"/>
        <v>0</v>
      </c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</row>
    <row r="282" spans="1:27" s="28" customFormat="1" x14ac:dyDescent="0.25">
      <c r="A282" s="35">
        <v>45935</v>
      </c>
      <c r="B282" s="36"/>
      <c r="C282" s="37"/>
      <c r="D282" s="37"/>
      <c r="E282" s="37"/>
      <c r="F282" s="37"/>
      <c r="G282" s="37"/>
      <c r="H282" s="37"/>
      <c r="I282" s="38">
        <f t="shared" si="4"/>
        <v>0</v>
      </c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</row>
    <row r="283" spans="1:27" s="28" customFormat="1" x14ac:dyDescent="0.25">
      <c r="A283" s="35">
        <v>45936</v>
      </c>
      <c r="B283" s="36"/>
      <c r="C283" s="37"/>
      <c r="D283" s="37"/>
      <c r="E283" s="37"/>
      <c r="F283" s="37"/>
      <c r="G283" s="37"/>
      <c r="H283" s="37"/>
      <c r="I283" s="38">
        <f t="shared" si="4"/>
        <v>0</v>
      </c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</row>
    <row r="284" spans="1:27" s="28" customFormat="1" x14ac:dyDescent="0.25">
      <c r="A284" s="35">
        <v>45937</v>
      </c>
      <c r="B284" s="36"/>
      <c r="C284" s="37"/>
      <c r="D284" s="37"/>
      <c r="E284" s="37"/>
      <c r="F284" s="37"/>
      <c r="G284" s="37"/>
      <c r="H284" s="37"/>
      <c r="I284" s="38">
        <f t="shared" si="4"/>
        <v>0</v>
      </c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</row>
    <row r="285" spans="1:27" s="28" customFormat="1" x14ac:dyDescent="0.25">
      <c r="A285" s="35">
        <v>45938</v>
      </c>
      <c r="B285" s="36"/>
      <c r="C285" s="37"/>
      <c r="D285" s="37"/>
      <c r="E285" s="37"/>
      <c r="F285" s="37"/>
      <c r="G285" s="37"/>
      <c r="H285" s="37"/>
      <c r="I285" s="38">
        <f t="shared" si="4"/>
        <v>0</v>
      </c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</row>
    <row r="286" spans="1:27" s="28" customFormat="1" x14ac:dyDescent="0.25">
      <c r="A286" s="35">
        <v>45939</v>
      </c>
      <c r="B286" s="36"/>
      <c r="C286" s="37"/>
      <c r="D286" s="37"/>
      <c r="E286" s="37"/>
      <c r="F286" s="37"/>
      <c r="G286" s="37"/>
      <c r="H286" s="37"/>
      <c r="I286" s="38">
        <f t="shared" si="4"/>
        <v>0</v>
      </c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</row>
    <row r="287" spans="1:27" s="28" customFormat="1" x14ac:dyDescent="0.25">
      <c r="A287" s="35">
        <v>45940</v>
      </c>
      <c r="B287" s="36"/>
      <c r="C287" s="37"/>
      <c r="D287" s="37"/>
      <c r="E287" s="37"/>
      <c r="F287" s="37"/>
      <c r="G287" s="37"/>
      <c r="H287" s="37"/>
      <c r="I287" s="38">
        <f t="shared" si="4"/>
        <v>0</v>
      </c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</row>
    <row r="288" spans="1:27" s="28" customFormat="1" x14ac:dyDescent="0.25">
      <c r="A288" s="35">
        <v>45941</v>
      </c>
      <c r="B288" s="36"/>
      <c r="C288" s="37"/>
      <c r="D288" s="37"/>
      <c r="E288" s="37"/>
      <c r="F288" s="37"/>
      <c r="G288" s="37"/>
      <c r="H288" s="37"/>
      <c r="I288" s="38">
        <f t="shared" si="4"/>
        <v>0</v>
      </c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</row>
    <row r="289" spans="1:27" s="28" customFormat="1" x14ac:dyDescent="0.25">
      <c r="A289" s="35">
        <v>45942</v>
      </c>
      <c r="B289" s="36"/>
      <c r="C289" s="37"/>
      <c r="D289" s="37"/>
      <c r="E289" s="37"/>
      <c r="F289" s="37"/>
      <c r="G289" s="37"/>
      <c r="H289" s="37"/>
      <c r="I289" s="38">
        <f t="shared" si="4"/>
        <v>0</v>
      </c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</row>
    <row r="290" spans="1:27" s="28" customFormat="1" x14ac:dyDescent="0.25">
      <c r="A290" s="35">
        <v>45943</v>
      </c>
      <c r="B290" s="36"/>
      <c r="C290" s="37"/>
      <c r="D290" s="37"/>
      <c r="E290" s="37"/>
      <c r="F290" s="37"/>
      <c r="G290" s="37"/>
      <c r="H290" s="37"/>
      <c r="I290" s="38">
        <f t="shared" si="4"/>
        <v>0</v>
      </c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</row>
    <row r="291" spans="1:27" s="28" customFormat="1" x14ac:dyDescent="0.25">
      <c r="A291" s="35">
        <v>45944</v>
      </c>
      <c r="B291" s="36"/>
      <c r="C291" s="37"/>
      <c r="D291" s="37"/>
      <c r="E291" s="37"/>
      <c r="F291" s="37"/>
      <c r="G291" s="37"/>
      <c r="H291" s="37"/>
      <c r="I291" s="38">
        <f t="shared" si="4"/>
        <v>0</v>
      </c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</row>
    <row r="292" spans="1:27" s="28" customFormat="1" x14ac:dyDescent="0.25">
      <c r="A292" s="35">
        <v>45945</v>
      </c>
      <c r="B292" s="36"/>
      <c r="C292" s="37"/>
      <c r="D292" s="37"/>
      <c r="E292" s="37"/>
      <c r="F292" s="37"/>
      <c r="G292" s="37"/>
      <c r="H292" s="37"/>
      <c r="I292" s="38">
        <f t="shared" ref="I292:I355" si="5">H292-F292</f>
        <v>0</v>
      </c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</row>
    <row r="293" spans="1:27" s="28" customFormat="1" x14ac:dyDescent="0.25">
      <c r="A293" s="35">
        <v>45946</v>
      </c>
      <c r="B293" s="36"/>
      <c r="C293" s="37"/>
      <c r="D293" s="37"/>
      <c r="E293" s="37"/>
      <c r="F293" s="37"/>
      <c r="G293" s="37"/>
      <c r="H293" s="37"/>
      <c r="I293" s="38">
        <f t="shared" si="5"/>
        <v>0</v>
      </c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</row>
    <row r="294" spans="1:27" s="28" customFormat="1" x14ac:dyDescent="0.25">
      <c r="A294" s="35">
        <v>45947</v>
      </c>
      <c r="B294" s="36"/>
      <c r="C294" s="37"/>
      <c r="D294" s="37"/>
      <c r="E294" s="37"/>
      <c r="F294" s="37"/>
      <c r="G294" s="37"/>
      <c r="H294" s="37"/>
      <c r="I294" s="38">
        <f t="shared" si="5"/>
        <v>0</v>
      </c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</row>
    <row r="295" spans="1:27" s="28" customFormat="1" x14ac:dyDescent="0.25">
      <c r="A295" s="35">
        <v>45948</v>
      </c>
      <c r="B295" s="36"/>
      <c r="C295" s="37"/>
      <c r="D295" s="37"/>
      <c r="E295" s="37"/>
      <c r="F295" s="37"/>
      <c r="G295" s="37"/>
      <c r="H295" s="37"/>
      <c r="I295" s="38">
        <f t="shared" si="5"/>
        <v>0</v>
      </c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</row>
    <row r="296" spans="1:27" s="28" customFormat="1" x14ac:dyDescent="0.25">
      <c r="A296" s="35">
        <v>45949</v>
      </c>
      <c r="B296" s="36"/>
      <c r="C296" s="37"/>
      <c r="D296" s="37"/>
      <c r="E296" s="37"/>
      <c r="F296" s="37"/>
      <c r="G296" s="37"/>
      <c r="H296" s="37"/>
      <c r="I296" s="38">
        <f t="shared" si="5"/>
        <v>0</v>
      </c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</row>
    <row r="297" spans="1:27" s="28" customFormat="1" x14ac:dyDescent="0.25">
      <c r="A297" s="35">
        <v>45950</v>
      </c>
      <c r="B297" s="36"/>
      <c r="C297" s="37"/>
      <c r="D297" s="37"/>
      <c r="E297" s="37"/>
      <c r="F297" s="37"/>
      <c r="G297" s="37"/>
      <c r="H297" s="37"/>
      <c r="I297" s="38">
        <f t="shared" si="5"/>
        <v>0</v>
      </c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</row>
    <row r="298" spans="1:27" s="28" customFormat="1" x14ac:dyDescent="0.25">
      <c r="A298" s="35">
        <v>45951</v>
      </c>
      <c r="B298" s="36"/>
      <c r="C298" s="37"/>
      <c r="D298" s="37"/>
      <c r="E298" s="37"/>
      <c r="F298" s="37"/>
      <c r="G298" s="37"/>
      <c r="H298" s="37"/>
      <c r="I298" s="38">
        <f t="shared" si="5"/>
        <v>0</v>
      </c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</row>
    <row r="299" spans="1:27" s="28" customFormat="1" x14ac:dyDescent="0.25">
      <c r="A299" s="35">
        <v>45952</v>
      </c>
      <c r="B299" s="36"/>
      <c r="C299" s="37"/>
      <c r="D299" s="37"/>
      <c r="E299" s="37"/>
      <c r="F299" s="37"/>
      <c r="G299" s="37"/>
      <c r="H299" s="37"/>
      <c r="I299" s="38">
        <f t="shared" si="5"/>
        <v>0</v>
      </c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</row>
    <row r="300" spans="1:27" s="28" customFormat="1" x14ac:dyDescent="0.25">
      <c r="A300" s="35">
        <v>45953</v>
      </c>
      <c r="B300" s="36"/>
      <c r="C300" s="37"/>
      <c r="D300" s="37"/>
      <c r="E300" s="37"/>
      <c r="F300" s="37"/>
      <c r="G300" s="37"/>
      <c r="H300" s="37"/>
      <c r="I300" s="38">
        <f t="shared" si="5"/>
        <v>0</v>
      </c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</row>
    <row r="301" spans="1:27" s="28" customFormat="1" x14ac:dyDescent="0.25">
      <c r="A301" s="35">
        <v>45954</v>
      </c>
      <c r="B301" s="36"/>
      <c r="C301" s="37"/>
      <c r="D301" s="37"/>
      <c r="E301" s="37"/>
      <c r="F301" s="37"/>
      <c r="G301" s="37"/>
      <c r="H301" s="37"/>
      <c r="I301" s="38">
        <f t="shared" si="5"/>
        <v>0</v>
      </c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</row>
    <row r="302" spans="1:27" s="28" customFormat="1" x14ac:dyDescent="0.25">
      <c r="A302" s="35">
        <v>45955</v>
      </c>
      <c r="B302" s="36"/>
      <c r="C302" s="37"/>
      <c r="D302" s="37"/>
      <c r="E302" s="37"/>
      <c r="F302" s="37"/>
      <c r="G302" s="37"/>
      <c r="H302" s="37"/>
      <c r="I302" s="38">
        <f t="shared" si="5"/>
        <v>0</v>
      </c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</row>
    <row r="303" spans="1:27" s="28" customFormat="1" x14ac:dyDescent="0.25">
      <c r="A303" s="35">
        <v>45956</v>
      </c>
      <c r="B303" s="36"/>
      <c r="C303" s="37"/>
      <c r="D303" s="37"/>
      <c r="E303" s="37"/>
      <c r="F303" s="37"/>
      <c r="G303" s="37"/>
      <c r="H303" s="37"/>
      <c r="I303" s="38">
        <f t="shared" si="5"/>
        <v>0</v>
      </c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</row>
    <row r="304" spans="1:27" s="28" customFormat="1" x14ac:dyDescent="0.25">
      <c r="A304" s="35">
        <v>45957</v>
      </c>
      <c r="B304" s="36"/>
      <c r="C304" s="37"/>
      <c r="D304" s="37"/>
      <c r="E304" s="37"/>
      <c r="F304" s="37"/>
      <c r="G304" s="37"/>
      <c r="H304" s="37"/>
      <c r="I304" s="38">
        <f t="shared" si="5"/>
        <v>0</v>
      </c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</row>
    <row r="305" spans="1:27" s="28" customFormat="1" x14ac:dyDescent="0.25">
      <c r="A305" s="35">
        <v>45958</v>
      </c>
      <c r="B305" s="36"/>
      <c r="C305" s="37"/>
      <c r="D305" s="37"/>
      <c r="E305" s="37"/>
      <c r="F305" s="37"/>
      <c r="G305" s="37"/>
      <c r="H305" s="37"/>
      <c r="I305" s="38">
        <f t="shared" si="5"/>
        <v>0</v>
      </c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</row>
    <row r="306" spans="1:27" s="28" customFormat="1" x14ac:dyDescent="0.25">
      <c r="A306" s="35">
        <v>45959</v>
      </c>
      <c r="B306" s="36"/>
      <c r="C306" s="37"/>
      <c r="D306" s="37"/>
      <c r="E306" s="37"/>
      <c r="F306" s="37"/>
      <c r="G306" s="37"/>
      <c r="H306" s="37"/>
      <c r="I306" s="38">
        <f t="shared" si="5"/>
        <v>0</v>
      </c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</row>
    <row r="307" spans="1:27" s="28" customFormat="1" x14ac:dyDescent="0.25">
      <c r="A307" s="35">
        <v>45960</v>
      </c>
      <c r="B307" s="36"/>
      <c r="C307" s="37"/>
      <c r="D307" s="37"/>
      <c r="E307" s="37"/>
      <c r="F307" s="37"/>
      <c r="G307" s="37"/>
      <c r="H307" s="37"/>
      <c r="I307" s="38">
        <f t="shared" si="5"/>
        <v>0</v>
      </c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</row>
    <row r="308" spans="1:27" s="28" customFormat="1" x14ac:dyDescent="0.25">
      <c r="A308" s="35">
        <v>45961</v>
      </c>
      <c r="B308" s="36"/>
      <c r="C308" s="37"/>
      <c r="D308" s="37"/>
      <c r="E308" s="37"/>
      <c r="F308" s="37"/>
      <c r="G308" s="37"/>
      <c r="H308" s="37"/>
      <c r="I308" s="38">
        <f t="shared" si="5"/>
        <v>0</v>
      </c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</row>
    <row r="309" spans="1:27" s="28" customFormat="1" x14ac:dyDescent="0.25">
      <c r="A309" s="35">
        <v>45962</v>
      </c>
      <c r="B309" s="36"/>
      <c r="C309" s="37"/>
      <c r="D309" s="37"/>
      <c r="E309" s="37"/>
      <c r="F309" s="37"/>
      <c r="G309" s="37"/>
      <c r="H309" s="37"/>
      <c r="I309" s="38">
        <f t="shared" si="5"/>
        <v>0</v>
      </c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</row>
    <row r="310" spans="1:27" s="28" customFormat="1" x14ac:dyDescent="0.25">
      <c r="A310" s="35">
        <v>45963</v>
      </c>
      <c r="B310" s="36"/>
      <c r="C310" s="37"/>
      <c r="D310" s="37"/>
      <c r="E310" s="37"/>
      <c r="F310" s="37"/>
      <c r="G310" s="37"/>
      <c r="H310" s="37"/>
      <c r="I310" s="38">
        <f t="shared" si="5"/>
        <v>0</v>
      </c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</row>
    <row r="311" spans="1:27" s="28" customFormat="1" x14ac:dyDescent="0.25">
      <c r="A311" s="35">
        <v>45964</v>
      </c>
      <c r="B311" s="36"/>
      <c r="C311" s="37"/>
      <c r="D311" s="37"/>
      <c r="E311" s="37"/>
      <c r="F311" s="37"/>
      <c r="G311" s="37"/>
      <c r="H311" s="37"/>
      <c r="I311" s="38">
        <f t="shared" si="5"/>
        <v>0</v>
      </c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</row>
    <row r="312" spans="1:27" s="28" customFormat="1" x14ac:dyDescent="0.25">
      <c r="A312" s="35">
        <v>45965</v>
      </c>
      <c r="B312" s="36"/>
      <c r="C312" s="37"/>
      <c r="D312" s="37"/>
      <c r="E312" s="37"/>
      <c r="F312" s="37"/>
      <c r="G312" s="37"/>
      <c r="H312" s="37"/>
      <c r="I312" s="38">
        <f t="shared" si="5"/>
        <v>0</v>
      </c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</row>
    <row r="313" spans="1:27" s="28" customFormat="1" x14ac:dyDescent="0.25">
      <c r="A313" s="35">
        <v>45966</v>
      </c>
      <c r="B313" s="36"/>
      <c r="C313" s="37"/>
      <c r="D313" s="37"/>
      <c r="E313" s="37"/>
      <c r="F313" s="37"/>
      <c r="G313" s="37"/>
      <c r="H313" s="37"/>
      <c r="I313" s="38">
        <f t="shared" si="5"/>
        <v>0</v>
      </c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</row>
    <row r="314" spans="1:27" s="28" customFormat="1" x14ac:dyDescent="0.25">
      <c r="A314" s="35">
        <v>45967</v>
      </c>
      <c r="B314" s="36"/>
      <c r="C314" s="37"/>
      <c r="D314" s="37"/>
      <c r="E314" s="37"/>
      <c r="F314" s="37"/>
      <c r="G314" s="37"/>
      <c r="H314" s="37"/>
      <c r="I314" s="38">
        <f t="shared" si="5"/>
        <v>0</v>
      </c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</row>
    <row r="315" spans="1:27" s="28" customFormat="1" x14ac:dyDescent="0.25">
      <c r="A315" s="35">
        <v>45968</v>
      </c>
      <c r="B315" s="36"/>
      <c r="C315" s="37"/>
      <c r="D315" s="37"/>
      <c r="E315" s="37"/>
      <c r="F315" s="37"/>
      <c r="G315" s="37"/>
      <c r="H315" s="37"/>
      <c r="I315" s="38">
        <f t="shared" si="5"/>
        <v>0</v>
      </c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</row>
    <row r="316" spans="1:27" s="28" customFormat="1" x14ac:dyDescent="0.25">
      <c r="A316" s="35">
        <v>45969</v>
      </c>
      <c r="B316" s="36"/>
      <c r="C316" s="37"/>
      <c r="D316" s="37"/>
      <c r="E316" s="37"/>
      <c r="F316" s="37"/>
      <c r="G316" s="37"/>
      <c r="H316" s="37"/>
      <c r="I316" s="38">
        <f t="shared" si="5"/>
        <v>0</v>
      </c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</row>
    <row r="317" spans="1:27" s="28" customFormat="1" x14ac:dyDescent="0.25">
      <c r="A317" s="35">
        <v>45970</v>
      </c>
      <c r="B317" s="36"/>
      <c r="C317" s="37"/>
      <c r="D317" s="37"/>
      <c r="E317" s="37"/>
      <c r="F317" s="37"/>
      <c r="G317" s="37"/>
      <c r="H317" s="37"/>
      <c r="I317" s="38">
        <f t="shared" si="5"/>
        <v>0</v>
      </c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</row>
    <row r="318" spans="1:27" s="28" customFormat="1" x14ac:dyDescent="0.25">
      <c r="A318" s="35">
        <v>45971</v>
      </c>
      <c r="B318" s="36"/>
      <c r="C318" s="37"/>
      <c r="D318" s="37"/>
      <c r="E318" s="37"/>
      <c r="F318" s="37"/>
      <c r="G318" s="37"/>
      <c r="H318" s="37"/>
      <c r="I318" s="38">
        <f t="shared" si="5"/>
        <v>0</v>
      </c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</row>
    <row r="319" spans="1:27" s="28" customFormat="1" x14ac:dyDescent="0.25">
      <c r="A319" s="35">
        <v>45972</v>
      </c>
      <c r="B319" s="36"/>
      <c r="C319" s="37"/>
      <c r="D319" s="37"/>
      <c r="E319" s="37"/>
      <c r="F319" s="37"/>
      <c r="G319" s="37"/>
      <c r="H319" s="37"/>
      <c r="I319" s="38">
        <f t="shared" si="5"/>
        <v>0</v>
      </c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</row>
    <row r="320" spans="1:27" s="28" customFormat="1" x14ac:dyDescent="0.25">
      <c r="A320" s="35">
        <v>45973</v>
      </c>
      <c r="B320" s="36"/>
      <c r="C320" s="37"/>
      <c r="D320" s="37"/>
      <c r="E320" s="37"/>
      <c r="F320" s="37"/>
      <c r="G320" s="37"/>
      <c r="H320" s="37"/>
      <c r="I320" s="38">
        <f t="shared" si="5"/>
        <v>0</v>
      </c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</row>
    <row r="321" spans="1:27" s="28" customFormat="1" x14ac:dyDescent="0.25">
      <c r="A321" s="35">
        <v>45974</v>
      </c>
      <c r="B321" s="36"/>
      <c r="C321" s="37"/>
      <c r="D321" s="37"/>
      <c r="E321" s="37"/>
      <c r="F321" s="37"/>
      <c r="G321" s="37"/>
      <c r="H321" s="37"/>
      <c r="I321" s="38">
        <f t="shared" si="5"/>
        <v>0</v>
      </c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</row>
    <row r="322" spans="1:27" s="28" customFormat="1" x14ac:dyDescent="0.25">
      <c r="A322" s="35">
        <v>45975</v>
      </c>
      <c r="B322" s="36"/>
      <c r="C322" s="37"/>
      <c r="D322" s="37"/>
      <c r="E322" s="37"/>
      <c r="F322" s="37"/>
      <c r="G322" s="37"/>
      <c r="H322" s="37"/>
      <c r="I322" s="38">
        <f t="shared" si="5"/>
        <v>0</v>
      </c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</row>
    <row r="323" spans="1:27" s="28" customFormat="1" x14ac:dyDescent="0.25">
      <c r="A323" s="35">
        <v>45976</v>
      </c>
      <c r="B323" s="36"/>
      <c r="C323" s="37"/>
      <c r="D323" s="37"/>
      <c r="E323" s="37"/>
      <c r="F323" s="37"/>
      <c r="G323" s="37"/>
      <c r="H323" s="37"/>
      <c r="I323" s="38">
        <f t="shared" si="5"/>
        <v>0</v>
      </c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</row>
    <row r="324" spans="1:27" s="28" customFormat="1" x14ac:dyDescent="0.25">
      <c r="A324" s="35">
        <v>45977</v>
      </c>
      <c r="B324" s="36"/>
      <c r="C324" s="37"/>
      <c r="D324" s="37"/>
      <c r="E324" s="37"/>
      <c r="F324" s="37"/>
      <c r="G324" s="37"/>
      <c r="H324" s="37"/>
      <c r="I324" s="38">
        <f t="shared" si="5"/>
        <v>0</v>
      </c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</row>
    <row r="325" spans="1:27" s="28" customFormat="1" x14ac:dyDescent="0.25">
      <c r="A325" s="35">
        <v>45978</v>
      </c>
      <c r="B325" s="36"/>
      <c r="C325" s="37"/>
      <c r="D325" s="37"/>
      <c r="E325" s="37"/>
      <c r="F325" s="37"/>
      <c r="G325" s="37"/>
      <c r="H325" s="37"/>
      <c r="I325" s="38">
        <f t="shared" si="5"/>
        <v>0</v>
      </c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</row>
    <row r="326" spans="1:27" s="28" customFormat="1" x14ac:dyDescent="0.25">
      <c r="A326" s="35">
        <v>45979</v>
      </c>
      <c r="B326" s="36"/>
      <c r="C326" s="37"/>
      <c r="D326" s="37"/>
      <c r="E326" s="37"/>
      <c r="F326" s="37"/>
      <c r="G326" s="37"/>
      <c r="H326" s="37"/>
      <c r="I326" s="38">
        <f t="shared" si="5"/>
        <v>0</v>
      </c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</row>
    <row r="327" spans="1:27" s="28" customFormat="1" x14ac:dyDescent="0.25">
      <c r="A327" s="35">
        <v>45980</v>
      </c>
      <c r="B327" s="36"/>
      <c r="C327" s="37"/>
      <c r="D327" s="37"/>
      <c r="E327" s="37"/>
      <c r="F327" s="37"/>
      <c r="G327" s="37"/>
      <c r="H327" s="37"/>
      <c r="I327" s="38">
        <f t="shared" si="5"/>
        <v>0</v>
      </c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</row>
    <row r="328" spans="1:27" s="28" customFormat="1" x14ac:dyDescent="0.25">
      <c r="A328" s="35">
        <v>45981</v>
      </c>
      <c r="B328" s="36"/>
      <c r="C328" s="37"/>
      <c r="D328" s="37"/>
      <c r="E328" s="37"/>
      <c r="F328" s="37"/>
      <c r="G328" s="37"/>
      <c r="H328" s="37"/>
      <c r="I328" s="38">
        <f t="shared" si="5"/>
        <v>0</v>
      </c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</row>
    <row r="329" spans="1:27" s="28" customFormat="1" x14ac:dyDescent="0.25">
      <c r="A329" s="35">
        <v>45982</v>
      </c>
      <c r="B329" s="36"/>
      <c r="C329" s="37"/>
      <c r="D329" s="37"/>
      <c r="E329" s="37"/>
      <c r="F329" s="37"/>
      <c r="G329" s="37"/>
      <c r="H329" s="37"/>
      <c r="I329" s="38">
        <f t="shared" si="5"/>
        <v>0</v>
      </c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</row>
    <row r="330" spans="1:27" s="28" customFormat="1" x14ac:dyDescent="0.25">
      <c r="A330" s="35">
        <v>45983</v>
      </c>
      <c r="B330" s="36"/>
      <c r="C330" s="37"/>
      <c r="D330" s="37"/>
      <c r="E330" s="37"/>
      <c r="F330" s="37"/>
      <c r="G330" s="37"/>
      <c r="H330" s="37"/>
      <c r="I330" s="38">
        <f t="shared" si="5"/>
        <v>0</v>
      </c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</row>
    <row r="331" spans="1:27" s="28" customFormat="1" x14ac:dyDescent="0.25">
      <c r="A331" s="35">
        <v>45984</v>
      </c>
      <c r="B331" s="36"/>
      <c r="C331" s="37"/>
      <c r="D331" s="37"/>
      <c r="E331" s="37"/>
      <c r="F331" s="37"/>
      <c r="G331" s="37"/>
      <c r="H331" s="37"/>
      <c r="I331" s="38">
        <f t="shared" si="5"/>
        <v>0</v>
      </c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</row>
    <row r="332" spans="1:27" s="28" customFormat="1" x14ac:dyDescent="0.25">
      <c r="A332" s="35">
        <v>45985</v>
      </c>
      <c r="B332" s="36"/>
      <c r="C332" s="37"/>
      <c r="D332" s="37"/>
      <c r="E332" s="37"/>
      <c r="F332" s="37"/>
      <c r="G332" s="37"/>
      <c r="H332" s="37"/>
      <c r="I332" s="38">
        <f t="shared" si="5"/>
        <v>0</v>
      </c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</row>
    <row r="333" spans="1:27" s="28" customFormat="1" x14ac:dyDescent="0.25">
      <c r="A333" s="35">
        <v>45986</v>
      </c>
      <c r="B333" s="36"/>
      <c r="C333" s="37"/>
      <c r="D333" s="37"/>
      <c r="E333" s="37"/>
      <c r="F333" s="37"/>
      <c r="G333" s="37"/>
      <c r="H333" s="37"/>
      <c r="I333" s="38">
        <f t="shared" si="5"/>
        <v>0</v>
      </c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</row>
    <row r="334" spans="1:27" s="28" customFormat="1" x14ac:dyDescent="0.25">
      <c r="A334" s="35">
        <v>45987</v>
      </c>
      <c r="B334" s="36"/>
      <c r="C334" s="37"/>
      <c r="D334" s="37"/>
      <c r="E334" s="37"/>
      <c r="F334" s="37"/>
      <c r="G334" s="37"/>
      <c r="H334" s="37"/>
      <c r="I334" s="38">
        <f t="shared" si="5"/>
        <v>0</v>
      </c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</row>
    <row r="335" spans="1:27" s="28" customFormat="1" x14ac:dyDescent="0.25">
      <c r="A335" s="35">
        <v>45988</v>
      </c>
      <c r="B335" s="36"/>
      <c r="C335" s="37"/>
      <c r="D335" s="37"/>
      <c r="E335" s="37"/>
      <c r="F335" s="37"/>
      <c r="G335" s="37"/>
      <c r="H335" s="37"/>
      <c r="I335" s="38">
        <f t="shared" si="5"/>
        <v>0</v>
      </c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</row>
    <row r="336" spans="1:27" s="28" customFormat="1" x14ac:dyDescent="0.25">
      <c r="A336" s="35">
        <v>45989</v>
      </c>
      <c r="B336" s="36"/>
      <c r="C336" s="37"/>
      <c r="D336" s="37"/>
      <c r="E336" s="37"/>
      <c r="F336" s="37"/>
      <c r="G336" s="37"/>
      <c r="H336" s="37"/>
      <c r="I336" s="38">
        <f t="shared" si="5"/>
        <v>0</v>
      </c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</row>
    <row r="337" spans="1:27" s="28" customFormat="1" x14ac:dyDescent="0.25">
      <c r="A337" s="35">
        <v>45990</v>
      </c>
      <c r="B337" s="36"/>
      <c r="C337" s="37"/>
      <c r="D337" s="37"/>
      <c r="E337" s="37"/>
      <c r="F337" s="37"/>
      <c r="G337" s="37"/>
      <c r="H337" s="37"/>
      <c r="I337" s="38">
        <f t="shared" si="5"/>
        <v>0</v>
      </c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</row>
    <row r="338" spans="1:27" s="28" customFormat="1" x14ac:dyDescent="0.25">
      <c r="A338" s="35">
        <v>45991</v>
      </c>
      <c r="B338" s="36"/>
      <c r="C338" s="37"/>
      <c r="D338" s="37"/>
      <c r="E338" s="37"/>
      <c r="F338" s="37"/>
      <c r="G338" s="37"/>
      <c r="H338" s="37"/>
      <c r="I338" s="38">
        <f t="shared" si="5"/>
        <v>0</v>
      </c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</row>
    <row r="339" spans="1:27" s="28" customFormat="1" x14ac:dyDescent="0.25">
      <c r="A339" s="35">
        <v>45992</v>
      </c>
      <c r="B339" s="36"/>
      <c r="C339" s="37"/>
      <c r="D339" s="37"/>
      <c r="E339" s="37"/>
      <c r="F339" s="37"/>
      <c r="G339" s="37"/>
      <c r="H339" s="37"/>
      <c r="I339" s="38">
        <f t="shared" si="5"/>
        <v>0</v>
      </c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</row>
    <row r="340" spans="1:27" s="28" customFormat="1" x14ac:dyDescent="0.25">
      <c r="A340" s="35">
        <v>45993</v>
      </c>
      <c r="B340" s="36"/>
      <c r="C340" s="37"/>
      <c r="D340" s="37"/>
      <c r="E340" s="37"/>
      <c r="F340" s="37"/>
      <c r="G340" s="37"/>
      <c r="H340" s="37"/>
      <c r="I340" s="38">
        <f t="shared" si="5"/>
        <v>0</v>
      </c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</row>
    <row r="341" spans="1:27" s="28" customFormat="1" x14ac:dyDescent="0.25">
      <c r="A341" s="35">
        <v>45994</v>
      </c>
      <c r="B341" s="36"/>
      <c r="C341" s="37"/>
      <c r="D341" s="37"/>
      <c r="E341" s="37"/>
      <c r="F341" s="37"/>
      <c r="G341" s="37"/>
      <c r="H341" s="37"/>
      <c r="I341" s="38">
        <f t="shared" si="5"/>
        <v>0</v>
      </c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</row>
    <row r="342" spans="1:27" s="28" customFormat="1" x14ac:dyDescent="0.25">
      <c r="A342" s="35">
        <v>45995</v>
      </c>
      <c r="B342" s="36"/>
      <c r="C342" s="37"/>
      <c r="D342" s="37"/>
      <c r="E342" s="37"/>
      <c r="F342" s="37"/>
      <c r="G342" s="37"/>
      <c r="H342" s="37"/>
      <c r="I342" s="38">
        <f t="shared" si="5"/>
        <v>0</v>
      </c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</row>
    <row r="343" spans="1:27" s="28" customFormat="1" x14ac:dyDescent="0.25">
      <c r="A343" s="35">
        <v>45996</v>
      </c>
      <c r="B343" s="36"/>
      <c r="C343" s="37"/>
      <c r="D343" s="37"/>
      <c r="E343" s="37"/>
      <c r="F343" s="37"/>
      <c r="G343" s="37"/>
      <c r="H343" s="37"/>
      <c r="I343" s="38">
        <f t="shared" si="5"/>
        <v>0</v>
      </c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</row>
    <row r="344" spans="1:27" s="28" customFormat="1" x14ac:dyDescent="0.25">
      <c r="A344" s="35">
        <v>45997</v>
      </c>
      <c r="B344" s="36"/>
      <c r="C344" s="37"/>
      <c r="D344" s="37"/>
      <c r="E344" s="37"/>
      <c r="F344" s="37"/>
      <c r="G344" s="37"/>
      <c r="H344" s="37"/>
      <c r="I344" s="38">
        <f t="shared" si="5"/>
        <v>0</v>
      </c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</row>
    <row r="345" spans="1:27" s="28" customFormat="1" x14ac:dyDescent="0.25">
      <c r="A345" s="35">
        <v>45998</v>
      </c>
      <c r="B345" s="36"/>
      <c r="C345" s="37"/>
      <c r="D345" s="37"/>
      <c r="E345" s="37"/>
      <c r="F345" s="37"/>
      <c r="G345" s="37"/>
      <c r="H345" s="37"/>
      <c r="I345" s="38">
        <f t="shared" si="5"/>
        <v>0</v>
      </c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</row>
    <row r="346" spans="1:27" s="28" customFormat="1" x14ac:dyDescent="0.25">
      <c r="A346" s="35">
        <v>45999</v>
      </c>
      <c r="B346" s="36"/>
      <c r="C346" s="37"/>
      <c r="D346" s="37"/>
      <c r="E346" s="37"/>
      <c r="F346" s="37"/>
      <c r="G346" s="37"/>
      <c r="H346" s="37"/>
      <c r="I346" s="38">
        <f t="shared" si="5"/>
        <v>0</v>
      </c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</row>
    <row r="347" spans="1:27" s="28" customFormat="1" x14ac:dyDescent="0.25">
      <c r="A347" s="35">
        <v>46000</v>
      </c>
      <c r="B347" s="36"/>
      <c r="C347" s="37"/>
      <c r="D347" s="37"/>
      <c r="E347" s="37"/>
      <c r="F347" s="37"/>
      <c r="G347" s="37"/>
      <c r="H347" s="37"/>
      <c r="I347" s="38">
        <f t="shared" si="5"/>
        <v>0</v>
      </c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</row>
    <row r="348" spans="1:27" s="28" customFormat="1" x14ac:dyDescent="0.25">
      <c r="A348" s="35">
        <v>46001</v>
      </c>
      <c r="B348" s="36"/>
      <c r="C348" s="37"/>
      <c r="D348" s="37"/>
      <c r="E348" s="37"/>
      <c r="F348" s="37"/>
      <c r="G348" s="37"/>
      <c r="H348" s="37"/>
      <c r="I348" s="38">
        <f t="shared" si="5"/>
        <v>0</v>
      </c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</row>
    <row r="349" spans="1:27" s="28" customFormat="1" x14ac:dyDescent="0.25">
      <c r="A349" s="35">
        <v>46002</v>
      </c>
      <c r="B349" s="36"/>
      <c r="C349" s="37"/>
      <c r="D349" s="37"/>
      <c r="E349" s="37"/>
      <c r="F349" s="37"/>
      <c r="G349" s="37"/>
      <c r="H349" s="37"/>
      <c r="I349" s="38">
        <f t="shared" si="5"/>
        <v>0</v>
      </c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</row>
    <row r="350" spans="1:27" s="28" customFormat="1" x14ac:dyDescent="0.25">
      <c r="A350" s="35">
        <v>46003</v>
      </c>
      <c r="B350" s="36"/>
      <c r="C350" s="37"/>
      <c r="D350" s="37"/>
      <c r="E350" s="37"/>
      <c r="F350" s="37"/>
      <c r="G350" s="37"/>
      <c r="H350" s="37"/>
      <c r="I350" s="38">
        <f t="shared" si="5"/>
        <v>0</v>
      </c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</row>
    <row r="351" spans="1:27" s="28" customFormat="1" x14ac:dyDescent="0.25">
      <c r="A351" s="35">
        <v>46004</v>
      </c>
      <c r="B351" s="36"/>
      <c r="C351" s="37"/>
      <c r="D351" s="37"/>
      <c r="E351" s="37"/>
      <c r="F351" s="37"/>
      <c r="G351" s="37"/>
      <c r="H351" s="37"/>
      <c r="I351" s="38">
        <f t="shared" si="5"/>
        <v>0</v>
      </c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</row>
    <row r="352" spans="1:27" s="28" customFormat="1" x14ac:dyDescent="0.25">
      <c r="A352" s="35">
        <v>46005</v>
      </c>
      <c r="B352" s="36"/>
      <c r="C352" s="37"/>
      <c r="D352" s="37"/>
      <c r="E352" s="37"/>
      <c r="F352" s="37"/>
      <c r="G352" s="37"/>
      <c r="H352" s="37"/>
      <c r="I352" s="38">
        <f t="shared" si="5"/>
        <v>0</v>
      </c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</row>
    <row r="353" spans="1:27" s="28" customFormat="1" x14ac:dyDescent="0.25">
      <c r="A353" s="35">
        <v>46006</v>
      </c>
      <c r="B353" s="36"/>
      <c r="C353" s="37"/>
      <c r="D353" s="37"/>
      <c r="E353" s="37"/>
      <c r="F353" s="37"/>
      <c r="G353" s="37"/>
      <c r="H353" s="37"/>
      <c r="I353" s="38">
        <f t="shared" si="5"/>
        <v>0</v>
      </c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</row>
    <row r="354" spans="1:27" s="28" customFormat="1" x14ac:dyDescent="0.25">
      <c r="A354" s="35">
        <v>46007</v>
      </c>
      <c r="B354" s="36"/>
      <c r="C354" s="37"/>
      <c r="D354" s="37"/>
      <c r="E354" s="37"/>
      <c r="F354" s="37"/>
      <c r="G354" s="37"/>
      <c r="H354" s="37"/>
      <c r="I354" s="38">
        <f t="shared" si="5"/>
        <v>0</v>
      </c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</row>
    <row r="355" spans="1:27" s="28" customFormat="1" x14ac:dyDescent="0.25">
      <c r="A355" s="35">
        <v>46008</v>
      </c>
      <c r="B355" s="36"/>
      <c r="C355" s="37"/>
      <c r="D355" s="37"/>
      <c r="E355" s="37"/>
      <c r="F355" s="37"/>
      <c r="G355" s="37"/>
      <c r="H355" s="37"/>
      <c r="I355" s="38">
        <f t="shared" si="5"/>
        <v>0</v>
      </c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</row>
    <row r="356" spans="1:27" s="28" customFormat="1" x14ac:dyDescent="0.25">
      <c r="A356" s="35">
        <v>46009</v>
      </c>
      <c r="B356" s="36"/>
      <c r="C356" s="37"/>
      <c r="D356" s="37"/>
      <c r="E356" s="37"/>
      <c r="F356" s="37"/>
      <c r="G356" s="37"/>
      <c r="H356" s="37"/>
      <c r="I356" s="38">
        <f t="shared" ref="I356:I372" si="6">H356-F356</f>
        <v>0</v>
      </c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</row>
    <row r="357" spans="1:27" s="28" customFormat="1" x14ac:dyDescent="0.25">
      <c r="A357" s="35">
        <v>46010</v>
      </c>
      <c r="B357" s="36"/>
      <c r="C357" s="37"/>
      <c r="D357" s="37"/>
      <c r="E357" s="37"/>
      <c r="F357" s="37"/>
      <c r="G357" s="37"/>
      <c r="H357" s="37"/>
      <c r="I357" s="38">
        <f t="shared" si="6"/>
        <v>0</v>
      </c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</row>
    <row r="358" spans="1:27" s="28" customFormat="1" x14ac:dyDescent="0.25">
      <c r="A358" s="35">
        <v>46011</v>
      </c>
      <c r="B358" s="36"/>
      <c r="C358" s="37"/>
      <c r="D358" s="37"/>
      <c r="E358" s="37"/>
      <c r="F358" s="37"/>
      <c r="G358" s="37"/>
      <c r="H358" s="37"/>
      <c r="I358" s="38">
        <f t="shared" si="6"/>
        <v>0</v>
      </c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</row>
    <row r="359" spans="1:27" s="28" customFormat="1" x14ac:dyDescent="0.25">
      <c r="A359" s="35">
        <v>46012</v>
      </c>
      <c r="B359" s="36"/>
      <c r="C359" s="37"/>
      <c r="D359" s="37"/>
      <c r="E359" s="37"/>
      <c r="F359" s="37"/>
      <c r="G359" s="37"/>
      <c r="H359" s="37"/>
      <c r="I359" s="38">
        <f t="shared" si="6"/>
        <v>0</v>
      </c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</row>
    <row r="360" spans="1:27" s="28" customFormat="1" x14ac:dyDescent="0.25">
      <c r="A360" s="35">
        <v>46013</v>
      </c>
      <c r="B360" s="36"/>
      <c r="C360" s="37"/>
      <c r="D360" s="37"/>
      <c r="E360" s="37"/>
      <c r="F360" s="37"/>
      <c r="G360" s="37"/>
      <c r="H360" s="37"/>
      <c r="I360" s="38">
        <f t="shared" si="6"/>
        <v>0</v>
      </c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</row>
    <row r="361" spans="1:27" s="28" customFormat="1" x14ac:dyDescent="0.25">
      <c r="A361" s="35">
        <v>46014</v>
      </c>
      <c r="B361" s="36"/>
      <c r="C361" s="37"/>
      <c r="D361" s="37"/>
      <c r="E361" s="37"/>
      <c r="F361" s="37"/>
      <c r="G361" s="37"/>
      <c r="H361" s="37"/>
      <c r="I361" s="38">
        <f t="shared" si="6"/>
        <v>0</v>
      </c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</row>
    <row r="362" spans="1:27" s="28" customFormat="1" x14ac:dyDescent="0.25">
      <c r="A362" s="35">
        <v>46015</v>
      </c>
      <c r="B362" s="36"/>
      <c r="C362" s="37"/>
      <c r="D362" s="37"/>
      <c r="E362" s="37"/>
      <c r="F362" s="37"/>
      <c r="G362" s="37"/>
      <c r="H362" s="37"/>
      <c r="I362" s="38">
        <f t="shared" si="6"/>
        <v>0</v>
      </c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</row>
    <row r="363" spans="1:27" s="28" customFormat="1" x14ac:dyDescent="0.25">
      <c r="A363" s="35">
        <v>46016</v>
      </c>
      <c r="B363" s="36"/>
      <c r="C363" s="37"/>
      <c r="D363" s="37"/>
      <c r="E363" s="37"/>
      <c r="F363" s="37"/>
      <c r="G363" s="37"/>
      <c r="H363" s="37"/>
      <c r="I363" s="38">
        <f t="shared" si="6"/>
        <v>0</v>
      </c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</row>
    <row r="364" spans="1:27" s="28" customFormat="1" x14ac:dyDescent="0.25">
      <c r="A364" s="35">
        <v>46017</v>
      </c>
      <c r="B364" s="36"/>
      <c r="C364" s="37"/>
      <c r="D364" s="37"/>
      <c r="E364" s="37"/>
      <c r="F364" s="37"/>
      <c r="G364" s="37"/>
      <c r="H364" s="37"/>
      <c r="I364" s="38">
        <f t="shared" si="6"/>
        <v>0</v>
      </c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</row>
    <row r="365" spans="1:27" s="28" customFormat="1" x14ac:dyDescent="0.25">
      <c r="A365" s="35">
        <v>46018</v>
      </c>
      <c r="B365" s="36"/>
      <c r="C365" s="37"/>
      <c r="D365" s="37"/>
      <c r="E365" s="37"/>
      <c r="F365" s="37"/>
      <c r="G365" s="37"/>
      <c r="H365" s="37"/>
      <c r="I365" s="38">
        <f t="shared" si="6"/>
        <v>0</v>
      </c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</row>
    <row r="366" spans="1:27" s="28" customFormat="1" x14ac:dyDescent="0.25">
      <c r="A366" s="35">
        <v>46019</v>
      </c>
      <c r="B366" s="36"/>
      <c r="C366" s="37"/>
      <c r="D366" s="37"/>
      <c r="E366" s="37"/>
      <c r="F366" s="37"/>
      <c r="G366" s="37"/>
      <c r="H366" s="37"/>
      <c r="I366" s="38">
        <f t="shared" si="6"/>
        <v>0</v>
      </c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</row>
    <row r="367" spans="1:27" s="28" customFormat="1" x14ac:dyDescent="0.25">
      <c r="A367" s="35">
        <v>46020</v>
      </c>
      <c r="B367" s="36"/>
      <c r="C367" s="37"/>
      <c r="D367" s="37"/>
      <c r="E367" s="37"/>
      <c r="F367" s="37"/>
      <c r="G367" s="37"/>
      <c r="H367" s="37"/>
      <c r="I367" s="38">
        <f t="shared" si="6"/>
        <v>0</v>
      </c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</row>
    <row r="368" spans="1:27" s="28" customFormat="1" x14ac:dyDescent="0.25">
      <c r="A368" s="35">
        <v>46021</v>
      </c>
      <c r="B368" s="36"/>
      <c r="C368" s="37"/>
      <c r="D368" s="37"/>
      <c r="E368" s="37"/>
      <c r="F368" s="37"/>
      <c r="G368" s="37"/>
      <c r="H368" s="37"/>
      <c r="I368" s="38">
        <f t="shared" si="6"/>
        <v>0</v>
      </c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</row>
    <row r="369" spans="1:27" s="28" customFormat="1" x14ac:dyDescent="0.25">
      <c r="A369" s="35">
        <v>46022</v>
      </c>
      <c r="B369" s="36"/>
      <c r="C369" s="37"/>
      <c r="D369" s="37"/>
      <c r="E369" s="37"/>
      <c r="F369" s="37"/>
      <c r="G369" s="37"/>
      <c r="H369" s="37"/>
      <c r="I369" s="38">
        <f t="shared" si="6"/>
        <v>0</v>
      </c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</row>
    <row r="370" spans="1:27" s="28" customFormat="1" x14ac:dyDescent="0.25">
      <c r="A370" s="35">
        <v>46023</v>
      </c>
      <c r="B370" s="36"/>
      <c r="C370" s="37"/>
      <c r="D370" s="37"/>
      <c r="E370" s="37"/>
      <c r="F370" s="37"/>
      <c r="G370" s="37"/>
      <c r="H370" s="37"/>
      <c r="I370" s="38">
        <f t="shared" si="6"/>
        <v>0</v>
      </c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</row>
    <row r="371" spans="1:27" s="28" customFormat="1" x14ac:dyDescent="0.25">
      <c r="A371" s="35">
        <v>46024</v>
      </c>
      <c r="B371" s="36"/>
      <c r="C371" s="37"/>
      <c r="D371" s="37"/>
      <c r="E371" s="37"/>
      <c r="F371" s="37"/>
      <c r="G371" s="37"/>
      <c r="H371" s="37"/>
      <c r="I371" s="38">
        <f t="shared" si="6"/>
        <v>0</v>
      </c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</row>
    <row r="372" spans="1:27" s="28" customFormat="1" x14ac:dyDescent="0.25">
      <c r="A372" s="35">
        <v>46025</v>
      </c>
      <c r="B372" s="36"/>
      <c r="C372" s="37"/>
      <c r="D372" s="37"/>
      <c r="E372" s="37"/>
      <c r="F372" s="37"/>
      <c r="G372" s="37"/>
      <c r="H372" s="37"/>
      <c r="I372" s="38">
        <f t="shared" si="6"/>
        <v>0</v>
      </c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</row>
  </sheetData>
  <protectedRanges>
    <protectedRange algorithmName="SHA-512" hashValue="wWxBWRkv4BaWtI4kpwLHJmVHSs1G7m2xHw0+NMhRBy9FAEw3SFXZSfwwKmqh1Px4P2yXmQ48OKhCP1gffosyiw==" saltValue="ullz9aDsFVHzjLVslRM0+w==" spinCount="100000" sqref="B84:H1048576 A12:C16 E12:H16 D13:D16 B2:I2 A1:H1 A3:H11 A17:H29 A30:A1048576 B30:H82" name="Rango1"/>
    <protectedRange algorithmName="SHA-512" hashValue="lZBzFGXt3LxEbl4sN5g6fZtiP35iXNQ8wfy0JDXR/jSOXMRC2sb8okXz03IUNyOI1AtOkyrSdXjzPjC9gRyLqA==" saltValue="VNxa233dB5WVLvznLY6dMA==" spinCount="100000" sqref="B8:AA8 J7:AA7 B7:H7 B84:AA1048576 B9:H11 A12:C16 D14:AA16 E12:H12 D13:H13 J9:AA13 A17:AA18 B2:AA6 A3:A11 A1:AA1 A27:A28 B27:H27 J19:AA27 A19:H26 B28:AA28 A30:A1048576 A29:AA29 B30:AA37 B38:H38 J38:AA38 B39:AA82" name="Rango2"/>
    <protectedRange algorithmName="SHA-512" hashValue="lZBzFGXt3LxEbl4sN5g6fZtiP35iXNQ8wfy0JDXR/jSOXMRC2sb8okXz03IUNyOI1AtOkyrSdXjzPjC9gRyLqA==" saltValue="VNxa233dB5WVLvznLY6dMA==" spinCount="100000" sqref="I7 I9:I13 I19:I27 I38" name="Rango2_1"/>
  </protectedRanges>
  <mergeCells count="30">
    <mergeCell ref="F4:F6"/>
    <mergeCell ref="G4:G6"/>
    <mergeCell ref="H4:H6"/>
    <mergeCell ref="I4:I6"/>
    <mergeCell ref="X4:X6"/>
    <mergeCell ref="S5:S6"/>
    <mergeCell ref="J4:J6"/>
    <mergeCell ref="K4:K6"/>
    <mergeCell ref="L4:L6"/>
    <mergeCell ref="M4:M6"/>
    <mergeCell ref="N4:O4"/>
    <mergeCell ref="P4:Q4"/>
    <mergeCell ref="R4:S4"/>
    <mergeCell ref="T4:T6"/>
    <mergeCell ref="U4:U6"/>
    <mergeCell ref="N5:N6"/>
    <mergeCell ref="A4:A6"/>
    <mergeCell ref="B4:B6"/>
    <mergeCell ref="C4:C6"/>
    <mergeCell ref="D4:D6"/>
    <mergeCell ref="E4:E6"/>
    <mergeCell ref="Z4:Z6"/>
    <mergeCell ref="AA4:AA6"/>
    <mergeCell ref="V4:V6"/>
    <mergeCell ref="W4:W6"/>
    <mergeCell ref="O5:O6"/>
    <mergeCell ref="P5:P6"/>
    <mergeCell ref="Q5:Q6"/>
    <mergeCell ref="R5:R6"/>
    <mergeCell ref="Y4:Y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B37C-D379-4C2D-BA5A-E9C0D84A6340}">
  <sheetPr>
    <tabColor rgb="FFFFFF00"/>
  </sheetPr>
  <dimension ref="A1:NF39"/>
  <sheetViews>
    <sheetView workbookViewId="0">
      <selection activeCell="LJ24" sqref="LJ24"/>
    </sheetView>
  </sheetViews>
  <sheetFormatPr baseColWidth="10" defaultColWidth="8.7109375" defaultRowHeight="15" x14ac:dyDescent="0.25"/>
  <cols>
    <col min="1" max="1" width="18" customWidth="1"/>
    <col min="2" max="2" width="9.5703125" hidden="1" customWidth="1"/>
    <col min="3" max="3" width="7.7109375" customWidth="1"/>
    <col min="15" max="16" width="9.28515625" bestFit="1" customWidth="1"/>
    <col min="19" max="19" width="9.42578125" customWidth="1"/>
    <col min="35" max="36" width="9" bestFit="1" customWidth="1"/>
    <col min="45" max="46" width="9" bestFit="1" customWidth="1"/>
    <col min="59" max="59" width="10.85546875" customWidth="1"/>
    <col min="71" max="71" width="9.42578125" customWidth="1"/>
    <col min="73" max="73" width="9" bestFit="1" customWidth="1"/>
    <col min="85" max="85" width="9" bestFit="1" customWidth="1"/>
    <col min="90" max="90" width="9" bestFit="1" customWidth="1"/>
    <col min="120" max="120" width="9.28515625" bestFit="1" customWidth="1"/>
    <col min="145" max="145" width="9.28515625" bestFit="1" customWidth="1"/>
    <col min="147" max="147" width="9.28515625" bestFit="1" customWidth="1"/>
    <col min="159" max="159" width="9.28515625" bestFit="1" customWidth="1"/>
    <col min="172" max="172" width="9.28515625" bestFit="1" customWidth="1"/>
    <col min="220" max="220" width="9.28515625" bestFit="1" customWidth="1"/>
    <col min="229" max="229" width="9.28515625" bestFit="1" customWidth="1"/>
    <col min="239" max="239" width="9.28515625" bestFit="1" customWidth="1"/>
    <col min="259" max="259" width="9.28515625" bestFit="1" customWidth="1"/>
    <col min="270" max="270" width="9.28515625" bestFit="1" customWidth="1"/>
    <col min="276" max="276" width="9.28515625" bestFit="1" customWidth="1"/>
    <col min="280" max="280" width="9.28515625" bestFit="1" customWidth="1"/>
    <col min="287" max="287" width="9.28515625" bestFit="1" customWidth="1"/>
    <col min="294" max="294" width="9.28515625" bestFit="1" customWidth="1"/>
    <col min="298" max="298" width="9.28515625" bestFit="1" customWidth="1"/>
    <col min="319" max="319" width="9.28515625" bestFit="1" customWidth="1"/>
    <col min="326" max="326" width="9.140625" customWidth="1"/>
    <col min="327" max="327" width="9.42578125" customWidth="1"/>
    <col min="332" max="332" width="10.140625" customWidth="1"/>
  </cols>
  <sheetData>
    <row r="1" spans="1:370" x14ac:dyDescent="0.25">
      <c r="A1" s="92" t="s">
        <v>120</v>
      </c>
      <c r="B1" s="93">
        <v>45688</v>
      </c>
      <c r="C1" s="93">
        <v>45689</v>
      </c>
      <c r="D1" s="93">
        <v>45690</v>
      </c>
      <c r="E1" s="93">
        <v>45691</v>
      </c>
      <c r="F1" s="93">
        <v>45692</v>
      </c>
      <c r="G1" s="93">
        <v>45693</v>
      </c>
      <c r="H1" s="93">
        <v>45694</v>
      </c>
      <c r="I1" s="93">
        <v>45695</v>
      </c>
      <c r="J1" s="93">
        <v>45696</v>
      </c>
      <c r="K1" s="93">
        <v>45697</v>
      </c>
      <c r="L1" s="93">
        <v>45698</v>
      </c>
      <c r="M1" s="93">
        <v>45699</v>
      </c>
      <c r="N1" s="93">
        <v>45700</v>
      </c>
      <c r="O1" s="94">
        <v>45701</v>
      </c>
      <c r="P1" s="46">
        <v>45702</v>
      </c>
      <c r="Q1" s="45">
        <v>45703</v>
      </c>
      <c r="R1" s="45">
        <v>45704</v>
      </c>
      <c r="S1" s="45">
        <v>45705</v>
      </c>
      <c r="T1" s="45">
        <v>45706</v>
      </c>
      <c r="U1" s="45">
        <v>45707</v>
      </c>
      <c r="V1" s="45">
        <v>45708</v>
      </c>
      <c r="W1" s="45">
        <v>45709</v>
      </c>
      <c r="X1" s="45">
        <v>45710</v>
      </c>
      <c r="Y1" s="45">
        <v>45711</v>
      </c>
      <c r="Z1" s="45">
        <v>45712</v>
      </c>
      <c r="AA1" s="45">
        <v>45713</v>
      </c>
      <c r="AB1" s="45">
        <v>45714</v>
      </c>
      <c r="AC1" s="45">
        <v>45715</v>
      </c>
      <c r="AD1" s="45">
        <v>45716</v>
      </c>
      <c r="AE1" s="45">
        <v>45717</v>
      </c>
      <c r="AF1" s="45">
        <v>45718</v>
      </c>
      <c r="AG1" s="45">
        <v>45719</v>
      </c>
      <c r="AH1" s="45">
        <v>45720</v>
      </c>
      <c r="AI1" s="45">
        <v>45721</v>
      </c>
      <c r="AJ1" s="45">
        <v>45722</v>
      </c>
      <c r="AK1" s="45">
        <v>45723</v>
      </c>
      <c r="AL1" s="45">
        <v>45724</v>
      </c>
      <c r="AM1" s="45">
        <v>45725</v>
      </c>
      <c r="AN1" s="45">
        <v>45726</v>
      </c>
      <c r="AO1" s="45">
        <v>45727</v>
      </c>
      <c r="AP1" s="45">
        <v>45728</v>
      </c>
      <c r="AQ1" s="45">
        <v>45729</v>
      </c>
      <c r="AR1" s="45">
        <v>45730</v>
      </c>
      <c r="AS1" s="45">
        <v>45731</v>
      </c>
      <c r="AT1" s="45">
        <v>45732</v>
      </c>
      <c r="AU1" s="45">
        <v>45733</v>
      </c>
      <c r="AV1" s="45">
        <v>45734</v>
      </c>
      <c r="AW1" s="45">
        <v>45735</v>
      </c>
      <c r="AX1" s="45">
        <v>45736</v>
      </c>
      <c r="AY1" s="45">
        <v>45737</v>
      </c>
      <c r="AZ1" s="45">
        <v>45738</v>
      </c>
      <c r="BA1" s="45">
        <v>45739</v>
      </c>
      <c r="BB1" s="45">
        <v>45740</v>
      </c>
      <c r="BC1" s="45">
        <v>45741</v>
      </c>
      <c r="BD1" s="45">
        <v>45742</v>
      </c>
      <c r="BE1" s="45">
        <v>45743</v>
      </c>
      <c r="BF1" s="45">
        <v>45744</v>
      </c>
      <c r="BG1" s="45">
        <v>45745</v>
      </c>
      <c r="BH1" s="45">
        <v>45746</v>
      </c>
      <c r="BI1" s="45">
        <v>45747</v>
      </c>
      <c r="BJ1" s="45">
        <v>45748</v>
      </c>
      <c r="BK1" s="45">
        <v>45749</v>
      </c>
      <c r="BL1" s="45">
        <v>45750</v>
      </c>
      <c r="BM1" s="45">
        <v>45751</v>
      </c>
      <c r="BN1" s="45">
        <v>45752</v>
      </c>
      <c r="BO1" s="45">
        <v>45753</v>
      </c>
      <c r="BP1" s="45">
        <v>45754</v>
      </c>
      <c r="BQ1" s="45">
        <v>45755</v>
      </c>
      <c r="BR1" s="45">
        <v>45756</v>
      </c>
      <c r="BS1" s="45">
        <v>45757</v>
      </c>
      <c r="BT1" s="45">
        <v>45758</v>
      </c>
      <c r="BU1" s="45">
        <v>45759</v>
      </c>
      <c r="BV1" s="45">
        <v>45760</v>
      </c>
      <c r="BW1" s="45">
        <v>45761</v>
      </c>
      <c r="BX1" s="45">
        <v>45762</v>
      </c>
      <c r="BY1" s="45">
        <v>45763</v>
      </c>
      <c r="BZ1" s="45">
        <v>45764</v>
      </c>
      <c r="CA1" s="45">
        <v>45765</v>
      </c>
      <c r="CB1" s="45">
        <v>45766</v>
      </c>
      <c r="CC1" s="45">
        <v>45767</v>
      </c>
      <c r="CD1" s="45">
        <v>45768</v>
      </c>
      <c r="CE1" s="45">
        <v>45769</v>
      </c>
      <c r="CF1" s="45">
        <v>45770</v>
      </c>
      <c r="CG1" s="45">
        <v>45771</v>
      </c>
      <c r="CH1" s="45">
        <v>45772</v>
      </c>
      <c r="CI1" s="45">
        <v>45773</v>
      </c>
      <c r="CJ1" s="45">
        <v>45774</v>
      </c>
      <c r="CK1" s="45">
        <v>45775</v>
      </c>
      <c r="CL1" s="45">
        <v>45776</v>
      </c>
      <c r="CM1" s="45">
        <v>45777</v>
      </c>
      <c r="CN1" s="187">
        <v>45778</v>
      </c>
      <c r="CO1" s="187">
        <v>45779</v>
      </c>
      <c r="CP1" s="187">
        <v>45780</v>
      </c>
      <c r="CQ1" s="187">
        <v>45781</v>
      </c>
      <c r="CR1" s="187">
        <v>45782</v>
      </c>
      <c r="CS1" s="187">
        <v>45783</v>
      </c>
      <c r="CT1" s="187">
        <v>45784</v>
      </c>
      <c r="CU1" s="187">
        <v>45785</v>
      </c>
      <c r="CV1" s="187">
        <v>45786</v>
      </c>
      <c r="CW1" s="187">
        <v>45787</v>
      </c>
      <c r="CX1" s="187">
        <v>45788</v>
      </c>
      <c r="CY1" s="187">
        <v>45789</v>
      </c>
      <c r="CZ1" s="187">
        <v>45790</v>
      </c>
      <c r="DA1" s="187">
        <v>45791</v>
      </c>
      <c r="DB1" s="187">
        <v>45792</v>
      </c>
      <c r="DC1" s="187">
        <v>45793</v>
      </c>
      <c r="DD1" s="187">
        <v>45794</v>
      </c>
      <c r="DE1" s="187">
        <v>45795</v>
      </c>
      <c r="DF1" s="187">
        <v>45796</v>
      </c>
      <c r="DG1" s="187">
        <v>45797</v>
      </c>
      <c r="DH1" s="187">
        <v>45798</v>
      </c>
      <c r="DI1" s="187">
        <v>45799</v>
      </c>
      <c r="DJ1" s="187">
        <v>45800</v>
      </c>
      <c r="DK1" s="187">
        <v>45801</v>
      </c>
      <c r="DL1" s="187">
        <v>45802</v>
      </c>
      <c r="DM1" s="187">
        <v>45803</v>
      </c>
      <c r="DN1" s="187">
        <v>45804</v>
      </c>
      <c r="DO1" s="187">
        <v>45805</v>
      </c>
      <c r="DP1" s="187">
        <v>45806</v>
      </c>
      <c r="DQ1" s="187">
        <v>45807</v>
      </c>
      <c r="DR1" s="187">
        <v>45808</v>
      </c>
      <c r="DS1" s="187">
        <v>45809</v>
      </c>
      <c r="DT1" s="187">
        <v>45810</v>
      </c>
      <c r="DU1" s="187">
        <v>45811</v>
      </c>
      <c r="DV1" s="187">
        <v>45812</v>
      </c>
      <c r="DW1" s="187">
        <v>45813</v>
      </c>
      <c r="DX1" s="187">
        <v>45814</v>
      </c>
      <c r="DY1" s="187">
        <v>45815</v>
      </c>
      <c r="DZ1" s="187">
        <v>45816</v>
      </c>
      <c r="EA1" s="187">
        <v>45817</v>
      </c>
      <c r="EB1" s="187">
        <v>45818</v>
      </c>
      <c r="EC1" s="187">
        <v>45819</v>
      </c>
      <c r="ED1" s="187">
        <v>45820</v>
      </c>
      <c r="EE1" s="187">
        <v>45821</v>
      </c>
      <c r="EF1" s="187">
        <v>45822</v>
      </c>
      <c r="EG1" s="187">
        <v>45823</v>
      </c>
      <c r="EH1" s="187">
        <v>45824</v>
      </c>
      <c r="EI1" s="187">
        <v>45825</v>
      </c>
      <c r="EJ1" s="187">
        <v>45826</v>
      </c>
      <c r="EK1" s="187">
        <v>45827</v>
      </c>
      <c r="EL1" s="187">
        <v>45828</v>
      </c>
      <c r="EM1" s="187">
        <v>45829</v>
      </c>
      <c r="EN1" s="187">
        <v>45830</v>
      </c>
      <c r="EO1" s="187">
        <v>45831</v>
      </c>
      <c r="EP1" s="187">
        <v>45832</v>
      </c>
      <c r="EQ1" s="187">
        <v>45833</v>
      </c>
      <c r="ER1" s="187">
        <v>45834</v>
      </c>
      <c r="ES1" s="187">
        <v>45835</v>
      </c>
      <c r="ET1" s="187">
        <v>45836</v>
      </c>
      <c r="EU1" s="187">
        <v>45837</v>
      </c>
      <c r="EV1" s="187">
        <v>45838</v>
      </c>
      <c r="EW1" s="187">
        <v>45839</v>
      </c>
      <c r="EX1" s="187">
        <v>45840</v>
      </c>
      <c r="EY1" s="187">
        <v>45841</v>
      </c>
      <c r="EZ1" s="187">
        <v>45842</v>
      </c>
      <c r="FA1" s="187">
        <v>45843</v>
      </c>
      <c r="FB1" s="187">
        <v>45844</v>
      </c>
      <c r="FC1" s="187">
        <v>45845</v>
      </c>
      <c r="FD1" s="187">
        <v>45846</v>
      </c>
      <c r="FE1" s="187">
        <v>45847</v>
      </c>
      <c r="FF1" s="187">
        <v>45848</v>
      </c>
      <c r="FG1" s="187">
        <v>45849</v>
      </c>
      <c r="FH1" s="187">
        <v>45850</v>
      </c>
      <c r="FI1" s="187">
        <v>45851</v>
      </c>
      <c r="FJ1" s="187">
        <v>45852</v>
      </c>
      <c r="FK1" s="187">
        <v>45853</v>
      </c>
      <c r="FL1" s="187">
        <v>45854</v>
      </c>
      <c r="FM1" s="187">
        <v>45855</v>
      </c>
      <c r="FN1" s="187">
        <v>45856</v>
      </c>
      <c r="FO1" s="187">
        <v>45857</v>
      </c>
      <c r="FP1" s="187">
        <v>45858</v>
      </c>
      <c r="FQ1" s="187">
        <v>45859</v>
      </c>
      <c r="FR1" s="187">
        <v>45860</v>
      </c>
      <c r="FS1" s="187">
        <v>45861</v>
      </c>
      <c r="FT1" s="187">
        <v>45862</v>
      </c>
      <c r="FU1" s="187">
        <v>45863</v>
      </c>
      <c r="FV1" s="187">
        <v>45864</v>
      </c>
      <c r="FW1" s="187">
        <v>45865</v>
      </c>
      <c r="FX1" s="187">
        <v>45866</v>
      </c>
      <c r="FY1" s="187">
        <v>45867</v>
      </c>
      <c r="FZ1" s="187">
        <v>45868</v>
      </c>
      <c r="GA1" s="187">
        <v>45869</v>
      </c>
      <c r="GB1" s="187">
        <v>45870</v>
      </c>
      <c r="GC1" s="187">
        <v>45871</v>
      </c>
      <c r="GD1" s="187">
        <v>45872</v>
      </c>
      <c r="GE1" s="187">
        <v>45873</v>
      </c>
      <c r="GF1" s="187">
        <v>45874</v>
      </c>
      <c r="GG1" s="187">
        <v>45875</v>
      </c>
      <c r="GH1" s="187">
        <v>45876</v>
      </c>
      <c r="GI1" s="187">
        <v>45877</v>
      </c>
      <c r="GJ1" s="187">
        <v>45878</v>
      </c>
      <c r="GK1" s="187">
        <v>45879</v>
      </c>
      <c r="GL1" s="187">
        <v>45880</v>
      </c>
      <c r="GM1" s="187">
        <v>45881</v>
      </c>
      <c r="GN1" s="187">
        <v>45882</v>
      </c>
      <c r="GO1" s="187">
        <v>45883</v>
      </c>
      <c r="GP1" s="187">
        <v>45884</v>
      </c>
      <c r="GQ1" s="187">
        <v>45885</v>
      </c>
      <c r="GR1" s="187">
        <v>45886</v>
      </c>
      <c r="GS1" s="187">
        <v>45887</v>
      </c>
      <c r="GT1" s="187">
        <v>45888</v>
      </c>
      <c r="GU1" s="187">
        <v>45889</v>
      </c>
      <c r="GV1" s="187">
        <v>45890</v>
      </c>
      <c r="GW1" s="187">
        <v>45891</v>
      </c>
      <c r="GX1" s="187">
        <v>45891</v>
      </c>
      <c r="GY1" s="187">
        <v>45892</v>
      </c>
      <c r="GZ1" s="187">
        <v>45893</v>
      </c>
      <c r="HA1" s="187">
        <v>45894</v>
      </c>
      <c r="HB1" s="187">
        <v>45895</v>
      </c>
      <c r="HC1" s="187">
        <v>45896</v>
      </c>
      <c r="HD1" s="187">
        <v>45897</v>
      </c>
      <c r="HE1" s="187">
        <v>45898</v>
      </c>
      <c r="HF1" s="187">
        <v>45899</v>
      </c>
      <c r="HG1" s="187">
        <v>45900</v>
      </c>
      <c r="HH1" s="187">
        <v>45901</v>
      </c>
      <c r="HI1" s="187">
        <v>45902</v>
      </c>
      <c r="HJ1" s="187">
        <v>45903</v>
      </c>
      <c r="HK1" s="187">
        <v>45904</v>
      </c>
      <c r="HL1" s="187">
        <v>45905</v>
      </c>
      <c r="HM1" s="187">
        <v>45906</v>
      </c>
      <c r="HN1" s="187">
        <v>45907</v>
      </c>
      <c r="HO1" s="187">
        <v>45908</v>
      </c>
      <c r="HP1" s="187">
        <v>45909</v>
      </c>
      <c r="HQ1" s="187">
        <v>45910</v>
      </c>
      <c r="HR1" s="187">
        <v>45911</v>
      </c>
      <c r="HS1" s="187">
        <v>45912</v>
      </c>
      <c r="HT1" s="187">
        <v>45913</v>
      </c>
      <c r="HU1" s="187">
        <v>45914</v>
      </c>
      <c r="HV1" s="187">
        <v>45915</v>
      </c>
      <c r="HW1" s="187">
        <v>45916</v>
      </c>
      <c r="HX1" s="187">
        <v>45917</v>
      </c>
      <c r="HY1" s="187">
        <v>45918</v>
      </c>
      <c r="HZ1" s="187">
        <v>45919</v>
      </c>
      <c r="IA1" s="187">
        <v>45920</v>
      </c>
      <c r="IB1" s="187">
        <v>45921</v>
      </c>
      <c r="IC1" s="187">
        <v>45922</v>
      </c>
      <c r="ID1" s="187">
        <v>45923</v>
      </c>
      <c r="IE1" s="187">
        <v>45924</v>
      </c>
      <c r="IF1" s="187">
        <v>45925</v>
      </c>
      <c r="IG1" s="187">
        <v>45926</v>
      </c>
      <c r="IH1" s="187">
        <v>45927</v>
      </c>
      <c r="II1" s="187">
        <v>45928</v>
      </c>
      <c r="IJ1" s="187">
        <v>45929</v>
      </c>
      <c r="IK1" s="187">
        <v>45930</v>
      </c>
      <c r="IL1" s="187">
        <v>45931</v>
      </c>
      <c r="IM1" s="187">
        <v>45932</v>
      </c>
      <c r="IN1" s="187">
        <v>45933</v>
      </c>
      <c r="IO1" s="187">
        <v>45934</v>
      </c>
      <c r="IP1" s="187">
        <v>45935</v>
      </c>
      <c r="IQ1" s="187">
        <v>45936</v>
      </c>
      <c r="IR1" s="187">
        <v>45937</v>
      </c>
      <c r="IS1" s="187">
        <v>45938</v>
      </c>
      <c r="IT1" s="187">
        <v>45939</v>
      </c>
      <c r="IU1" s="187">
        <v>45940</v>
      </c>
      <c r="IV1" s="187">
        <v>45941</v>
      </c>
      <c r="IW1" s="187">
        <v>45942</v>
      </c>
      <c r="IX1" s="187">
        <v>45943</v>
      </c>
      <c r="IY1" s="187">
        <v>45944</v>
      </c>
      <c r="IZ1" s="187">
        <v>45945</v>
      </c>
      <c r="JA1" s="187">
        <v>45946</v>
      </c>
      <c r="JB1" s="187">
        <v>45947</v>
      </c>
      <c r="JC1" s="187">
        <v>45948</v>
      </c>
      <c r="JD1" s="187">
        <v>45949</v>
      </c>
      <c r="JE1" s="187">
        <v>45950</v>
      </c>
      <c r="JF1" s="187">
        <v>45951</v>
      </c>
      <c r="JG1" s="187">
        <v>45952</v>
      </c>
      <c r="JH1" s="187">
        <v>45953</v>
      </c>
      <c r="JI1" s="187">
        <v>45954</v>
      </c>
      <c r="JJ1" s="187">
        <v>45955</v>
      </c>
      <c r="JK1" s="187">
        <v>45956</v>
      </c>
      <c r="JL1" s="187">
        <v>45957</v>
      </c>
      <c r="JM1" s="187">
        <v>45958</v>
      </c>
      <c r="JN1" s="187">
        <v>45959</v>
      </c>
      <c r="JO1" s="187">
        <v>45960</v>
      </c>
      <c r="JP1" s="187">
        <v>45961</v>
      </c>
      <c r="JQ1" s="187">
        <v>45962</v>
      </c>
      <c r="JR1" s="187">
        <v>45963</v>
      </c>
      <c r="JS1" s="187">
        <v>45964</v>
      </c>
      <c r="JT1" s="187">
        <v>45965</v>
      </c>
      <c r="JU1" s="187">
        <v>45966</v>
      </c>
      <c r="JV1" s="187">
        <v>45967</v>
      </c>
      <c r="JW1" s="187">
        <v>45968</v>
      </c>
      <c r="JX1" s="187">
        <v>45969</v>
      </c>
      <c r="JY1" s="187">
        <v>45970</v>
      </c>
      <c r="JZ1" s="187">
        <v>45971</v>
      </c>
      <c r="KA1" s="187">
        <v>45972</v>
      </c>
      <c r="KB1" s="187">
        <v>45973</v>
      </c>
      <c r="KC1" s="187">
        <v>45974</v>
      </c>
      <c r="KD1" s="187">
        <v>45975</v>
      </c>
      <c r="KE1" s="187">
        <v>45976</v>
      </c>
      <c r="KF1" s="187">
        <v>45977</v>
      </c>
      <c r="KG1" s="187">
        <v>45978</v>
      </c>
      <c r="KH1" s="187">
        <v>45979</v>
      </c>
      <c r="KI1" s="187">
        <v>45980</v>
      </c>
      <c r="KJ1" s="187">
        <v>45981</v>
      </c>
      <c r="KK1" s="187">
        <v>45982</v>
      </c>
      <c r="KL1" s="187">
        <v>45983</v>
      </c>
      <c r="KM1" s="187">
        <v>45984</v>
      </c>
      <c r="KN1" s="187">
        <v>45985</v>
      </c>
      <c r="KO1" s="187">
        <v>45986</v>
      </c>
      <c r="KP1" s="187">
        <v>45987</v>
      </c>
      <c r="KQ1" s="187">
        <v>45988</v>
      </c>
      <c r="KR1" s="187">
        <v>45989</v>
      </c>
      <c r="KS1" s="187">
        <v>45990</v>
      </c>
      <c r="KT1" s="187">
        <v>45991</v>
      </c>
      <c r="KU1" s="187">
        <v>45992</v>
      </c>
      <c r="KV1" s="187">
        <v>45993</v>
      </c>
      <c r="KW1" s="187">
        <v>45994</v>
      </c>
      <c r="KX1" s="187">
        <v>45995</v>
      </c>
      <c r="KY1" s="187">
        <v>45996</v>
      </c>
      <c r="KZ1" s="187">
        <v>45997</v>
      </c>
      <c r="LA1" s="187">
        <v>45998</v>
      </c>
      <c r="LB1" s="187">
        <v>45999</v>
      </c>
      <c r="LC1" s="187">
        <v>46000</v>
      </c>
      <c r="LD1" s="187">
        <v>46001</v>
      </c>
      <c r="LE1" s="187">
        <v>46002</v>
      </c>
      <c r="LF1" s="187">
        <v>46003</v>
      </c>
      <c r="LG1" s="187">
        <v>46004</v>
      </c>
      <c r="LH1" s="187">
        <v>46005</v>
      </c>
      <c r="LI1" s="187">
        <v>46006</v>
      </c>
      <c r="LJ1" s="187">
        <v>46007</v>
      </c>
      <c r="LK1" s="187">
        <v>46008</v>
      </c>
      <c r="LL1" s="187">
        <v>46009</v>
      </c>
      <c r="LM1" s="187">
        <v>46010</v>
      </c>
      <c r="LN1" s="187">
        <v>46011</v>
      </c>
      <c r="LO1" s="187">
        <v>46012</v>
      </c>
      <c r="LP1" s="187">
        <v>46013</v>
      </c>
      <c r="LQ1" s="187">
        <v>46014</v>
      </c>
      <c r="LR1" s="187">
        <v>46015</v>
      </c>
      <c r="LS1" s="187">
        <v>46016</v>
      </c>
      <c r="LT1" s="187">
        <v>46017</v>
      </c>
      <c r="LU1" s="187">
        <v>46018</v>
      </c>
      <c r="LV1" s="187">
        <v>46019</v>
      </c>
      <c r="LW1" s="187">
        <v>46020</v>
      </c>
      <c r="LX1" s="187">
        <v>46021</v>
      </c>
      <c r="LY1" s="187">
        <v>46022</v>
      </c>
      <c r="LZ1" s="252">
        <v>46023</v>
      </c>
      <c r="MA1" s="252">
        <v>46024</v>
      </c>
      <c r="MB1" s="252">
        <v>46025</v>
      </c>
      <c r="MC1" s="252">
        <v>46026</v>
      </c>
      <c r="MD1" s="252">
        <v>46027</v>
      </c>
      <c r="ME1" s="252">
        <v>46028</v>
      </c>
      <c r="MF1" s="252">
        <v>46029</v>
      </c>
      <c r="MG1" s="252">
        <v>46030</v>
      </c>
      <c r="MH1" s="252">
        <v>46031</v>
      </c>
      <c r="MI1" s="252">
        <v>46032</v>
      </c>
      <c r="MJ1" s="252">
        <v>46033</v>
      </c>
      <c r="MK1" s="252">
        <v>46034</v>
      </c>
      <c r="ML1" s="252">
        <v>46035</v>
      </c>
      <c r="MM1" s="252">
        <v>46036</v>
      </c>
      <c r="MN1" s="252">
        <v>46037</v>
      </c>
      <c r="MO1" s="252">
        <v>46038</v>
      </c>
      <c r="MP1" s="252">
        <v>46039</v>
      </c>
      <c r="MQ1" s="252">
        <v>46040</v>
      </c>
      <c r="MR1" s="252">
        <v>46041</v>
      </c>
      <c r="MS1" s="252">
        <v>46042</v>
      </c>
      <c r="MT1" s="252">
        <v>46043</v>
      </c>
      <c r="MU1" s="252">
        <v>46044</v>
      </c>
      <c r="MV1" s="252">
        <v>46045</v>
      </c>
      <c r="MW1" s="252">
        <v>46046</v>
      </c>
      <c r="MX1" s="252">
        <v>46047</v>
      </c>
      <c r="MY1" s="252">
        <v>46048</v>
      </c>
      <c r="MZ1" s="252">
        <v>46049</v>
      </c>
      <c r="NA1" s="252">
        <v>46050</v>
      </c>
      <c r="NB1" s="252">
        <v>46051</v>
      </c>
      <c r="NC1" s="252">
        <v>46052</v>
      </c>
      <c r="ND1" s="252">
        <v>46053</v>
      </c>
      <c r="NE1" s="252">
        <v>46054</v>
      </c>
      <c r="NF1" s="252">
        <v>46055</v>
      </c>
    </row>
    <row r="2" spans="1:370" x14ac:dyDescent="0.25">
      <c r="A2" s="98">
        <v>1</v>
      </c>
      <c r="B2" s="99">
        <v>0.21666666666666667</v>
      </c>
      <c r="C2" s="99">
        <v>0.24791666666666667</v>
      </c>
      <c r="D2" s="100">
        <v>0</v>
      </c>
      <c r="E2" s="99">
        <v>0.19930555555555557</v>
      </c>
      <c r="F2" s="99">
        <v>0.22708333333333333</v>
      </c>
      <c r="G2" s="99">
        <v>0.24930555555555556</v>
      </c>
      <c r="H2" s="99">
        <v>0.33194444444444443</v>
      </c>
      <c r="I2" s="99">
        <v>0.21388888888888888</v>
      </c>
      <c r="J2" s="99">
        <v>0.26250000000000001</v>
      </c>
      <c r="K2" s="100">
        <v>0</v>
      </c>
      <c r="L2" s="99">
        <v>0.1736111111111111</v>
      </c>
      <c r="M2" s="99">
        <v>0.25277777777777777</v>
      </c>
      <c r="N2" s="99">
        <v>0.25555555555555554</v>
      </c>
      <c r="O2" s="101">
        <v>0.30416666666666664</v>
      </c>
      <c r="P2" s="112">
        <v>0.22708333333333333</v>
      </c>
      <c r="Q2" s="113">
        <v>0.28472222222222221</v>
      </c>
      <c r="R2" s="48">
        <v>0</v>
      </c>
      <c r="S2" s="113">
        <v>0.18055555555555555</v>
      </c>
      <c r="T2" s="113">
        <v>0.42916666666666664</v>
      </c>
      <c r="U2" s="113">
        <v>0.22638888888888889</v>
      </c>
      <c r="V2" s="113">
        <v>0.28958333333333336</v>
      </c>
      <c r="W2" s="113">
        <v>0.24374999999999999</v>
      </c>
      <c r="X2" s="113">
        <v>0.36527777777777776</v>
      </c>
      <c r="Y2" s="48">
        <v>0</v>
      </c>
      <c r="Z2" s="113">
        <v>0.29930555555555555</v>
      </c>
      <c r="AA2" s="113">
        <v>0.22500000000000001</v>
      </c>
      <c r="AB2" s="113">
        <v>0.2388888888888889</v>
      </c>
      <c r="AC2" s="113">
        <v>0.38472222222222224</v>
      </c>
      <c r="AD2" s="113">
        <v>0.2361111111111111</v>
      </c>
      <c r="AE2" s="113">
        <v>0.27986111111111112</v>
      </c>
      <c r="AF2" s="48"/>
      <c r="AG2" s="113">
        <v>0.19097222222222221</v>
      </c>
      <c r="AH2" s="113">
        <v>0.23125000000000001</v>
      </c>
      <c r="AI2" s="113">
        <v>0.28749999999999998</v>
      </c>
      <c r="AJ2" s="113">
        <v>0.27500000000000002</v>
      </c>
      <c r="AK2" s="113">
        <v>0.25694444444444442</v>
      </c>
      <c r="AL2" s="113">
        <v>0.19722222222222222</v>
      </c>
      <c r="AM2" s="48"/>
      <c r="AN2" s="113">
        <v>0.19791666666666666</v>
      </c>
      <c r="AO2" s="113">
        <v>0.22916666666666666</v>
      </c>
      <c r="AP2" s="113">
        <v>0.22361111111111112</v>
      </c>
      <c r="AQ2" s="113">
        <v>0.24791666666666667</v>
      </c>
      <c r="AR2" s="113">
        <v>0.22083333333333333</v>
      </c>
      <c r="AS2" s="113">
        <v>0.26527777777777778</v>
      </c>
      <c r="AT2" s="48"/>
      <c r="AU2" s="113">
        <v>0.19583333333333333</v>
      </c>
      <c r="AV2" s="113">
        <v>0.25347222222222221</v>
      </c>
      <c r="AW2" s="113">
        <v>0.24236111111111111</v>
      </c>
      <c r="AX2" s="113">
        <v>0.24583333333333332</v>
      </c>
      <c r="AY2" s="113">
        <v>0.2590277777777778</v>
      </c>
      <c r="AZ2" s="113">
        <v>0.26111111111111113</v>
      </c>
      <c r="BA2" s="48"/>
      <c r="BB2" s="113">
        <v>0.20902777777777778</v>
      </c>
      <c r="BC2" s="113">
        <v>0.23125000000000001</v>
      </c>
      <c r="BD2" s="113">
        <v>0.26666666666666666</v>
      </c>
      <c r="BE2" s="113">
        <v>0.41249999999999998</v>
      </c>
      <c r="BF2" s="113">
        <v>0.23958333333333334</v>
      </c>
      <c r="BG2" s="113">
        <v>0.28749999999999998</v>
      </c>
      <c r="BH2" s="48"/>
      <c r="BI2" s="113">
        <v>0.23749999999999999</v>
      </c>
      <c r="BJ2" s="113">
        <v>0.2986111111111111</v>
      </c>
      <c r="BK2" s="113">
        <v>0.33263888888888887</v>
      </c>
      <c r="BL2" s="113">
        <v>0.2326388888888889</v>
      </c>
      <c r="BM2" s="113">
        <v>0.2298611111111111</v>
      </c>
      <c r="BN2" s="113">
        <v>0.52152777777777781</v>
      </c>
      <c r="BO2" s="48"/>
      <c r="BP2" s="113">
        <v>0.15069444444444444</v>
      </c>
      <c r="BQ2" s="113">
        <v>0.19027777777777777</v>
      </c>
      <c r="BR2" s="113">
        <v>0.625</v>
      </c>
      <c r="BS2" s="113">
        <v>0.98333333333333328</v>
      </c>
      <c r="BT2" s="113">
        <v>2.7777777777777779E-3</v>
      </c>
      <c r="BU2" s="113">
        <v>0.23194444444444445</v>
      </c>
      <c r="BV2" s="48"/>
      <c r="BW2" s="113">
        <v>0.15069444444444444</v>
      </c>
      <c r="BX2" s="113">
        <v>0.20694444444444443</v>
      </c>
      <c r="BY2" s="113">
        <v>0.19027777777777777</v>
      </c>
      <c r="BZ2" s="113">
        <v>0.19513888888888889</v>
      </c>
      <c r="CA2" s="113">
        <v>0.2326388888888889</v>
      </c>
      <c r="CB2" s="113">
        <v>0.21527777777777779</v>
      </c>
      <c r="CC2" s="48"/>
      <c r="CD2" s="113">
        <v>0.13055555555555556</v>
      </c>
      <c r="CE2" s="113">
        <v>0.19305555555555556</v>
      </c>
      <c r="CF2" s="113">
        <v>0.20416666666666666</v>
      </c>
      <c r="CG2" s="113">
        <v>0.20277777777777778</v>
      </c>
      <c r="CH2" s="113">
        <v>0.2388888888888889</v>
      </c>
      <c r="CI2" s="113">
        <v>0.24583333333333332</v>
      </c>
      <c r="CJ2" s="48"/>
      <c r="CK2" s="113">
        <v>0.28194444444444444</v>
      </c>
      <c r="CL2" s="113">
        <v>0.22222222222222221</v>
      </c>
      <c r="CM2" s="113">
        <v>0.20555555555555555</v>
      </c>
      <c r="CN2" s="113">
        <v>0.19513888888888889</v>
      </c>
      <c r="CO2" s="113">
        <v>0.19166666666666668</v>
      </c>
      <c r="CP2" s="113">
        <v>0.21458333333333332</v>
      </c>
      <c r="CQ2" s="48"/>
      <c r="CR2" s="113">
        <v>0.18888888888888888</v>
      </c>
      <c r="CS2" s="113">
        <v>0.18611111111111112</v>
      </c>
      <c r="CT2" s="113">
        <v>0.22152777777777777</v>
      </c>
      <c r="CU2" s="113">
        <v>0.64166666666666672</v>
      </c>
      <c r="CV2" s="113">
        <v>0.6791666666666667</v>
      </c>
      <c r="CW2" s="113">
        <v>0.24166666666666667</v>
      </c>
      <c r="CX2" s="48"/>
      <c r="CY2" s="113">
        <v>0.16666666666666666</v>
      </c>
      <c r="CZ2" s="113">
        <v>0.19930555555555557</v>
      </c>
      <c r="DA2" s="113">
        <v>0.19930555555555557</v>
      </c>
      <c r="DB2" s="113">
        <v>0.18263888888888888</v>
      </c>
      <c r="DC2" s="113">
        <v>0.25833333333333336</v>
      </c>
      <c r="DD2" s="113">
        <v>0.23194444444444445</v>
      </c>
      <c r="DE2" s="48"/>
      <c r="DF2" s="113">
        <v>0.17222222222222222</v>
      </c>
      <c r="DG2" s="113">
        <v>0.18819444444444444</v>
      </c>
      <c r="DH2" s="113">
        <v>0.19652777777777777</v>
      </c>
      <c r="DI2" s="113">
        <v>0.17569444444444443</v>
      </c>
      <c r="DJ2" s="113">
        <v>0.1875</v>
      </c>
      <c r="DK2" s="113">
        <v>0.21805555555555556</v>
      </c>
      <c r="DL2" s="48"/>
      <c r="DM2" s="113">
        <v>0.14305555555555555</v>
      </c>
      <c r="DN2" s="113">
        <v>0.25972222222222224</v>
      </c>
      <c r="DO2" s="113">
        <v>0.20902777777777778</v>
      </c>
      <c r="DP2" s="113">
        <v>0.20347222222222222</v>
      </c>
      <c r="DQ2" s="113">
        <v>0.18055555555555555</v>
      </c>
      <c r="DR2" s="113">
        <v>0.23125000000000001</v>
      </c>
      <c r="DS2" s="48"/>
      <c r="DT2" s="113">
        <v>0.15555555555555556</v>
      </c>
      <c r="DU2" s="113">
        <v>0.29166666666666669</v>
      </c>
      <c r="DV2" s="113">
        <v>0.21666666666666667</v>
      </c>
      <c r="DW2" s="113">
        <v>0.22916666666666666</v>
      </c>
      <c r="DX2" s="113">
        <v>0.2298611111111111</v>
      </c>
      <c r="DY2" s="113">
        <v>0.22708333333333333</v>
      </c>
      <c r="DZ2" s="48"/>
      <c r="EA2" s="113">
        <v>0.17777777777777778</v>
      </c>
      <c r="EB2" s="113">
        <v>0.18472222222222223</v>
      </c>
      <c r="EC2" s="113">
        <v>0.2048611111111111</v>
      </c>
      <c r="ED2" s="113">
        <v>0.20833333333333334</v>
      </c>
      <c r="EE2" s="113">
        <v>0.19930555555555557</v>
      </c>
      <c r="EF2" s="135">
        <v>0.22500000000000001</v>
      </c>
      <c r="EG2" s="28"/>
      <c r="EH2" s="135">
        <v>0.16458333333333333</v>
      </c>
      <c r="EI2" s="135">
        <v>0.21319444444444444</v>
      </c>
      <c r="EJ2" s="135">
        <v>0.17499999999999999</v>
      </c>
      <c r="EK2" s="135">
        <v>0.18194444444444444</v>
      </c>
      <c r="EL2" s="28"/>
      <c r="EM2" s="135">
        <v>0.21527777777777779</v>
      </c>
      <c r="EN2" s="135">
        <v>0.22500000000000001</v>
      </c>
      <c r="EO2" s="135">
        <v>0.70138888888888884</v>
      </c>
      <c r="EP2" s="135">
        <v>0.19097222222222221</v>
      </c>
      <c r="EQ2" s="135">
        <v>0.21875</v>
      </c>
      <c r="ER2" s="135">
        <v>0.19791666666666666</v>
      </c>
      <c r="ES2" s="135">
        <v>0.19722222222222222</v>
      </c>
      <c r="ET2" s="135">
        <v>0.22569444444444445</v>
      </c>
      <c r="EU2" s="28"/>
      <c r="EV2" s="135">
        <v>0.1423611111111111</v>
      </c>
      <c r="EW2" s="135">
        <v>0.23958333333333334</v>
      </c>
      <c r="EX2" s="135">
        <v>0.22291666666666668</v>
      </c>
      <c r="EY2" s="135">
        <v>0.30833333333333335</v>
      </c>
      <c r="EZ2" s="135">
        <v>0.2326388888888889</v>
      </c>
      <c r="FA2" s="135">
        <v>0.28194444444444444</v>
      </c>
      <c r="FB2" s="28"/>
      <c r="FC2" s="135">
        <v>0.17986111111111111</v>
      </c>
      <c r="FD2" s="135">
        <v>0.17847222222222223</v>
      </c>
      <c r="FE2" s="135">
        <v>0.28819444444444442</v>
      </c>
      <c r="FF2" s="225">
        <v>0.19444444444444445</v>
      </c>
      <c r="FG2" s="225">
        <v>0.16666666666666666</v>
      </c>
      <c r="FH2" s="225">
        <v>0.26180555555555557</v>
      </c>
      <c r="FI2" s="225">
        <v>0.1875</v>
      </c>
      <c r="FJ2" s="225">
        <v>0.24444444444444444</v>
      </c>
      <c r="FK2" s="225">
        <v>0.23541666666666666</v>
      </c>
      <c r="FL2" s="225">
        <v>0.19444444444444445</v>
      </c>
      <c r="FM2" s="225">
        <v>0.21111111111111111</v>
      </c>
      <c r="FN2" s="225">
        <v>0.17708333333333334</v>
      </c>
      <c r="FO2" s="225">
        <v>0.19513888888888889</v>
      </c>
      <c r="FP2" s="225">
        <v>0.17777777777777778</v>
      </c>
      <c r="FQ2" s="225">
        <v>0.16250000000000001</v>
      </c>
      <c r="FR2" s="225">
        <v>0.19375000000000001</v>
      </c>
      <c r="FS2" s="225">
        <v>0.2013888888888889</v>
      </c>
      <c r="FT2" s="225">
        <v>0.21319444444444444</v>
      </c>
      <c r="FU2" s="225">
        <v>0.22916666666666666</v>
      </c>
      <c r="FV2" s="225">
        <v>0.2388888888888889</v>
      </c>
      <c r="FW2" s="225">
        <v>0.19097222222222221</v>
      </c>
      <c r="FX2" s="225">
        <v>0.17777777777777778</v>
      </c>
      <c r="FY2" s="225">
        <v>0.1875</v>
      </c>
      <c r="FZ2" s="225">
        <v>0.17986111111111111</v>
      </c>
      <c r="GA2" s="225">
        <v>0.19583333333333333</v>
      </c>
      <c r="GB2" s="225">
        <v>0.20208333333333334</v>
      </c>
      <c r="GC2" s="225">
        <v>0.21111111111111111</v>
      </c>
      <c r="GD2" s="225">
        <v>0.16458333333333333</v>
      </c>
      <c r="GE2" s="225">
        <v>0.15347222222222223</v>
      </c>
      <c r="GF2" s="225">
        <v>0.18819444444444444</v>
      </c>
      <c r="GG2" s="225">
        <v>0.2298611111111111</v>
      </c>
      <c r="GH2" s="225">
        <v>0.25486111111111109</v>
      </c>
      <c r="GI2" s="225">
        <v>0.2326388888888889</v>
      </c>
      <c r="GJ2" s="225">
        <v>0.24097222222222223</v>
      </c>
      <c r="GK2" s="225">
        <v>0.20208333333333334</v>
      </c>
      <c r="GL2" s="225">
        <v>0.15625</v>
      </c>
      <c r="GM2" s="225">
        <v>0.19652777777777777</v>
      </c>
      <c r="GN2" s="225">
        <v>0.2326388888888889</v>
      </c>
      <c r="GO2" s="225">
        <v>0.21805555555555556</v>
      </c>
      <c r="GP2" s="225">
        <v>0.20347222222222222</v>
      </c>
      <c r="GQ2" s="225">
        <v>0.21875</v>
      </c>
      <c r="GR2" s="225">
        <v>0.18611111111111112</v>
      </c>
      <c r="GS2" s="225">
        <v>0.13541666666666666</v>
      </c>
      <c r="GT2" s="225">
        <v>0.25833333333333336</v>
      </c>
      <c r="GU2" s="42">
        <v>0</v>
      </c>
      <c r="GV2" s="225">
        <v>0.26944444444444443</v>
      </c>
      <c r="GW2" s="225">
        <v>0.27500000000000002</v>
      </c>
      <c r="GX2" s="225">
        <v>0.78055555555555556</v>
      </c>
      <c r="GY2" s="42">
        <v>0</v>
      </c>
      <c r="GZ2" s="225">
        <v>0.84652777777777777</v>
      </c>
      <c r="HA2" s="225">
        <v>0.54861111111111116</v>
      </c>
      <c r="HB2" s="225">
        <v>0.19305555555555556</v>
      </c>
      <c r="HC2" s="225">
        <v>0.2048611111111111</v>
      </c>
      <c r="HD2" s="225">
        <v>0.20416666666666666</v>
      </c>
      <c r="HE2" s="225">
        <v>0.20208333333333334</v>
      </c>
      <c r="HF2" s="225">
        <v>0.24027777777777778</v>
      </c>
      <c r="HG2" s="225">
        <v>0.25</v>
      </c>
      <c r="HH2" s="225">
        <v>0.13194444444444445</v>
      </c>
      <c r="HI2" s="225">
        <v>0.19375000000000001</v>
      </c>
      <c r="HJ2" s="225">
        <v>0.1986111111111111</v>
      </c>
      <c r="HK2" s="225">
        <v>0.23194444444444445</v>
      </c>
      <c r="HL2" s="225">
        <v>0.20833333333333334</v>
      </c>
      <c r="HM2" s="225">
        <v>0.24722222222222223</v>
      </c>
      <c r="HN2" s="225">
        <v>0.27638888888888891</v>
      </c>
      <c r="HO2" s="225">
        <v>0.25277777777777777</v>
      </c>
      <c r="HP2" s="225">
        <v>0</v>
      </c>
      <c r="HQ2" s="225">
        <v>0.31527777777777777</v>
      </c>
      <c r="HR2" s="225">
        <v>0.29166666666666669</v>
      </c>
      <c r="HS2" s="225">
        <v>0.23055555555555557</v>
      </c>
      <c r="HT2" s="225">
        <v>0.27152777777777776</v>
      </c>
      <c r="HU2" s="225">
        <v>0.25555555555555554</v>
      </c>
      <c r="HV2" s="42" t="s">
        <v>274</v>
      </c>
      <c r="HW2" s="225">
        <v>0.22013888888888888</v>
      </c>
      <c r="HX2" s="225">
        <v>0.28055555555555556</v>
      </c>
      <c r="HY2" s="225">
        <v>0.26458333333333334</v>
      </c>
      <c r="HZ2" s="225">
        <v>0.23125000000000001</v>
      </c>
      <c r="IA2" s="225">
        <v>0.35208333333333336</v>
      </c>
      <c r="IB2" s="235" t="s">
        <v>274</v>
      </c>
      <c r="IC2" s="225">
        <v>0.20347222222222222</v>
      </c>
      <c r="ID2" s="225">
        <v>0.27500000000000002</v>
      </c>
      <c r="IE2" s="225">
        <v>0.30625000000000002</v>
      </c>
      <c r="IF2" s="225">
        <v>0.22638888888888889</v>
      </c>
      <c r="IG2" s="225">
        <v>0.25416666666666665</v>
      </c>
      <c r="IH2" s="225">
        <v>0.27291666666666664</v>
      </c>
      <c r="II2" s="234">
        <v>0.24027777777777778</v>
      </c>
      <c r="IJ2" s="225">
        <v>0.2326388888888889</v>
      </c>
      <c r="IK2" s="225">
        <v>0.25347222222222221</v>
      </c>
      <c r="IL2" s="225">
        <v>0.25208333333333333</v>
      </c>
      <c r="IM2" s="225">
        <v>0.22708333333333333</v>
      </c>
      <c r="IN2" s="225">
        <v>0.22152777777777777</v>
      </c>
      <c r="IO2" s="225">
        <v>0.26111111111111113</v>
      </c>
      <c r="IP2" s="234">
        <v>0.24166666666666667</v>
      </c>
      <c r="IQ2" s="42" t="s">
        <v>127</v>
      </c>
      <c r="IR2" s="225">
        <v>0.24513888888888888</v>
      </c>
      <c r="IS2" s="225">
        <v>0.26805555555555555</v>
      </c>
      <c r="IT2" s="225">
        <v>0.24722222222222223</v>
      </c>
      <c r="IU2" s="225">
        <v>0.22430555555555556</v>
      </c>
      <c r="IV2" s="225">
        <v>0.27083333333333331</v>
      </c>
      <c r="IW2" s="225">
        <v>0.25069444444444444</v>
      </c>
      <c r="IX2" s="42" t="s">
        <v>275</v>
      </c>
      <c r="IY2" s="225">
        <v>0.22569444444444445</v>
      </c>
      <c r="IZ2" s="225">
        <v>0.22083333333333333</v>
      </c>
      <c r="JA2" s="225">
        <v>0.2298611111111111</v>
      </c>
      <c r="JB2" s="225">
        <v>0.23680555555555555</v>
      </c>
      <c r="JC2" s="225">
        <v>0.26180555555555557</v>
      </c>
      <c r="JD2" s="225">
        <v>0.23055555555555557</v>
      </c>
      <c r="JE2" s="42" t="s">
        <v>125</v>
      </c>
      <c r="JF2" s="225">
        <v>0.22708333333333333</v>
      </c>
      <c r="JG2" s="225">
        <v>0.24305555555555555</v>
      </c>
      <c r="JH2" s="225">
        <v>0.22847222222222222</v>
      </c>
      <c r="JI2" s="225">
        <v>0.25624999999999998</v>
      </c>
      <c r="JJ2" s="225">
        <v>0.25208333333333333</v>
      </c>
      <c r="JK2" s="42" t="s">
        <v>276</v>
      </c>
      <c r="JL2" s="42" t="s">
        <v>276</v>
      </c>
      <c r="JM2" s="225">
        <v>0.37152777777777779</v>
      </c>
      <c r="JN2" s="225">
        <v>0.29722222222222222</v>
      </c>
      <c r="JO2" s="225">
        <v>0.39305555555555555</v>
      </c>
      <c r="JP2" s="225">
        <v>0.22777777777777777</v>
      </c>
      <c r="JQ2" s="225">
        <v>0.2722222222222222</v>
      </c>
      <c r="JR2" s="225">
        <v>0.24236111111111111</v>
      </c>
      <c r="JS2" s="225">
        <v>0.23749999999999999</v>
      </c>
      <c r="JT2" s="225">
        <v>0.40902777777777777</v>
      </c>
      <c r="JU2" s="225">
        <v>0.24236111111111111</v>
      </c>
      <c r="JV2" s="225">
        <v>0.27569444444444446</v>
      </c>
      <c r="JW2" s="225">
        <v>0.38333333333333336</v>
      </c>
      <c r="JX2" s="225">
        <v>0.27638888888888891</v>
      </c>
      <c r="JY2" s="225">
        <v>0.27708333333333335</v>
      </c>
      <c r="JZ2" s="225">
        <v>0.40694444444444444</v>
      </c>
      <c r="KA2" s="225">
        <v>0.23680555555555555</v>
      </c>
      <c r="KB2" s="225">
        <v>0.2638888888888889</v>
      </c>
      <c r="KC2" s="225">
        <v>0.23680555555555555</v>
      </c>
      <c r="KD2" s="225">
        <v>0.23194444444444445</v>
      </c>
      <c r="KE2" s="225">
        <v>0.38333333333333336</v>
      </c>
      <c r="KF2" s="225">
        <v>0.22916666666666666</v>
      </c>
      <c r="KG2" s="42" t="s">
        <v>125</v>
      </c>
      <c r="KH2" s="225">
        <v>0.24097222222222223</v>
      </c>
      <c r="KI2" s="225">
        <v>0.36944444444444446</v>
      </c>
      <c r="KJ2" s="225">
        <v>0.31736111111111109</v>
      </c>
      <c r="KK2" s="225">
        <v>0.25069444444444444</v>
      </c>
      <c r="KL2" s="225">
        <v>0.36527777777777776</v>
      </c>
      <c r="KM2" s="225">
        <v>0.24722222222222223</v>
      </c>
      <c r="KN2" s="225">
        <v>0.19166666666666668</v>
      </c>
      <c r="KO2" s="225">
        <v>0.37013888888888891</v>
      </c>
      <c r="KP2" s="225">
        <v>0.23819444444444443</v>
      </c>
      <c r="KQ2" s="225">
        <v>0.24374999999999999</v>
      </c>
      <c r="KR2" s="225">
        <v>0.38124999999999998</v>
      </c>
      <c r="KS2" s="225">
        <v>0.29166666666666669</v>
      </c>
      <c r="KT2" s="225">
        <v>0.26041666666666669</v>
      </c>
      <c r="KU2" s="42"/>
      <c r="KV2" s="42"/>
      <c r="KW2" s="225">
        <v>0.23819444444444443</v>
      </c>
      <c r="KX2" s="225">
        <v>0.25</v>
      </c>
      <c r="KY2" s="225">
        <v>0.24097222222222223</v>
      </c>
      <c r="KZ2" s="225">
        <v>0.30763888888888891</v>
      </c>
      <c r="LA2" s="42" t="s">
        <v>127</v>
      </c>
      <c r="LB2" s="42" t="s">
        <v>127</v>
      </c>
      <c r="LC2" s="225">
        <v>0.34097222222222223</v>
      </c>
      <c r="LD2" s="225">
        <v>0.26527777777777778</v>
      </c>
      <c r="LE2" s="225">
        <v>0.36388888888888887</v>
      </c>
      <c r="LF2" s="225">
        <v>0.23749999999999999</v>
      </c>
      <c r="LG2" s="225">
        <v>0.28125</v>
      </c>
      <c r="LH2" s="225">
        <v>0.24444444444444444</v>
      </c>
      <c r="LI2" s="42" t="s">
        <v>127</v>
      </c>
      <c r="LJ2" s="225">
        <v>0.24166666666666667</v>
      </c>
      <c r="LK2" s="225">
        <v>0.23958333333333334</v>
      </c>
      <c r="LL2" s="225">
        <v>0.29236111111111113</v>
      </c>
      <c r="LM2" s="225">
        <v>0.23541666666666666</v>
      </c>
      <c r="LN2" s="42" t="s">
        <v>127</v>
      </c>
      <c r="LO2" s="42" t="s">
        <v>127</v>
      </c>
      <c r="LP2" s="42" t="s">
        <v>127</v>
      </c>
      <c r="LQ2" s="225">
        <v>0.26597222222222222</v>
      </c>
      <c r="LR2" s="225">
        <v>0.25138888888888888</v>
      </c>
      <c r="LS2" s="42"/>
      <c r="LT2" s="42" t="s">
        <v>127</v>
      </c>
      <c r="LU2" s="42" t="s">
        <v>127</v>
      </c>
      <c r="LV2" s="42" t="s">
        <v>127</v>
      </c>
      <c r="LW2" s="225">
        <v>0.21736111111111112</v>
      </c>
      <c r="LX2" s="225">
        <v>0.23402777777777778</v>
      </c>
      <c r="LY2" s="250">
        <v>0.25138888888888888</v>
      </c>
      <c r="LZ2" s="28"/>
      <c r="MA2" s="28"/>
      <c r="MB2" s="28"/>
      <c r="MC2" s="28"/>
      <c r="MD2" s="28"/>
      <c r="ME2" s="28"/>
      <c r="MF2" s="28"/>
      <c r="MG2" s="28"/>
      <c r="MH2" s="28"/>
      <c r="MI2" s="28"/>
      <c r="MJ2" s="28"/>
      <c r="MK2" s="28"/>
      <c r="ML2" s="28"/>
      <c r="MM2" s="28"/>
      <c r="MN2" s="28"/>
      <c r="MO2" s="28"/>
      <c r="MP2" s="28"/>
      <c r="MQ2" s="28"/>
      <c r="MR2" s="28"/>
      <c r="MS2" s="28"/>
      <c r="MT2" s="28"/>
      <c r="MU2" s="28"/>
      <c r="MV2" s="28"/>
      <c r="MW2" s="28"/>
      <c r="MX2" s="28"/>
      <c r="MY2" s="28"/>
      <c r="MZ2" s="28"/>
      <c r="NA2" s="28"/>
      <c r="NB2" s="28"/>
      <c r="NC2" s="28"/>
      <c r="ND2" s="28"/>
      <c r="NE2" s="28"/>
      <c r="NF2" s="28"/>
    </row>
    <row r="3" spans="1:370" x14ac:dyDescent="0.25">
      <c r="A3" s="102">
        <v>2</v>
      </c>
      <c r="B3" s="97">
        <v>0.22013888888888888</v>
      </c>
      <c r="C3" s="97">
        <v>0.25138888888888888</v>
      </c>
      <c r="D3" s="96">
        <v>0</v>
      </c>
      <c r="E3" s="97">
        <v>0.20208333333333334</v>
      </c>
      <c r="F3" s="97">
        <v>0.22916666666666666</v>
      </c>
      <c r="G3" s="97">
        <v>0.25624999999999998</v>
      </c>
      <c r="H3" s="97">
        <v>0.33402777777777776</v>
      </c>
      <c r="I3" s="97">
        <v>0.22500000000000001</v>
      </c>
      <c r="J3" s="97">
        <v>0.26597222222222222</v>
      </c>
      <c r="K3" s="96">
        <v>0</v>
      </c>
      <c r="L3" s="97">
        <v>0.17847222222222223</v>
      </c>
      <c r="M3" s="97">
        <v>0.25833333333333336</v>
      </c>
      <c r="N3" s="97">
        <v>0.25833333333333336</v>
      </c>
      <c r="O3" s="103">
        <v>0.30902777777777779</v>
      </c>
      <c r="P3" s="112">
        <v>0.23055555555555557</v>
      </c>
      <c r="Q3" s="113">
        <v>0.29097222222222224</v>
      </c>
      <c r="R3" s="48">
        <v>0</v>
      </c>
      <c r="S3" s="113">
        <v>0.18402777777777779</v>
      </c>
      <c r="T3" s="113">
        <v>0.43194444444444446</v>
      </c>
      <c r="U3" s="113">
        <v>0.2298611111111111</v>
      </c>
      <c r="V3" s="113">
        <v>0.29305555555555557</v>
      </c>
      <c r="W3" s="113">
        <v>0.24583333333333332</v>
      </c>
      <c r="X3" s="113">
        <v>0.37222222222222223</v>
      </c>
      <c r="Y3" s="48">
        <v>0</v>
      </c>
      <c r="Z3" s="113">
        <v>0.30277777777777776</v>
      </c>
      <c r="AA3" s="113">
        <v>0.23125000000000001</v>
      </c>
      <c r="AB3" s="113">
        <v>0.24305555555555555</v>
      </c>
      <c r="AC3" s="113">
        <v>0.38819444444444445</v>
      </c>
      <c r="AD3" s="113">
        <v>0.2388888888888889</v>
      </c>
      <c r="AE3" s="113">
        <v>0.28194444444444444</v>
      </c>
      <c r="AF3" s="48"/>
      <c r="AG3" s="113">
        <v>0.19583333333333333</v>
      </c>
      <c r="AH3" s="113">
        <v>0.24444444444444444</v>
      </c>
      <c r="AI3" s="113">
        <v>0.29097222222222224</v>
      </c>
      <c r="AJ3" s="113">
        <v>0.27708333333333335</v>
      </c>
      <c r="AK3" s="113">
        <v>0.26111111111111113</v>
      </c>
      <c r="AL3" s="113">
        <v>0.21527777777777779</v>
      </c>
      <c r="AM3" s="48"/>
      <c r="AN3" s="113">
        <v>0.20069444444444445</v>
      </c>
      <c r="AO3" s="113">
        <v>0.23194444444444445</v>
      </c>
      <c r="AP3" s="113">
        <v>0.22708333333333333</v>
      </c>
      <c r="AQ3" s="113">
        <v>0.25486111111111109</v>
      </c>
      <c r="AR3" s="113">
        <v>0.22569444444444445</v>
      </c>
      <c r="AS3" s="113">
        <v>0.27638888888888891</v>
      </c>
      <c r="AT3" s="113"/>
      <c r="AU3" s="113">
        <v>0.19930555555555557</v>
      </c>
      <c r="AV3" s="113">
        <v>0.25624999999999998</v>
      </c>
      <c r="AW3" s="113">
        <v>0.24930555555555556</v>
      </c>
      <c r="AX3" s="113">
        <v>0.25</v>
      </c>
      <c r="AY3" s="113">
        <v>0.26180555555555557</v>
      </c>
      <c r="AZ3" s="113">
        <v>0.26874999999999999</v>
      </c>
      <c r="BA3" s="48"/>
      <c r="BB3" s="113">
        <v>0.21319444444444444</v>
      </c>
      <c r="BC3" s="113">
        <v>0.23680555555555555</v>
      </c>
      <c r="BD3" s="113">
        <v>0.27152777777777776</v>
      </c>
      <c r="BE3" s="113">
        <v>0.41597222222222224</v>
      </c>
      <c r="BF3" s="113">
        <v>0.24305555555555555</v>
      </c>
      <c r="BG3" s="113">
        <v>0.29097222222222224</v>
      </c>
      <c r="BH3" s="48"/>
      <c r="BI3" s="113">
        <v>0.24513888888888888</v>
      </c>
      <c r="BJ3" s="113">
        <v>0.3034722222222222</v>
      </c>
      <c r="BK3" s="113">
        <v>0.33541666666666664</v>
      </c>
      <c r="BL3" s="113">
        <v>0.2361111111111111</v>
      </c>
      <c r="BM3" s="113">
        <v>0.23749999999999999</v>
      </c>
      <c r="BN3" s="113">
        <v>0.52708333333333335</v>
      </c>
      <c r="BO3" s="48"/>
      <c r="BP3" s="113">
        <v>0.15625</v>
      </c>
      <c r="BQ3" s="113">
        <v>0.19930555555555557</v>
      </c>
      <c r="BR3" s="113">
        <v>0.62777777777777777</v>
      </c>
      <c r="BS3" s="113">
        <v>1.3888888888888889E-3</v>
      </c>
      <c r="BT3" s="113">
        <v>6.9444444444444441E-3</v>
      </c>
      <c r="BU3" s="113">
        <v>0.23680555555555555</v>
      </c>
      <c r="BV3" s="48"/>
      <c r="BW3" s="113">
        <v>0.15347222222222223</v>
      </c>
      <c r="BX3" s="113">
        <v>0.21111111111111111</v>
      </c>
      <c r="BY3" s="113">
        <v>0.19375000000000001</v>
      </c>
      <c r="BZ3" s="113">
        <v>0.20277777777777778</v>
      </c>
      <c r="CA3" s="113">
        <v>0.23819444444444443</v>
      </c>
      <c r="CB3" s="113">
        <v>0.22361111111111112</v>
      </c>
      <c r="CC3" s="48"/>
      <c r="CD3" s="113">
        <v>0.13402777777777777</v>
      </c>
      <c r="CE3" s="113">
        <v>0.1986111111111111</v>
      </c>
      <c r="CF3" s="113">
        <v>0.2076388888888889</v>
      </c>
      <c r="CG3" s="113">
        <v>0.21041666666666667</v>
      </c>
      <c r="CH3" s="113">
        <v>0.24097222222222223</v>
      </c>
      <c r="CI3" s="113">
        <v>0.25</v>
      </c>
      <c r="CJ3" s="48"/>
      <c r="CK3" s="113">
        <v>0.29236111111111113</v>
      </c>
      <c r="CL3" s="113">
        <v>0.23125000000000001</v>
      </c>
      <c r="CM3" s="113">
        <v>0.20972222222222223</v>
      </c>
      <c r="CN3" s="113">
        <v>0.21458333333333332</v>
      </c>
      <c r="CO3" s="113">
        <v>0.19444444444444445</v>
      </c>
      <c r="CP3" s="113">
        <v>0.21944444444444444</v>
      </c>
      <c r="CQ3" s="48"/>
      <c r="CR3" s="113">
        <v>0.19375000000000001</v>
      </c>
      <c r="CS3" s="113">
        <v>0.18958333333333333</v>
      </c>
      <c r="CT3" s="113">
        <v>0.22430555555555556</v>
      </c>
      <c r="CU3" s="113">
        <v>0.64513888888888893</v>
      </c>
      <c r="CV3" s="113">
        <v>0.7</v>
      </c>
      <c r="CW3" s="113">
        <v>0.24930555555555556</v>
      </c>
      <c r="CX3" s="48"/>
      <c r="CY3" s="113">
        <v>0.17222222222222222</v>
      </c>
      <c r="CZ3" s="113">
        <v>0.20277777777777778</v>
      </c>
      <c r="DA3" s="113">
        <v>0.19652777777777777</v>
      </c>
      <c r="DB3" s="113">
        <v>0.19444444444444445</v>
      </c>
      <c r="DC3" s="113">
        <v>0.26874999999999999</v>
      </c>
      <c r="DD3" s="113">
        <v>0.24236111111111111</v>
      </c>
      <c r="DE3" s="48"/>
      <c r="DF3" s="113">
        <v>0.17291666666666666</v>
      </c>
      <c r="DG3" s="113">
        <v>0.20069444444444445</v>
      </c>
      <c r="DH3" s="113">
        <v>0.2076388888888889</v>
      </c>
      <c r="DI3" s="113">
        <v>0.17916666666666667</v>
      </c>
      <c r="DJ3" s="113">
        <v>0.19097222222222221</v>
      </c>
      <c r="DK3" s="113">
        <v>0.22708333333333333</v>
      </c>
      <c r="DL3" s="48"/>
      <c r="DM3" s="113">
        <v>0.15555555555555556</v>
      </c>
      <c r="DN3" s="113">
        <v>0.26527777777777778</v>
      </c>
      <c r="DO3" s="113">
        <v>0.22291666666666668</v>
      </c>
      <c r="DP3" s="113">
        <v>0.21736111111111112</v>
      </c>
      <c r="DQ3" s="113">
        <v>0.1875</v>
      </c>
      <c r="DR3" s="113">
        <v>0.23194444444444445</v>
      </c>
      <c r="DS3" s="48"/>
      <c r="DT3" s="113">
        <v>0.15625</v>
      </c>
      <c r="DU3" s="113">
        <v>0.30277777777777776</v>
      </c>
      <c r="DV3" s="113">
        <v>0.22916666666666666</v>
      </c>
      <c r="DW3" s="113">
        <v>0.22916666666666666</v>
      </c>
      <c r="DX3" s="113">
        <v>0.23402777777777778</v>
      </c>
      <c r="DY3" s="113">
        <v>0.24236111111111111</v>
      </c>
      <c r="DZ3" s="48"/>
      <c r="EA3" s="113">
        <v>0.17847222222222223</v>
      </c>
      <c r="EB3" s="113">
        <v>0.18888888888888888</v>
      </c>
      <c r="EC3" s="113">
        <v>0.22222222222222221</v>
      </c>
      <c r="ED3" s="113">
        <v>0.21527777777777779</v>
      </c>
      <c r="EE3" s="113">
        <v>0.21527777777777779</v>
      </c>
      <c r="EF3" s="135">
        <v>0.23055555555555557</v>
      </c>
      <c r="EG3" s="28"/>
      <c r="EH3" s="135">
        <v>0.16805555555555557</v>
      </c>
      <c r="EI3" s="135">
        <v>0.21875</v>
      </c>
      <c r="EJ3" s="135">
        <v>0.17847222222222223</v>
      </c>
      <c r="EK3" s="135">
        <v>0.18472222222222223</v>
      </c>
      <c r="EL3" s="28"/>
      <c r="EM3" s="135">
        <v>0.21805555555555556</v>
      </c>
      <c r="EN3" s="135">
        <v>0.23055555555555557</v>
      </c>
      <c r="EO3" s="135">
        <v>0.70902777777777781</v>
      </c>
      <c r="EP3" s="135">
        <v>0.19722222222222222</v>
      </c>
      <c r="EQ3" s="135">
        <v>0.21875</v>
      </c>
      <c r="ER3" s="135">
        <v>0.20208333333333334</v>
      </c>
      <c r="ES3" s="135">
        <v>0.20902777777777778</v>
      </c>
      <c r="ET3" s="135">
        <v>0.23749999999999999</v>
      </c>
      <c r="EU3" s="28"/>
      <c r="EV3" s="135">
        <v>0.1451388888888889</v>
      </c>
      <c r="EW3" s="135">
        <v>0.24930555555555556</v>
      </c>
      <c r="EX3" s="135">
        <v>0.22569444444444445</v>
      </c>
      <c r="EY3" s="135">
        <v>0.31041666666666667</v>
      </c>
      <c r="EZ3" s="135">
        <v>0.2361111111111111</v>
      </c>
      <c r="FA3" s="135">
        <v>0.28749999999999998</v>
      </c>
      <c r="FB3" s="28"/>
      <c r="FC3" s="135">
        <v>0.18958333333333333</v>
      </c>
      <c r="FD3" s="135">
        <v>0.18611111111111112</v>
      </c>
      <c r="FE3" s="135">
        <v>0.29166666666666669</v>
      </c>
      <c r="FF3" s="225">
        <v>0.1986111111111111</v>
      </c>
      <c r="FG3" s="225">
        <v>0.17847222222222223</v>
      </c>
      <c r="FH3" s="225">
        <v>0.26527777777777778</v>
      </c>
      <c r="FI3" s="225">
        <v>0.19305555555555556</v>
      </c>
      <c r="FJ3" s="225">
        <v>0.24722222222222223</v>
      </c>
      <c r="FK3" s="225">
        <v>0.24236111111111111</v>
      </c>
      <c r="FL3" s="225">
        <v>0.19722222222222222</v>
      </c>
      <c r="FM3" s="225">
        <v>0.21388888888888888</v>
      </c>
      <c r="FN3" s="225">
        <v>0.17986111111111111</v>
      </c>
      <c r="FO3" s="225">
        <v>0.2013888888888889</v>
      </c>
      <c r="FP3" s="225">
        <v>0.18819444444444444</v>
      </c>
      <c r="FQ3" s="225">
        <v>0.16527777777777777</v>
      </c>
      <c r="FR3" s="225">
        <v>0.19652777777777777</v>
      </c>
      <c r="FS3" s="225">
        <v>0.20833333333333334</v>
      </c>
      <c r="FT3" s="225">
        <v>0.22222222222222221</v>
      </c>
      <c r="FU3" s="225">
        <v>0.2298611111111111</v>
      </c>
      <c r="FV3" s="225">
        <v>0.24930555555555556</v>
      </c>
      <c r="FW3" s="225">
        <v>0.19444444444444445</v>
      </c>
      <c r="FX3" s="225">
        <v>0.18194444444444444</v>
      </c>
      <c r="FY3" s="225">
        <v>0.19097222222222221</v>
      </c>
      <c r="FZ3" s="225">
        <v>0.19027777777777777</v>
      </c>
      <c r="GA3" s="225">
        <v>0.20624999999999999</v>
      </c>
      <c r="GB3" s="225">
        <v>0.2048611111111111</v>
      </c>
      <c r="GC3" s="225">
        <v>0.21527777777777779</v>
      </c>
      <c r="GD3" s="225">
        <v>0.16875000000000001</v>
      </c>
      <c r="GE3" s="225">
        <v>0.16597222222222222</v>
      </c>
      <c r="GF3" s="225">
        <v>0.19583333333333333</v>
      </c>
      <c r="GG3" s="225">
        <v>0.2326388888888889</v>
      </c>
      <c r="GH3" s="225">
        <v>0.25833333333333336</v>
      </c>
      <c r="GI3" s="225">
        <v>0.24166666666666667</v>
      </c>
      <c r="GJ3" s="225">
        <v>0.24374999999999999</v>
      </c>
      <c r="GK3" s="225">
        <v>0.24652777777777779</v>
      </c>
      <c r="GL3" s="225">
        <v>0.16041666666666668</v>
      </c>
      <c r="GM3" s="225">
        <v>0.2076388888888889</v>
      </c>
      <c r="GN3" s="225">
        <v>0.24027777777777778</v>
      </c>
      <c r="GO3" s="225">
        <v>0.22152777777777777</v>
      </c>
      <c r="GP3" s="225">
        <v>0.20555555555555555</v>
      </c>
      <c r="GQ3" s="225">
        <v>0.22638888888888889</v>
      </c>
      <c r="GR3" s="225">
        <v>0.18888888888888888</v>
      </c>
      <c r="GS3" s="225">
        <v>0.14791666666666667</v>
      </c>
      <c r="GT3" s="225">
        <v>0.26250000000000001</v>
      </c>
      <c r="GU3" s="42">
        <v>0</v>
      </c>
      <c r="GV3" s="225">
        <v>0.27361111111111114</v>
      </c>
      <c r="GW3" s="225">
        <v>0.28055555555555556</v>
      </c>
      <c r="GX3" s="225"/>
      <c r="GY3" s="42">
        <v>0</v>
      </c>
      <c r="GZ3" s="225">
        <v>0.88055555555555554</v>
      </c>
      <c r="HA3" s="225">
        <v>0.55208333333333337</v>
      </c>
      <c r="HB3" s="225">
        <v>0.19652777777777777</v>
      </c>
      <c r="HC3" s="225">
        <v>0.20902777777777778</v>
      </c>
      <c r="HD3" s="225">
        <v>0.21041666666666667</v>
      </c>
      <c r="HE3" s="225">
        <v>0.20972222222222223</v>
      </c>
      <c r="HF3" s="225">
        <v>0.24930555555555556</v>
      </c>
      <c r="HG3" s="42"/>
      <c r="HH3" s="225">
        <v>0.13541666666666666</v>
      </c>
      <c r="HI3" s="225">
        <v>0.19722222222222222</v>
      </c>
      <c r="HJ3" s="225">
        <v>0.22222222222222221</v>
      </c>
      <c r="HK3" s="225">
        <v>0.24583333333333332</v>
      </c>
      <c r="HL3" s="225">
        <v>0.21388888888888888</v>
      </c>
      <c r="HM3" s="225">
        <v>0.25208333333333333</v>
      </c>
      <c r="HN3" s="225">
        <v>0.27708333333333335</v>
      </c>
      <c r="HO3" s="225">
        <v>0.25555555555555554</v>
      </c>
      <c r="HP3" s="225">
        <v>6.9444444444444447E-4</v>
      </c>
      <c r="HQ3" s="225">
        <v>0.34513888888888888</v>
      </c>
      <c r="HR3" s="225">
        <v>0.29583333333333334</v>
      </c>
      <c r="HS3" s="225">
        <v>0.2326388888888889</v>
      </c>
      <c r="HT3" s="225">
        <v>0.27638888888888891</v>
      </c>
      <c r="HU3" s="225">
        <v>0.25763888888888886</v>
      </c>
      <c r="HV3" s="42" t="s">
        <v>274</v>
      </c>
      <c r="HW3" s="225">
        <v>0.23125000000000001</v>
      </c>
      <c r="HX3" s="225">
        <v>0.28125</v>
      </c>
      <c r="HY3" s="225">
        <v>0.27847222222222223</v>
      </c>
      <c r="HZ3" s="225">
        <v>0.23541666666666666</v>
      </c>
      <c r="IA3" s="225">
        <v>0.36041666666666666</v>
      </c>
      <c r="IB3" s="235" t="s">
        <v>274</v>
      </c>
      <c r="IC3" s="42"/>
      <c r="ID3" s="225">
        <v>0.27777777777777779</v>
      </c>
      <c r="IE3" s="225">
        <v>0.31527777777777777</v>
      </c>
      <c r="IF3" s="225">
        <v>0.22916666666666666</v>
      </c>
      <c r="IG3" s="225">
        <v>0.25763888888888886</v>
      </c>
      <c r="IH3" s="225">
        <v>0.27847222222222223</v>
      </c>
      <c r="II3" s="234">
        <v>0.24583333333333332</v>
      </c>
      <c r="IJ3" s="225">
        <v>0.24444444444444444</v>
      </c>
      <c r="IK3" s="225">
        <v>0.26458333333333334</v>
      </c>
      <c r="IL3" s="225">
        <v>0.25416666666666665</v>
      </c>
      <c r="IM3" s="225">
        <v>0.22916666666666666</v>
      </c>
      <c r="IN3" s="225">
        <v>0.22291666666666668</v>
      </c>
      <c r="IO3" s="225">
        <v>0.26527777777777778</v>
      </c>
      <c r="IP3" s="234">
        <v>0.24236111111111111</v>
      </c>
      <c r="IQ3" s="42" t="s">
        <v>128</v>
      </c>
      <c r="IR3" s="225">
        <v>0.24791666666666667</v>
      </c>
      <c r="IS3" s="225">
        <v>0.27361111111111114</v>
      </c>
      <c r="IT3" s="225">
        <v>0.25138888888888888</v>
      </c>
      <c r="IU3" s="225">
        <v>0.2388888888888889</v>
      </c>
      <c r="IV3" s="225">
        <v>0.27430555555555558</v>
      </c>
      <c r="IW3" s="225">
        <v>0.2673611111111111</v>
      </c>
      <c r="IX3" s="42" t="s">
        <v>277</v>
      </c>
      <c r="IY3" s="225">
        <v>0.23958333333333334</v>
      </c>
      <c r="IZ3" s="225">
        <v>0.22500000000000001</v>
      </c>
      <c r="JA3" s="225">
        <v>0.23125000000000001</v>
      </c>
      <c r="JB3" s="225">
        <v>0.24027777777777778</v>
      </c>
      <c r="JC3" s="225">
        <v>0.26666666666666666</v>
      </c>
      <c r="JD3" s="225">
        <v>0.24236111111111111</v>
      </c>
      <c r="JE3" s="42" t="s">
        <v>278</v>
      </c>
      <c r="JF3" s="225">
        <v>0.22569444444444445</v>
      </c>
      <c r="JG3" s="225">
        <v>0.25069444444444444</v>
      </c>
      <c r="JH3" s="225">
        <v>0.24236111111111111</v>
      </c>
      <c r="JI3" s="225">
        <v>0.26527777777777778</v>
      </c>
      <c r="JJ3" s="225">
        <v>0.26597222222222222</v>
      </c>
      <c r="JK3" s="42" t="s">
        <v>137</v>
      </c>
      <c r="JL3" s="42" t="s">
        <v>137</v>
      </c>
      <c r="JM3" s="225">
        <v>0.38055555555555554</v>
      </c>
      <c r="JN3" s="225">
        <v>0.29930555555555555</v>
      </c>
      <c r="JO3" s="225">
        <v>0.39583333333333331</v>
      </c>
      <c r="JP3" s="225">
        <v>0.22916666666666666</v>
      </c>
      <c r="JQ3" s="225">
        <v>0.27777777777777779</v>
      </c>
      <c r="JR3" s="225">
        <v>0.25</v>
      </c>
      <c r="JS3" s="225"/>
      <c r="JT3" s="225">
        <v>0.42291666666666666</v>
      </c>
      <c r="JU3" s="225">
        <v>0.25138888888888888</v>
      </c>
      <c r="JV3" s="225">
        <v>0.27986111111111112</v>
      </c>
      <c r="JW3" s="225">
        <v>0.39444444444444443</v>
      </c>
      <c r="JX3" s="225">
        <v>0.28333333333333333</v>
      </c>
      <c r="JY3" s="42"/>
      <c r="JZ3" s="225">
        <v>0.41041666666666665</v>
      </c>
      <c r="KA3" s="225">
        <v>0.24236111111111111</v>
      </c>
      <c r="KB3" s="225">
        <v>0.27152777777777776</v>
      </c>
      <c r="KC3" s="225">
        <v>0.24236111111111111</v>
      </c>
      <c r="KD3" s="225">
        <v>0.23680555555555555</v>
      </c>
      <c r="KE3" s="225">
        <v>0.38541666666666669</v>
      </c>
      <c r="KF3" s="225"/>
      <c r="KG3" s="42" t="s">
        <v>127</v>
      </c>
      <c r="KH3" s="225">
        <v>0.25347222222222221</v>
      </c>
      <c r="KI3" s="225">
        <v>0.37777777777777777</v>
      </c>
      <c r="KJ3" s="225">
        <v>0.32430555555555557</v>
      </c>
      <c r="KK3" s="225">
        <v>0.25069444444444444</v>
      </c>
      <c r="KL3" s="225">
        <v>0.39444444444444443</v>
      </c>
      <c r="KM3" s="225">
        <v>0.29583333333333334</v>
      </c>
      <c r="KN3" s="225">
        <v>0.20069444444444445</v>
      </c>
      <c r="KO3" s="225">
        <v>0.37777777777777777</v>
      </c>
      <c r="KP3" s="225">
        <v>0.24236111111111111</v>
      </c>
      <c r="KQ3" s="225">
        <v>0.25</v>
      </c>
      <c r="KR3" s="225">
        <v>0.38541666666666669</v>
      </c>
      <c r="KS3" s="225">
        <v>0.29444444444444445</v>
      </c>
      <c r="KT3" s="225">
        <v>0.2638888888888889</v>
      </c>
      <c r="KU3" s="42"/>
      <c r="KV3" s="42"/>
      <c r="KW3" s="225">
        <v>0.24652777777777779</v>
      </c>
      <c r="KX3" s="225">
        <v>0.25416666666666665</v>
      </c>
      <c r="KY3" s="225">
        <v>0.24305555555555555</v>
      </c>
      <c r="KZ3" s="225">
        <v>0.30833333333333335</v>
      </c>
      <c r="LA3" s="42" t="s">
        <v>279</v>
      </c>
      <c r="LB3" s="42" t="s">
        <v>279</v>
      </c>
      <c r="LC3" s="225">
        <v>0.35416666666666669</v>
      </c>
      <c r="LD3" s="225">
        <v>0.27291666666666664</v>
      </c>
      <c r="LE3" s="225">
        <v>0.3659722222222222</v>
      </c>
      <c r="LF3" s="225">
        <v>0.24861111111111112</v>
      </c>
      <c r="LG3" s="225">
        <v>0.28402777777777777</v>
      </c>
      <c r="LH3" s="225">
        <v>0.2590277777777778</v>
      </c>
      <c r="LI3" s="42" t="s">
        <v>279</v>
      </c>
      <c r="LJ3" s="225">
        <v>0.24513888888888888</v>
      </c>
      <c r="LK3" s="225">
        <v>0.24374999999999999</v>
      </c>
      <c r="LL3" s="225">
        <v>0.30277777777777776</v>
      </c>
      <c r="LM3" s="225">
        <v>0.24861111111111112</v>
      </c>
      <c r="LN3" s="42" t="s">
        <v>125</v>
      </c>
      <c r="LO3" s="42" t="s">
        <v>125</v>
      </c>
      <c r="LP3" s="42" t="s">
        <v>125</v>
      </c>
      <c r="LQ3" s="225">
        <v>0.26944444444444443</v>
      </c>
      <c r="LR3" s="225">
        <v>0.25347222222222221</v>
      </c>
      <c r="LS3" s="42"/>
      <c r="LT3" s="42" t="s">
        <v>125</v>
      </c>
      <c r="LU3" s="42" t="s">
        <v>125</v>
      </c>
      <c r="LV3" s="42" t="s">
        <v>125</v>
      </c>
      <c r="LW3" s="225">
        <v>0.22013888888888888</v>
      </c>
      <c r="LX3" s="225">
        <v>0.24374999999999999</v>
      </c>
      <c r="LY3" s="250">
        <v>0.25763888888888886</v>
      </c>
      <c r="LZ3" s="28"/>
      <c r="MA3" s="28"/>
      <c r="MB3" s="28"/>
      <c r="MC3" s="28"/>
      <c r="MD3" s="28"/>
      <c r="ME3" s="28"/>
      <c r="MF3" s="28"/>
      <c r="MG3" s="28"/>
      <c r="MH3" s="28"/>
      <c r="MI3" s="28"/>
      <c r="MJ3" s="28"/>
      <c r="MK3" s="28"/>
      <c r="ML3" s="28"/>
      <c r="MM3" s="28"/>
      <c r="MN3" s="28"/>
      <c r="MO3" s="28"/>
      <c r="MP3" s="28"/>
      <c r="MQ3" s="28"/>
      <c r="MR3" s="28"/>
      <c r="MS3" s="28"/>
      <c r="MT3" s="28"/>
      <c r="MU3" s="28"/>
      <c r="MV3" s="28"/>
      <c r="MW3" s="28"/>
      <c r="MX3" s="28"/>
      <c r="MY3" s="28"/>
      <c r="MZ3" s="28"/>
      <c r="NA3" s="28"/>
      <c r="NB3" s="28"/>
      <c r="NC3" s="28"/>
      <c r="ND3" s="28"/>
      <c r="NE3" s="28"/>
      <c r="NF3" s="28"/>
    </row>
    <row r="4" spans="1:370" x14ac:dyDescent="0.25">
      <c r="A4" s="102">
        <v>3</v>
      </c>
      <c r="B4" s="97">
        <v>0.22847222222222222</v>
      </c>
      <c r="C4" s="97">
        <v>0.25555555555555554</v>
      </c>
      <c r="D4" s="96">
        <v>0</v>
      </c>
      <c r="E4" s="97">
        <v>0.2048611111111111</v>
      </c>
      <c r="F4" s="97">
        <v>0.24166666666666667</v>
      </c>
      <c r="G4" s="97">
        <v>0.26458333333333334</v>
      </c>
      <c r="H4" s="97">
        <v>0.34513888888888888</v>
      </c>
      <c r="I4" s="97">
        <v>0.2298611111111111</v>
      </c>
      <c r="J4" s="97">
        <v>0.27083333333333331</v>
      </c>
      <c r="K4" s="96">
        <v>0</v>
      </c>
      <c r="L4" s="97">
        <v>0.18541666666666667</v>
      </c>
      <c r="M4" s="97">
        <v>0.2638888888888889</v>
      </c>
      <c r="N4" s="97">
        <v>0.26180555555555557</v>
      </c>
      <c r="O4" s="103">
        <v>0.32847222222222222</v>
      </c>
      <c r="P4" s="112">
        <v>0.24236111111111111</v>
      </c>
      <c r="Q4" s="113">
        <v>0.29444444444444445</v>
      </c>
      <c r="R4" s="48">
        <v>0</v>
      </c>
      <c r="S4" s="113">
        <v>0.18888888888888888</v>
      </c>
      <c r="T4" s="113">
        <v>0.43472222222222223</v>
      </c>
      <c r="U4" s="113">
        <v>0.24722222222222223</v>
      </c>
      <c r="V4" s="113">
        <v>0.29583333333333334</v>
      </c>
      <c r="W4" s="113">
        <v>0.24930555555555556</v>
      </c>
      <c r="X4" s="113">
        <v>0.375</v>
      </c>
      <c r="Y4" s="48">
        <v>0</v>
      </c>
      <c r="Z4" s="113">
        <v>0.30625000000000002</v>
      </c>
      <c r="AA4" s="113">
        <v>0.23472222222222222</v>
      </c>
      <c r="AB4" s="113">
        <v>0.24652777777777779</v>
      </c>
      <c r="AC4" s="113">
        <v>0.3923611111111111</v>
      </c>
      <c r="AD4" s="113">
        <v>0.24236111111111111</v>
      </c>
      <c r="AE4" s="113">
        <v>0.28472222222222221</v>
      </c>
      <c r="AF4" s="48"/>
      <c r="AG4" s="113">
        <v>0.20277777777777778</v>
      </c>
      <c r="AH4" s="113">
        <v>0.25</v>
      </c>
      <c r="AI4" s="113">
        <v>0.31458333333333333</v>
      </c>
      <c r="AJ4" s="113">
        <v>0.27986111111111112</v>
      </c>
      <c r="AK4" s="113">
        <v>0.26458333333333334</v>
      </c>
      <c r="AL4" s="113">
        <v>0.21805555555555556</v>
      </c>
      <c r="AM4" s="48"/>
      <c r="AN4" s="113">
        <v>0.20347222222222222</v>
      </c>
      <c r="AO4" s="113">
        <v>0.23402777777777778</v>
      </c>
      <c r="AP4" s="113">
        <v>0.23680555555555555</v>
      </c>
      <c r="AQ4" s="113">
        <v>0.2590277777777778</v>
      </c>
      <c r="AR4" s="113">
        <v>0.23402777777777778</v>
      </c>
      <c r="AS4" s="113">
        <v>0.28749999999999998</v>
      </c>
      <c r="AT4" s="48"/>
      <c r="AU4" s="113">
        <v>0.2048611111111111</v>
      </c>
      <c r="AV4" s="113">
        <v>0.26041666666666669</v>
      </c>
      <c r="AW4" s="113">
        <v>0.25416666666666665</v>
      </c>
      <c r="AX4" s="113">
        <v>0.25208333333333333</v>
      </c>
      <c r="AY4" s="113">
        <v>0.26666666666666666</v>
      </c>
      <c r="AZ4" s="113">
        <v>0.27569444444444446</v>
      </c>
      <c r="BA4" s="48"/>
      <c r="BB4" s="113">
        <v>0.21527777777777779</v>
      </c>
      <c r="BC4" s="113">
        <v>0.24027777777777778</v>
      </c>
      <c r="BD4" s="113">
        <v>0.27708333333333335</v>
      </c>
      <c r="BE4" s="113">
        <v>0.42152777777777778</v>
      </c>
      <c r="BF4" s="113">
        <v>0.24791666666666667</v>
      </c>
      <c r="BG4" s="113">
        <v>0.25347222222222221</v>
      </c>
      <c r="BH4" s="48"/>
      <c r="BI4" s="113">
        <v>0.25138888888888888</v>
      </c>
      <c r="BJ4" s="113">
        <v>0.30833333333333335</v>
      </c>
      <c r="BK4" s="113">
        <v>0.33888888888888891</v>
      </c>
      <c r="BL4" s="113">
        <v>0.24236111111111111</v>
      </c>
      <c r="BM4" s="113">
        <v>0.24652777777777779</v>
      </c>
      <c r="BN4" s="113">
        <v>0.52708333333333335</v>
      </c>
      <c r="BO4" s="48"/>
      <c r="BP4" s="113">
        <v>0.16041666666666668</v>
      </c>
      <c r="BQ4" s="113">
        <v>0.20208333333333334</v>
      </c>
      <c r="BR4" s="113">
        <v>0.62847222222222221</v>
      </c>
      <c r="BS4" s="113">
        <v>4.1666666666666666E-3</v>
      </c>
      <c r="BT4" s="113">
        <v>1.1111111111111112E-2</v>
      </c>
      <c r="BU4" s="113">
        <v>0.24097222222222223</v>
      </c>
      <c r="BV4" s="48"/>
      <c r="BW4" s="113">
        <v>0.15833333333333333</v>
      </c>
      <c r="BX4" s="113">
        <v>0.21458333333333332</v>
      </c>
      <c r="BY4" s="113">
        <v>0.19791666666666666</v>
      </c>
      <c r="BZ4" s="113">
        <v>0.20902777777777778</v>
      </c>
      <c r="CA4" s="113">
        <v>0.24374999999999999</v>
      </c>
      <c r="CB4" s="113">
        <v>0.23194444444444445</v>
      </c>
      <c r="CC4" s="48"/>
      <c r="CD4" s="113">
        <v>0.14444444444444443</v>
      </c>
      <c r="CE4" s="113">
        <v>0.20277777777777778</v>
      </c>
      <c r="CF4" s="113">
        <v>0.21180555555555555</v>
      </c>
      <c r="CG4" s="113">
        <v>0.21666666666666667</v>
      </c>
      <c r="CH4" s="113">
        <v>0.24305555555555555</v>
      </c>
      <c r="CI4" s="113">
        <v>0.25486111111111109</v>
      </c>
      <c r="CJ4" s="48"/>
      <c r="CK4" s="113">
        <v>0.3</v>
      </c>
      <c r="CL4" s="113">
        <v>0.23749999999999999</v>
      </c>
      <c r="CM4" s="113">
        <v>0.21111111111111111</v>
      </c>
      <c r="CN4" s="113">
        <v>0.22013888888888888</v>
      </c>
      <c r="CO4" s="113">
        <v>0.19791666666666666</v>
      </c>
      <c r="CP4" s="113">
        <v>0.22361111111111112</v>
      </c>
      <c r="CQ4" s="48"/>
      <c r="CR4" s="113">
        <v>0.19791666666666666</v>
      </c>
      <c r="CS4" s="113">
        <v>0.2013888888888889</v>
      </c>
      <c r="CT4" s="113">
        <v>0.22708333333333333</v>
      </c>
      <c r="CU4" s="113">
        <v>0.65138888888888891</v>
      </c>
      <c r="CV4" s="113">
        <v>0.71250000000000002</v>
      </c>
      <c r="CW4" s="113">
        <v>0.24930555555555556</v>
      </c>
      <c r="CX4" s="48"/>
      <c r="CY4" s="113">
        <v>0.1763888888888889</v>
      </c>
      <c r="CZ4" s="113">
        <v>0.21666666666666667</v>
      </c>
      <c r="DA4" s="113">
        <v>0.20624999999999999</v>
      </c>
      <c r="DB4" s="113">
        <v>0.1986111111111111</v>
      </c>
      <c r="DC4" s="113">
        <v>0.27430555555555558</v>
      </c>
      <c r="DD4" s="113">
        <v>0.24583333333333332</v>
      </c>
      <c r="DE4" s="48"/>
      <c r="DF4" s="113">
        <v>0.18194444444444444</v>
      </c>
      <c r="DG4" s="113">
        <v>0.20416666666666666</v>
      </c>
      <c r="DH4" s="113">
        <v>0.21736111111111112</v>
      </c>
      <c r="DI4" s="113">
        <v>0.19375000000000001</v>
      </c>
      <c r="DJ4" s="113">
        <v>0.19375000000000001</v>
      </c>
      <c r="DK4" s="113">
        <v>0.23125000000000001</v>
      </c>
      <c r="DL4" s="48"/>
      <c r="DM4" s="113">
        <v>0.16250000000000001</v>
      </c>
      <c r="DN4" s="113">
        <v>0.27083333333333331</v>
      </c>
      <c r="DO4" s="113">
        <v>0.22638888888888889</v>
      </c>
      <c r="DP4" s="113">
        <v>0.22152777777777777</v>
      </c>
      <c r="DQ4" s="113">
        <v>0.1875</v>
      </c>
      <c r="DR4" s="113">
        <v>0.23472222222222222</v>
      </c>
      <c r="DS4" s="48"/>
      <c r="DT4" s="113">
        <v>0.16041666666666668</v>
      </c>
      <c r="DU4" s="113">
        <v>0.31319444444444444</v>
      </c>
      <c r="DV4" s="113">
        <v>0.23333333333333334</v>
      </c>
      <c r="DW4" s="113">
        <v>0.25972222222222224</v>
      </c>
      <c r="DX4" s="113">
        <v>0.23819444444444443</v>
      </c>
      <c r="DY4" s="113">
        <v>0.25</v>
      </c>
      <c r="DZ4" s="48"/>
      <c r="EA4" s="113">
        <v>0.18541666666666667</v>
      </c>
      <c r="EB4" s="113">
        <v>0.19930555555555557</v>
      </c>
      <c r="EC4" s="113">
        <v>0.22638888888888889</v>
      </c>
      <c r="ED4" s="113">
        <v>0.21944444444444444</v>
      </c>
      <c r="EE4" s="113">
        <v>0.21944444444444444</v>
      </c>
      <c r="EF4" s="135">
        <v>0.24236111111111111</v>
      </c>
      <c r="EG4" s="28"/>
      <c r="EH4" s="135">
        <v>0.1736111111111111</v>
      </c>
      <c r="EI4" s="135">
        <v>0.22430555555555556</v>
      </c>
      <c r="EJ4" s="135">
        <v>0.18680555555555556</v>
      </c>
      <c r="EK4" s="135">
        <v>0.18819444444444444</v>
      </c>
      <c r="EL4" s="28"/>
      <c r="EM4" s="135">
        <v>0.22152777777777777</v>
      </c>
      <c r="EN4" s="135">
        <v>0.24236111111111111</v>
      </c>
      <c r="EO4" s="135">
        <v>0.71736111111111112</v>
      </c>
      <c r="EP4" s="135">
        <v>0.20208333333333334</v>
      </c>
      <c r="EQ4" s="135">
        <v>0.23333333333333334</v>
      </c>
      <c r="ER4" s="135">
        <v>0.20833333333333334</v>
      </c>
      <c r="ES4" s="135">
        <v>0.21180555555555555</v>
      </c>
      <c r="ET4" s="135">
        <v>0.24097222222222223</v>
      </c>
      <c r="EU4" s="28"/>
      <c r="EV4" s="135">
        <v>0.14791666666666667</v>
      </c>
      <c r="EW4" s="135">
        <v>0.25277777777777777</v>
      </c>
      <c r="EX4" s="135">
        <v>0.22847222222222222</v>
      </c>
      <c r="EY4" s="135">
        <v>0.31736111111111109</v>
      </c>
      <c r="EZ4" s="135">
        <v>0.26041666666666669</v>
      </c>
      <c r="FA4" s="135">
        <v>0.28958333333333336</v>
      </c>
      <c r="FB4" s="28"/>
      <c r="FC4" s="135">
        <v>0.19583333333333333</v>
      </c>
      <c r="FD4" s="135">
        <v>0.18888888888888888</v>
      </c>
      <c r="FE4" s="135">
        <v>0.3</v>
      </c>
      <c r="FF4" s="225">
        <v>0.20208333333333334</v>
      </c>
      <c r="FG4" s="225">
        <v>0.18333333333333332</v>
      </c>
      <c r="FH4" s="225">
        <v>0.2673611111111111</v>
      </c>
      <c r="FI4" s="225">
        <v>0.21180555555555555</v>
      </c>
      <c r="FJ4" s="225">
        <v>0.25624999999999998</v>
      </c>
      <c r="FK4" s="225">
        <v>0.25763888888888886</v>
      </c>
      <c r="FL4" s="225">
        <v>0.20069444444444445</v>
      </c>
      <c r="FM4" s="225">
        <v>0.22361111111111112</v>
      </c>
      <c r="FN4" s="225">
        <v>0.18958333333333333</v>
      </c>
      <c r="FO4" s="225">
        <v>0.20555555555555555</v>
      </c>
      <c r="FP4" s="225">
        <v>0.18958333333333333</v>
      </c>
      <c r="FQ4" s="225">
        <v>0.16875000000000001</v>
      </c>
      <c r="FR4" s="225">
        <v>0.20902777777777778</v>
      </c>
      <c r="FS4" s="225">
        <v>0.21875</v>
      </c>
      <c r="FT4" s="225">
        <v>0.23055555555555557</v>
      </c>
      <c r="FU4" s="225">
        <v>0.2361111111111111</v>
      </c>
      <c r="FV4" s="225">
        <v>0.25277777777777777</v>
      </c>
      <c r="FW4" s="225">
        <v>0.20555555555555555</v>
      </c>
      <c r="FX4" s="225">
        <v>0.18541666666666667</v>
      </c>
      <c r="FY4" s="225">
        <v>0.20208333333333334</v>
      </c>
      <c r="FZ4" s="225">
        <v>0.19722222222222222</v>
      </c>
      <c r="GA4" s="225">
        <v>0.21527777777777779</v>
      </c>
      <c r="GB4" s="225">
        <v>0.20694444444444443</v>
      </c>
      <c r="GC4" s="225">
        <v>0.22569444444444445</v>
      </c>
      <c r="GD4" s="225">
        <v>0.17222222222222222</v>
      </c>
      <c r="GE4" s="225">
        <v>0.16666666666666666</v>
      </c>
      <c r="GF4" s="225">
        <v>0.21944444444444444</v>
      </c>
      <c r="GG4" s="225">
        <v>0.23541666666666666</v>
      </c>
      <c r="GH4" s="225">
        <v>0.26250000000000001</v>
      </c>
      <c r="GI4" s="225">
        <v>0.24583333333333332</v>
      </c>
      <c r="GJ4" s="225">
        <v>0.25347222222222221</v>
      </c>
      <c r="GK4" s="225">
        <v>0.25</v>
      </c>
      <c r="GL4" s="225">
        <v>0.17152777777777778</v>
      </c>
      <c r="GM4" s="225">
        <v>0.22500000000000001</v>
      </c>
      <c r="GN4" s="225">
        <v>0.28333333333333333</v>
      </c>
      <c r="GO4" s="225">
        <v>0.22708333333333333</v>
      </c>
      <c r="GP4" s="225">
        <v>0.21041666666666667</v>
      </c>
      <c r="GQ4" s="225">
        <v>0.2361111111111111</v>
      </c>
      <c r="GR4" s="225">
        <v>0.20208333333333334</v>
      </c>
      <c r="GS4" s="225">
        <v>0.15486111111111112</v>
      </c>
      <c r="GT4" s="42"/>
      <c r="GU4" s="42">
        <v>0</v>
      </c>
      <c r="GV4" s="225">
        <v>0.27430555555555558</v>
      </c>
      <c r="GW4" s="225">
        <v>0.28611111111111109</v>
      </c>
      <c r="GX4" s="225"/>
      <c r="GY4" s="42">
        <v>0</v>
      </c>
      <c r="GZ4" s="42">
        <v>2109</v>
      </c>
      <c r="HA4" s="225">
        <v>0.56388888888888888</v>
      </c>
      <c r="HB4" s="225"/>
      <c r="HC4" s="225">
        <v>0.22222222222222221</v>
      </c>
      <c r="HD4" s="225">
        <v>0.22083333333333333</v>
      </c>
      <c r="HE4" s="225">
        <v>0.21458333333333332</v>
      </c>
      <c r="HF4" s="225">
        <v>0.25486111111111109</v>
      </c>
      <c r="HG4" s="42"/>
      <c r="HH4" s="225">
        <v>0.1388888888888889</v>
      </c>
      <c r="HI4" s="225">
        <v>0.23333333333333334</v>
      </c>
      <c r="HJ4" s="225">
        <v>0.22361111111111112</v>
      </c>
      <c r="HK4" s="225">
        <v>0.24652777777777779</v>
      </c>
      <c r="HL4" s="225">
        <v>0.22361111111111112</v>
      </c>
      <c r="HM4" s="225">
        <v>0.26180555555555557</v>
      </c>
      <c r="HN4" s="225">
        <v>0.27777777777777779</v>
      </c>
      <c r="HO4" s="225">
        <v>0.26527777777777778</v>
      </c>
      <c r="HP4" s="225">
        <v>3.472222222222222E-3</v>
      </c>
      <c r="HQ4" s="225">
        <v>0.34722222222222221</v>
      </c>
      <c r="HR4" s="225">
        <v>0.3</v>
      </c>
      <c r="HS4" s="225">
        <v>0.2361111111111111</v>
      </c>
      <c r="HT4" s="225">
        <v>0.28541666666666665</v>
      </c>
      <c r="HU4" s="225">
        <v>0.25972222222222224</v>
      </c>
      <c r="HV4" s="42" t="s">
        <v>274</v>
      </c>
      <c r="HW4" s="225">
        <v>0.23749999999999999</v>
      </c>
      <c r="HX4" s="225">
        <v>0.28194444444444444</v>
      </c>
      <c r="HY4" s="225">
        <v>0.28333333333333333</v>
      </c>
      <c r="HZ4" s="225">
        <v>0.24166666666666667</v>
      </c>
      <c r="IA4" s="225">
        <v>0.37152777777777779</v>
      </c>
      <c r="IB4" s="235" t="s">
        <v>274</v>
      </c>
      <c r="IC4" s="42"/>
      <c r="ID4" s="225">
        <v>0.28263888888888888</v>
      </c>
      <c r="IE4" s="225">
        <v>0.3263888888888889</v>
      </c>
      <c r="IF4" s="225">
        <v>0.23125000000000001</v>
      </c>
      <c r="IG4" s="225">
        <v>0.26041666666666669</v>
      </c>
      <c r="IH4" s="225">
        <v>0.28263888888888888</v>
      </c>
      <c r="II4" s="234">
        <v>0.24861111111111112</v>
      </c>
      <c r="IJ4" s="42"/>
      <c r="IK4" s="225">
        <v>0.27013888888888887</v>
      </c>
      <c r="IL4" s="225">
        <v>0.25833333333333336</v>
      </c>
      <c r="IM4" s="225">
        <v>0.23680555555555555</v>
      </c>
      <c r="IN4" s="225">
        <v>0.23333333333333334</v>
      </c>
      <c r="IO4" s="225">
        <v>0.26874999999999999</v>
      </c>
      <c r="IP4" s="234">
        <v>0.24513888888888888</v>
      </c>
      <c r="IQ4" s="42" t="s">
        <v>280</v>
      </c>
      <c r="IR4" s="225">
        <v>0.25138888888888888</v>
      </c>
      <c r="IS4" s="225">
        <v>0.27777777777777779</v>
      </c>
      <c r="IT4" s="225">
        <v>0.25486111111111109</v>
      </c>
      <c r="IU4" s="225">
        <v>0.24305555555555555</v>
      </c>
      <c r="IV4" s="225">
        <v>0.27708333333333335</v>
      </c>
      <c r="IW4" s="225">
        <v>0.27638888888888891</v>
      </c>
      <c r="IX4" s="42" t="s">
        <v>281</v>
      </c>
      <c r="IY4" s="225">
        <v>0.25486111111111109</v>
      </c>
      <c r="IZ4" s="225">
        <v>0.24027777777777778</v>
      </c>
      <c r="JA4" s="225">
        <v>0.23472222222222222</v>
      </c>
      <c r="JB4" s="225">
        <v>0.24583333333333332</v>
      </c>
      <c r="JC4" s="225">
        <v>0.27013888888888887</v>
      </c>
      <c r="JD4" s="225">
        <v>0.24652777777777779</v>
      </c>
      <c r="JE4" s="42" t="s">
        <v>282</v>
      </c>
      <c r="JF4" s="225">
        <v>0.2326388888888889</v>
      </c>
      <c r="JG4" s="225">
        <v>0.25277777777777777</v>
      </c>
      <c r="JH4" s="225">
        <v>0.24513888888888888</v>
      </c>
      <c r="JI4" s="225">
        <v>0.27361111111111114</v>
      </c>
      <c r="JJ4" s="225">
        <v>0.27708333333333335</v>
      </c>
      <c r="JK4" s="42" t="s">
        <v>283</v>
      </c>
      <c r="JL4" s="42" t="s">
        <v>283</v>
      </c>
      <c r="JM4" s="225">
        <v>0.38263888888888886</v>
      </c>
      <c r="JN4" s="225">
        <v>0.3034722222222222</v>
      </c>
      <c r="JO4" s="225">
        <v>0.40555555555555556</v>
      </c>
      <c r="JP4" s="225">
        <v>0.23125000000000001</v>
      </c>
      <c r="JQ4" s="225">
        <v>0.28055555555555556</v>
      </c>
      <c r="JR4" s="225">
        <v>0.26458333333333334</v>
      </c>
      <c r="JS4" s="42"/>
      <c r="JT4" s="225">
        <v>0.43541666666666667</v>
      </c>
      <c r="JU4" s="225">
        <v>0.25624999999999998</v>
      </c>
      <c r="JV4" s="225">
        <v>0.28194444444444444</v>
      </c>
      <c r="JW4" s="225">
        <v>0.40208333333333335</v>
      </c>
      <c r="JX4" s="225">
        <v>0.28541666666666665</v>
      </c>
      <c r="JY4" s="42"/>
      <c r="JZ4" s="225">
        <v>0.41249999999999998</v>
      </c>
      <c r="KA4" s="225">
        <v>0.25</v>
      </c>
      <c r="KB4" s="225">
        <v>0.27430555555555558</v>
      </c>
      <c r="KC4" s="225">
        <v>0.25138888888888888</v>
      </c>
      <c r="KD4" s="225">
        <v>0.23958333333333334</v>
      </c>
      <c r="KE4" s="225">
        <v>0.38750000000000001</v>
      </c>
      <c r="KF4" s="225"/>
      <c r="KG4" s="42" t="s">
        <v>142</v>
      </c>
      <c r="KH4" s="225">
        <v>0.25624999999999998</v>
      </c>
      <c r="KI4" s="225">
        <v>0.37916666666666665</v>
      </c>
      <c r="KJ4" s="225">
        <v>0.32916666666666666</v>
      </c>
      <c r="KK4" s="225">
        <v>0.28680555555555554</v>
      </c>
      <c r="KL4" s="225">
        <v>0.39652777777777776</v>
      </c>
      <c r="KM4" s="225">
        <v>0.2986111111111111</v>
      </c>
      <c r="KN4" s="225">
        <v>0.20694444444444443</v>
      </c>
      <c r="KO4" s="225">
        <v>0.37916666666666665</v>
      </c>
      <c r="KP4" s="225">
        <v>0.24652777777777779</v>
      </c>
      <c r="KQ4" s="225">
        <v>0.25277777777777777</v>
      </c>
      <c r="KR4" s="225">
        <v>0.3888888888888889</v>
      </c>
      <c r="KS4" s="225">
        <v>0.2986111111111111</v>
      </c>
      <c r="KT4" s="225">
        <v>0.26666666666666666</v>
      </c>
      <c r="KU4" s="42"/>
      <c r="KV4" s="42"/>
      <c r="KW4" s="225">
        <v>0.24930555555555556</v>
      </c>
      <c r="KX4" s="225">
        <v>0.26250000000000001</v>
      </c>
      <c r="KY4" s="225">
        <v>0.24513888888888888</v>
      </c>
      <c r="KZ4" s="225">
        <v>0.31111111111111112</v>
      </c>
      <c r="LA4" s="42" t="s">
        <v>142</v>
      </c>
      <c r="LB4" s="42" t="s">
        <v>142</v>
      </c>
      <c r="LC4" s="225">
        <v>0.3576388888888889</v>
      </c>
      <c r="LD4" s="225">
        <v>0.28402777777777777</v>
      </c>
      <c r="LE4" s="42"/>
      <c r="LF4" s="225">
        <v>0.25416666666666665</v>
      </c>
      <c r="LG4" s="225">
        <v>0.28819444444444442</v>
      </c>
      <c r="LH4" s="225">
        <v>0.2722222222222222</v>
      </c>
      <c r="LI4" s="42" t="s">
        <v>142</v>
      </c>
      <c r="LJ4" s="225">
        <v>0.26597222222222222</v>
      </c>
      <c r="LK4" s="225">
        <v>0.26250000000000001</v>
      </c>
      <c r="LL4" s="225">
        <v>0.30694444444444446</v>
      </c>
      <c r="LM4" s="225">
        <v>0.25277777777777777</v>
      </c>
      <c r="LN4" s="42" t="s">
        <v>284</v>
      </c>
      <c r="LO4" s="42" t="s">
        <v>284</v>
      </c>
      <c r="LP4" s="42" t="s">
        <v>284</v>
      </c>
      <c r="LQ4" s="42"/>
      <c r="LR4" s="225">
        <v>0.25624999999999998</v>
      </c>
      <c r="LS4" s="42"/>
      <c r="LT4" s="42" t="s">
        <v>284</v>
      </c>
      <c r="LU4" s="42" t="s">
        <v>284</v>
      </c>
      <c r="LV4" s="42" t="s">
        <v>284</v>
      </c>
      <c r="LW4" s="225">
        <v>0.22638888888888889</v>
      </c>
      <c r="LX4" s="225">
        <v>0.24652777777777779</v>
      </c>
      <c r="LY4" s="250">
        <v>0.25972222222222224</v>
      </c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</row>
    <row r="5" spans="1:370" x14ac:dyDescent="0.25">
      <c r="A5" s="102">
        <v>4</v>
      </c>
      <c r="B5" s="97">
        <v>0.25972222222222224</v>
      </c>
      <c r="C5" s="97">
        <v>0.25972222222222224</v>
      </c>
      <c r="D5" s="96">
        <v>0</v>
      </c>
      <c r="E5" s="97">
        <v>0.20902777777777778</v>
      </c>
      <c r="F5" s="97">
        <v>0.26527777777777778</v>
      </c>
      <c r="G5" s="97">
        <v>0.26805555555555555</v>
      </c>
      <c r="H5" s="97">
        <v>0.34722222222222221</v>
      </c>
      <c r="I5" s="97">
        <v>0.2326388888888889</v>
      </c>
      <c r="J5" s="97">
        <v>0.27430555555555558</v>
      </c>
      <c r="K5" s="96">
        <v>0</v>
      </c>
      <c r="L5" s="97">
        <v>0.1986111111111111</v>
      </c>
      <c r="M5" s="97">
        <v>0.26666666666666666</v>
      </c>
      <c r="N5" s="97">
        <v>0.26458333333333334</v>
      </c>
      <c r="O5" s="103">
        <v>0.33055555555555555</v>
      </c>
      <c r="P5" s="112">
        <v>0.24444444444444444</v>
      </c>
      <c r="Q5" s="113">
        <v>0.29791666666666666</v>
      </c>
      <c r="R5" s="48">
        <v>0</v>
      </c>
      <c r="S5" s="113">
        <v>0.1986111111111111</v>
      </c>
      <c r="T5" s="113">
        <v>0.43680555555555556</v>
      </c>
      <c r="U5" s="113">
        <v>0.24930555555555556</v>
      </c>
      <c r="V5" s="113">
        <v>0.30138888888888887</v>
      </c>
      <c r="W5" s="113">
        <v>0.25277777777777777</v>
      </c>
      <c r="X5" s="113">
        <v>0.37777777777777777</v>
      </c>
      <c r="Y5" s="48">
        <v>0</v>
      </c>
      <c r="Z5" s="113">
        <v>0.30833333333333335</v>
      </c>
      <c r="AA5" s="113">
        <v>0.24374999999999999</v>
      </c>
      <c r="AB5" s="113">
        <v>0.26180555555555557</v>
      </c>
      <c r="AC5" s="113">
        <v>0.39791666666666664</v>
      </c>
      <c r="AD5" s="113">
        <v>0.24652777777777779</v>
      </c>
      <c r="AE5" s="113">
        <v>0.28888888888888886</v>
      </c>
      <c r="AF5" s="48"/>
      <c r="AG5" s="113">
        <v>0.20555555555555555</v>
      </c>
      <c r="AH5" s="113">
        <v>0.25347222222222221</v>
      </c>
      <c r="AI5" s="113">
        <v>0.31805555555555554</v>
      </c>
      <c r="AJ5" s="113">
        <v>0.16111111111111112</v>
      </c>
      <c r="AK5" s="113">
        <v>0.27152777777777776</v>
      </c>
      <c r="AL5" s="113">
        <v>0.22013888888888888</v>
      </c>
      <c r="AM5" s="48"/>
      <c r="AN5" s="113">
        <v>0.20972222222222223</v>
      </c>
      <c r="AO5" s="113">
        <v>0.2361111111111111</v>
      </c>
      <c r="AP5" s="48"/>
      <c r="AQ5" s="113">
        <v>0.26250000000000001</v>
      </c>
      <c r="AR5" s="113">
        <v>0.24236111111111111</v>
      </c>
      <c r="AS5" s="113">
        <v>0.3</v>
      </c>
      <c r="AT5" s="48"/>
      <c r="AU5" s="113">
        <v>0.2076388888888889</v>
      </c>
      <c r="AV5" s="113">
        <v>0.27430555555555558</v>
      </c>
      <c r="AW5" s="113">
        <v>0.25833333333333336</v>
      </c>
      <c r="AX5" s="113">
        <v>0.26180555555555557</v>
      </c>
      <c r="AY5" s="113">
        <v>0.27013888888888887</v>
      </c>
      <c r="AZ5" s="113">
        <v>0.27916666666666667</v>
      </c>
      <c r="BA5" s="48"/>
      <c r="BB5" s="113">
        <v>0.21875</v>
      </c>
      <c r="BC5" s="113">
        <v>0.24305555555555555</v>
      </c>
      <c r="BD5" s="113">
        <v>0.28055555555555556</v>
      </c>
      <c r="BE5" s="113">
        <v>0.43402777777777779</v>
      </c>
      <c r="BF5" s="113">
        <v>0.25208333333333333</v>
      </c>
      <c r="BG5" s="113">
        <v>0.25694444444444442</v>
      </c>
      <c r="BH5" s="48"/>
      <c r="BI5" s="113">
        <v>0.25416666666666665</v>
      </c>
      <c r="BJ5" s="113">
        <v>0.31180555555555556</v>
      </c>
      <c r="BK5" s="113">
        <v>0.34513888888888888</v>
      </c>
      <c r="BL5" s="113">
        <v>0.25486111111111109</v>
      </c>
      <c r="BM5" s="113">
        <v>0.25138888888888888</v>
      </c>
      <c r="BN5" s="113">
        <v>0.52916666666666667</v>
      </c>
      <c r="BO5" s="48"/>
      <c r="BP5" s="113">
        <v>0.16458333333333333</v>
      </c>
      <c r="BQ5" s="113">
        <v>0.20416666666666666</v>
      </c>
      <c r="BR5" s="113">
        <v>0.62986111111111109</v>
      </c>
      <c r="BS5" s="113">
        <v>7.6388888888888886E-3</v>
      </c>
      <c r="BT5" s="113">
        <v>1.4583333333333334E-2</v>
      </c>
      <c r="BU5" s="113">
        <v>0.25069444444444444</v>
      </c>
      <c r="BV5" s="48"/>
      <c r="BW5" s="113">
        <v>0.16111111111111112</v>
      </c>
      <c r="BX5" s="113">
        <v>0.21805555555555556</v>
      </c>
      <c r="BY5" s="113">
        <v>0.20208333333333334</v>
      </c>
      <c r="BZ5" s="113">
        <v>0.21597222222222223</v>
      </c>
      <c r="CA5" s="113">
        <v>0.25069444444444444</v>
      </c>
      <c r="CB5" s="113">
        <v>0.2388888888888889</v>
      </c>
      <c r="CC5" s="48"/>
      <c r="CD5" s="113">
        <v>0.14930555555555555</v>
      </c>
      <c r="CE5" s="113">
        <v>0.20833333333333334</v>
      </c>
      <c r="CF5" s="113">
        <v>0.21944444444444444</v>
      </c>
      <c r="CG5" s="113">
        <v>0.22152777777777777</v>
      </c>
      <c r="CH5" s="113">
        <v>0.24652777777777779</v>
      </c>
      <c r="CI5" s="113">
        <v>0.26041666666666669</v>
      </c>
      <c r="CJ5" s="48"/>
      <c r="CK5" s="113">
        <v>0.30208333333333331</v>
      </c>
      <c r="CL5" s="113">
        <v>0.24097222222222223</v>
      </c>
      <c r="CM5" s="113">
        <v>0.21249999999999999</v>
      </c>
      <c r="CN5" s="113">
        <v>0.22291666666666668</v>
      </c>
      <c r="CO5" s="113">
        <v>0.20208333333333334</v>
      </c>
      <c r="CP5" s="113">
        <v>0.22638888888888889</v>
      </c>
      <c r="CQ5" s="48"/>
      <c r="CR5" s="113">
        <v>0.2013888888888889</v>
      </c>
      <c r="CS5" s="113">
        <v>0.20972222222222223</v>
      </c>
      <c r="CT5" s="113">
        <v>0.23125000000000001</v>
      </c>
      <c r="CU5" s="48"/>
      <c r="CV5" s="113">
        <v>0.71458333333333335</v>
      </c>
      <c r="CW5" s="113">
        <v>0.25</v>
      </c>
      <c r="CX5" s="48"/>
      <c r="CY5" s="113">
        <v>0.18055555555555555</v>
      </c>
      <c r="CZ5" s="113">
        <v>0.21875</v>
      </c>
      <c r="DA5" s="48">
        <v>514</v>
      </c>
      <c r="DB5" s="113">
        <v>0.20277777777777778</v>
      </c>
      <c r="DC5" s="113">
        <v>0.29583333333333334</v>
      </c>
      <c r="DD5" s="113">
        <v>0.25</v>
      </c>
      <c r="DE5" s="48"/>
      <c r="DF5" s="113">
        <v>0.18194444444444444</v>
      </c>
      <c r="DG5" s="113">
        <v>0.20833333333333334</v>
      </c>
      <c r="DH5" s="48"/>
      <c r="DI5" s="113">
        <v>0.21666666666666667</v>
      </c>
      <c r="DJ5" s="113">
        <v>0.20624999999999999</v>
      </c>
      <c r="DK5" s="113">
        <v>0.2361111111111111</v>
      </c>
      <c r="DL5" s="48"/>
      <c r="DM5" s="113">
        <v>0.16944444444444445</v>
      </c>
      <c r="DN5" s="113">
        <v>0.27569444444444446</v>
      </c>
      <c r="DO5" s="113">
        <v>0.22916666666666666</v>
      </c>
      <c r="DP5" s="113">
        <v>0.22569444444444445</v>
      </c>
      <c r="DQ5" s="113">
        <v>0.19583333333333333</v>
      </c>
      <c r="DR5" s="113">
        <v>0.24097222222222223</v>
      </c>
      <c r="DS5" s="48"/>
      <c r="DT5" s="113">
        <v>0.16319444444444445</v>
      </c>
      <c r="DU5" s="113">
        <v>0.31944444444444442</v>
      </c>
      <c r="DV5" s="113">
        <v>0.23819444444444443</v>
      </c>
      <c r="DW5" s="113">
        <v>0.26041666666666669</v>
      </c>
      <c r="DX5" s="113">
        <v>0.25763888888888886</v>
      </c>
      <c r="DY5" s="113">
        <v>0.25486111111111109</v>
      </c>
      <c r="DZ5" s="48"/>
      <c r="EA5" s="113">
        <v>0.18958333333333333</v>
      </c>
      <c r="EB5" s="113">
        <v>0.20416666666666666</v>
      </c>
      <c r="EC5" s="113">
        <v>0.2298611111111111</v>
      </c>
      <c r="ED5" s="113">
        <v>0.24583333333333332</v>
      </c>
      <c r="EE5" s="113">
        <v>0.24583333333333332</v>
      </c>
      <c r="EF5" s="135">
        <v>0.24861111111111112</v>
      </c>
      <c r="EG5" s="28"/>
      <c r="EH5" s="135">
        <v>0.17916666666666667</v>
      </c>
      <c r="EI5" s="135">
        <v>0.22708333333333333</v>
      </c>
      <c r="EJ5" s="135">
        <v>0.18402777777777779</v>
      </c>
      <c r="EK5" s="135">
        <v>0.19791666666666666</v>
      </c>
      <c r="EL5" s="28"/>
      <c r="EM5" s="135">
        <v>0.23194444444444445</v>
      </c>
      <c r="EN5" s="135">
        <v>0.24861111111111112</v>
      </c>
      <c r="EO5" s="135">
        <v>0.72638888888888886</v>
      </c>
      <c r="EP5" s="135">
        <v>0.21180555555555555</v>
      </c>
      <c r="EQ5" s="135">
        <v>0.23749999999999999</v>
      </c>
      <c r="ER5" s="135">
        <v>0.21527777777777779</v>
      </c>
      <c r="ES5" s="135">
        <v>0.21388888888888888</v>
      </c>
      <c r="ET5" s="135">
        <v>0.24374999999999999</v>
      </c>
      <c r="EU5" s="28"/>
      <c r="EV5" s="135">
        <v>0.15625</v>
      </c>
      <c r="EW5" s="135">
        <v>0.25555555555555554</v>
      </c>
      <c r="EX5" s="135">
        <v>0.23819444444444443</v>
      </c>
      <c r="EY5" s="135">
        <v>0.32013888888888886</v>
      </c>
      <c r="EZ5" s="135">
        <v>0.27083333333333331</v>
      </c>
      <c r="FA5" s="135">
        <v>0.29305555555555557</v>
      </c>
      <c r="FB5" s="28"/>
      <c r="FC5" s="135">
        <v>0.2</v>
      </c>
      <c r="FD5" s="135">
        <v>0.19305555555555556</v>
      </c>
      <c r="FE5" s="135">
        <v>0.30833333333333335</v>
      </c>
      <c r="FF5" s="225">
        <v>0.2048611111111111</v>
      </c>
      <c r="FG5" s="225">
        <v>0.18680555555555556</v>
      </c>
      <c r="FH5" s="225">
        <v>0.27361111111111114</v>
      </c>
      <c r="FI5" s="225">
        <v>0.21805555555555556</v>
      </c>
      <c r="FJ5" s="225">
        <v>0.26041666666666669</v>
      </c>
      <c r="FK5" s="225">
        <v>0.28263888888888888</v>
      </c>
      <c r="FL5" s="225">
        <v>0.21736111111111112</v>
      </c>
      <c r="FM5" s="225">
        <v>0.22708333333333333</v>
      </c>
      <c r="FN5" s="225">
        <v>0.19305555555555556</v>
      </c>
      <c r="FO5" s="225">
        <v>0.20833333333333334</v>
      </c>
      <c r="FP5" s="225">
        <v>0.19930555555555557</v>
      </c>
      <c r="FQ5" s="225">
        <v>0.17916666666666667</v>
      </c>
      <c r="FR5" s="225">
        <v>0.21597222222222223</v>
      </c>
      <c r="FS5" s="225">
        <v>0.22708333333333333</v>
      </c>
      <c r="FT5" s="225"/>
      <c r="FU5" s="225">
        <v>0.23680555555555555</v>
      </c>
      <c r="FV5" s="225">
        <v>0.25763888888888886</v>
      </c>
      <c r="FW5" s="225">
        <v>0.20624999999999999</v>
      </c>
      <c r="FX5" s="225">
        <v>0.18888888888888888</v>
      </c>
      <c r="FY5" s="225">
        <v>0.20555555555555555</v>
      </c>
      <c r="FZ5" s="225">
        <v>0.2</v>
      </c>
      <c r="GA5" s="225">
        <v>0.21944444444444444</v>
      </c>
      <c r="GB5" s="225">
        <v>0.21319444444444444</v>
      </c>
      <c r="GC5" s="225">
        <v>0.23194444444444445</v>
      </c>
      <c r="GD5" s="225">
        <v>0.17986111111111111</v>
      </c>
      <c r="GE5" s="225">
        <v>0.17152777777777778</v>
      </c>
      <c r="GF5" s="225">
        <v>0.22361111111111112</v>
      </c>
      <c r="GG5" s="225">
        <v>0.2388888888888889</v>
      </c>
      <c r="GH5" s="225">
        <v>0.27916666666666667</v>
      </c>
      <c r="GI5" s="225">
        <v>0.25277777777777777</v>
      </c>
      <c r="GJ5" s="225">
        <v>0.25624999999999998</v>
      </c>
      <c r="GK5" s="225">
        <v>0.25347222222222221</v>
      </c>
      <c r="GL5" s="225">
        <v>0.18819444444444444</v>
      </c>
      <c r="GM5" s="225">
        <v>0.22847222222222222</v>
      </c>
      <c r="GN5" s="42"/>
      <c r="GO5" s="42"/>
      <c r="GP5" s="225">
        <v>0.21527777777777779</v>
      </c>
      <c r="GQ5" s="225">
        <v>0.24791666666666667</v>
      </c>
      <c r="GR5" s="225">
        <v>0.21597222222222223</v>
      </c>
      <c r="GS5" s="42"/>
      <c r="GT5" s="42"/>
      <c r="GU5" s="42">
        <v>0</v>
      </c>
      <c r="GV5" s="225">
        <v>0.27777777777777779</v>
      </c>
      <c r="GW5" s="225">
        <v>0.28680555555555554</v>
      </c>
      <c r="GX5" s="225"/>
      <c r="GY5" s="42">
        <v>0</v>
      </c>
      <c r="GZ5" s="42"/>
      <c r="HA5" s="225">
        <v>0.56944444444444442</v>
      </c>
      <c r="HB5" s="42"/>
      <c r="HC5" s="225">
        <v>0.22777777777777777</v>
      </c>
      <c r="HD5" s="225">
        <v>0.23402777777777778</v>
      </c>
      <c r="HE5" s="225">
        <v>0.22083333333333333</v>
      </c>
      <c r="HF5" s="225">
        <v>0.25833333333333336</v>
      </c>
      <c r="HG5" s="42"/>
      <c r="HH5" s="225">
        <v>0.1423611111111111</v>
      </c>
      <c r="HI5" s="225"/>
      <c r="HJ5" s="225">
        <v>0.2326388888888889</v>
      </c>
      <c r="HK5" s="225">
        <v>0.25138888888888888</v>
      </c>
      <c r="HL5" s="225">
        <v>0.22777777777777777</v>
      </c>
      <c r="HM5" s="225">
        <v>0.2722222222222222</v>
      </c>
      <c r="HN5" s="225">
        <v>0.27847222222222223</v>
      </c>
      <c r="HO5" s="225">
        <v>0.27083333333333331</v>
      </c>
      <c r="HP5" s="225">
        <v>8.3333333333333332E-3</v>
      </c>
      <c r="HQ5" s="225">
        <v>0.35138888888888886</v>
      </c>
      <c r="HR5" s="225">
        <v>0.30138888888888887</v>
      </c>
      <c r="HS5" s="225">
        <v>0.2388888888888889</v>
      </c>
      <c r="HT5" s="225">
        <v>0.28819444444444442</v>
      </c>
      <c r="HU5" s="225">
        <v>0.2673611111111111</v>
      </c>
      <c r="HV5" s="42" t="s">
        <v>274</v>
      </c>
      <c r="HW5" s="225">
        <v>0.23819444444444443</v>
      </c>
      <c r="HX5" s="225">
        <v>0.28680555555555554</v>
      </c>
      <c r="HY5" s="225">
        <v>0.28541666666666665</v>
      </c>
      <c r="HZ5" s="225">
        <v>0.24444444444444444</v>
      </c>
      <c r="IA5" s="225">
        <v>0.37638888888888888</v>
      </c>
      <c r="IB5" s="235" t="s">
        <v>274</v>
      </c>
      <c r="IC5" s="42"/>
      <c r="ID5" s="225">
        <v>0.29375000000000001</v>
      </c>
      <c r="IE5" s="225">
        <v>0.33194444444444443</v>
      </c>
      <c r="IF5" s="225">
        <v>0.23541666666666666</v>
      </c>
      <c r="IG5" s="225">
        <v>0.26874999999999999</v>
      </c>
      <c r="IH5" s="225">
        <v>0.28541666666666665</v>
      </c>
      <c r="II5" s="234">
        <v>0.25138888888888888</v>
      </c>
      <c r="IJ5" s="42"/>
      <c r="IK5" s="225">
        <v>0.27847222222222223</v>
      </c>
      <c r="IL5" s="225">
        <v>0.26041666666666669</v>
      </c>
      <c r="IM5" s="225">
        <v>0.25138888888888888</v>
      </c>
      <c r="IN5" s="225">
        <v>0.24027777777777778</v>
      </c>
      <c r="IO5" s="225">
        <v>0.27708333333333335</v>
      </c>
      <c r="IP5" s="234">
        <v>0.24791666666666667</v>
      </c>
      <c r="IQ5" s="42" t="s">
        <v>158</v>
      </c>
      <c r="IR5" s="225">
        <v>0.25694444444444442</v>
      </c>
      <c r="IS5" s="225">
        <v>0.29236111111111113</v>
      </c>
      <c r="IT5" s="225">
        <v>0.25833333333333336</v>
      </c>
      <c r="IU5" s="225">
        <v>0.24513888888888888</v>
      </c>
      <c r="IV5" s="225">
        <v>0.28055555555555556</v>
      </c>
      <c r="IW5" s="225">
        <v>0.28055555555555556</v>
      </c>
      <c r="IX5" s="42" t="s">
        <v>187</v>
      </c>
      <c r="IY5" s="225">
        <v>0.26874999999999999</v>
      </c>
      <c r="IZ5" s="225">
        <v>0.24374999999999999</v>
      </c>
      <c r="JA5" s="225">
        <v>0.2388888888888889</v>
      </c>
      <c r="JB5" s="225">
        <v>0.24722222222222223</v>
      </c>
      <c r="JC5" s="225">
        <v>0.27291666666666664</v>
      </c>
      <c r="JD5" s="225">
        <v>0.25277777777777777</v>
      </c>
      <c r="JE5" s="42" t="s">
        <v>285</v>
      </c>
      <c r="JF5" s="225">
        <v>0.25624999999999998</v>
      </c>
      <c r="JG5" s="225">
        <v>0.26041666666666669</v>
      </c>
      <c r="JH5" s="225">
        <v>0.24861111111111112</v>
      </c>
      <c r="JI5" s="225">
        <v>0.27569444444444446</v>
      </c>
      <c r="JJ5" s="225">
        <v>0.27986111111111112</v>
      </c>
      <c r="JK5" s="42" t="s">
        <v>158</v>
      </c>
      <c r="JL5" s="42" t="s">
        <v>158</v>
      </c>
      <c r="JM5" s="225">
        <v>0.38541666666666669</v>
      </c>
      <c r="JN5" s="225">
        <v>0.30625000000000002</v>
      </c>
      <c r="JO5" s="225">
        <v>0.40763888888888888</v>
      </c>
      <c r="JP5" s="225">
        <v>0.23819444444444443</v>
      </c>
      <c r="JQ5" s="225">
        <v>0.28819444444444442</v>
      </c>
      <c r="JR5" s="225">
        <v>0.26874999999999999</v>
      </c>
      <c r="JS5" s="42"/>
      <c r="JT5" s="225">
        <v>0.43819444444444444</v>
      </c>
      <c r="JU5" s="225">
        <v>0.2590277777777778</v>
      </c>
      <c r="JV5" s="225">
        <v>0.28472222222222221</v>
      </c>
      <c r="JW5" s="225">
        <v>0.42291666666666666</v>
      </c>
      <c r="JX5" s="225">
        <v>0.28680555555555554</v>
      </c>
      <c r="JY5" s="42"/>
      <c r="JZ5" s="225">
        <v>0.42291666666666666</v>
      </c>
      <c r="KA5" s="225">
        <v>0.2590277777777778</v>
      </c>
      <c r="KB5" s="225">
        <v>0.28055555555555556</v>
      </c>
      <c r="KC5" s="225">
        <v>0.25763888888888886</v>
      </c>
      <c r="KD5" s="225">
        <v>0.24374999999999999</v>
      </c>
      <c r="KE5" s="225">
        <v>0.39027777777777778</v>
      </c>
      <c r="KF5" s="225"/>
      <c r="KG5" s="42">
        <v>44</v>
      </c>
      <c r="KH5" s="225">
        <v>0.26527777777777778</v>
      </c>
      <c r="KI5" s="225">
        <v>0.38055555555555554</v>
      </c>
      <c r="KJ5" s="225">
        <v>0.33333333333333331</v>
      </c>
      <c r="KK5" s="225">
        <v>0.28680555555555554</v>
      </c>
      <c r="KL5" s="225">
        <v>0.4</v>
      </c>
      <c r="KM5" s="225">
        <v>0.30208333333333331</v>
      </c>
      <c r="KN5" s="225">
        <v>0.22847222222222222</v>
      </c>
      <c r="KO5" s="225">
        <v>0.38194444444444442</v>
      </c>
      <c r="KP5" s="225">
        <v>0.24861111111111112</v>
      </c>
      <c r="KQ5" s="225">
        <v>0.25694444444444442</v>
      </c>
      <c r="KR5" s="225">
        <v>0.39791666666666664</v>
      </c>
      <c r="KS5" s="225">
        <v>0.30069444444444443</v>
      </c>
      <c r="KT5" s="225">
        <v>0.27013888888888887</v>
      </c>
      <c r="KU5" s="42"/>
      <c r="KV5" s="42"/>
      <c r="KW5" s="225">
        <v>0.25208333333333333</v>
      </c>
      <c r="KX5" s="42"/>
      <c r="KY5" s="225">
        <v>0.24791666666666667</v>
      </c>
      <c r="KZ5" s="225">
        <v>0.31388888888888888</v>
      </c>
      <c r="LA5" s="42" t="s">
        <v>158</v>
      </c>
      <c r="LB5" s="42" t="s">
        <v>158</v>
      </c>
      <c r="LC5" s="42"/>
      <c r="LD5" s="225">
        <v>0.28958333333333336</v>
      </c>
      <c r="LE5" s="42"/>
      <c r="LF5" s="225">
        <v>0.25833333333333336</v>
      </c>
      <c r="LG5" s="225">
        <v>0.29166666666666669</v>
      </c>
      <c r="LH5" s="225">
        <v>0.27986111111111112</v>
      </c>
      <c r="LI5" s="42"/>
      <c r="LJ5" s="42"/>
      <c r="LK5" s="42"/>
      <c r="LL5" s="225">
        <v>0.3215277777777778</v>
      </c>
      <c r="LM5" s="225">
        <v>0.25833333333333336</v>
      </c>
      <c r="LN5" s="42"/>
      <c r="LO5" s="42" t="s">
        <v>154</v>
      </c>
      <c r="LP5" s="42" t="s">
        <v>154</v>
      </c>
      <c r="LQ5" s="42"/>
      <c r="LR5" s="42"/>
      <c r="LS5" s="42"/>
      <c r="LT5" s="42">
        <v>42</v>
      </c>
      <c r="LU5" s="42"/>
      <c r="LV5" s="42"/>
      <c r="LW5" s="225">
        <v>0.2326388888888889</v>
      </c>
      <c r="LX5" s="225">
        <v>0.25624999999999998</v>
      </c>
      <c r="LY5" s="250">
        <v>0.26250000000000001</v>
      </c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28"/>
      <c r="MN5" s="28"/>
      <c r="MO5" s="28"/>
      <c r="MP5" s="28"/>
      <c r="MQ5" s="28"/>
      <c r="MR5" s="28"/>
      <c r="MS5" s="28"/>
      <c r="MT5" s="28"/>
      <c r="MU5" s="28"/>
      <c r="MV5" s="28"/>
      <c r="MW5" s="28"/>
      <c r="MX5" s="28"/>
      <c r="MY5" s="28"/>
      <c r="MZ5" s="28"/>
      <c r="NA5" s="28"/>
      <c r="NB5" s="28"/>
      <c r="NC5" s="28"/>
      <c r="ND5" s="28"/>
      <c r="NE5" s="28"/>
      <c r="NF5" s="28"/>
    </row>
    <row r="6" spans="1:370" x14ac:dyDescent="0.25">
      <c r="A6" s="102">
        <v>5</v>
      </c>
      <c r="B6" s="97">
        <v>0.26250000000000001</v>
      </c>
      <c r="C6" s="97">
        <v>0.2638888888888889</v>
      </c>
      <c r="D6" s="96">
        <v>0</v>
      </c>
      <c r="E6" s="97">
        <v>0.21041666666666667</v>
      </c>
      <c r="F6" s="97">
        <v>0.26874999999999999</v>
      </c>
      <c r="G6" s="97">
        <v>0.27083333333333331</v>
      </c>
      <c r="H6" s="97">
        <v>0.34930555555555554</v>
      </c>
      <c r="I6" s="97">
        <v>0.23541666666666666</v>
      </c>
      <c r="J6" s="97">
        <v>0.27916666666666667</v>
      </c>
      <c r="K6" s="96">
        <v>0</v>
      </c>
      <c r="L6" s="97">
        <v>0.20208333333333334</v>
      </c>
      <c r="M6" s="97">
        <v>0.27013888888888887</v>
      </c>
      <c r="N6" s="97">
        <v>0.27152777777777776</v>
      </c>
      <c r="O6" s="103">
        <v>0.33611111111111114</v>
      </c>
      <c r="P6" s="112">
        <v>0.25486111111111109</v>
      </c>
      <c r="Q6" s="113">
        <v>0.30138888888888887</v>
      </c>
      <c r="R6" s="48">
        <v>0</v>
      </c>
      <c r="S6" s="113">
        <v>0.2048611111111111</v>
      </c>
      <c r="T6" s="113">
        <v>0.45624999999999999</v>
      </c>
      <c r="U6" s="113">
        <v>0.25208333333333333</v>
      </c>
      <c r="V6" s="113">
        <v>0.30625000000000002</v>
      </c>
      <c r="W6" s="113">
        <v>0.2590277777777778</v>
      </c>
      <c r="X6" s="113">
        <v>0.37986111111111109</v>
      </c>
      <c r="Y6" s="48">
        <v>0</v>
      </c>
      <c r="Z6" s="113">
        <v>0.31111111111111112</v>
      </c>
      <c r="AA6" s="113">
        <v>0.25138888888888888</v>
      </c>
      <c r="AB6" s="113">
        <v>0.26597222222222222</v>
      </c>
      <c r="AC6" s="113">
        <v>0.40277777777777779</v>
      </c>
      <c r="AD6" s="113">
        <v>0.25</v>
      </c>
      <c r="AE6" s="113">
        <v>0.29097222222222224</v>
      </c>
      <c r="AF6" s="48"/>
      <c r="AG6" s="113">
        <v>0.20902777777777778</v>
      </c>
      <c r="AH6" s="113">
        <v>0.25694444444444442</v>
      </c>
      <c r="AI6" s="113">
        <v>0.32083333333333336</v>
      </c>
      <c r="AJ6" s="113">
        <v>0.2902777777777778</v>
      </c>
      <c r="AK6" s="113">
        <v>0.27708333333333335</v>
      </c>
      <c r="AL6" s="113">
        <v>0.22500000000000001</v>
      </c>
      <c r="AM6" s="48"/>
      <c r="AN6" s="113">
        <v>0.21388888888888888</v>
      </c>
      <c r="AO6" s="113">
        <v>0.23819444444444443</v>
      </c>
      <c r="AP6" s="113"/>
      <c r="AQ6" s="113">
        <v>0.26805555555555555</v>
      </c>
      <c r="AR6" s="113">
        <v>0.24722222222222223</v>
      </c>
      <c r="AS6" s="113">
        <v>0.30694444444444446</v>
      </c>
      <c r="AT6" s="48"/>
      <c r="AU6" s="113">
        <v>0.21180555555555555</v>
      </c>
      <c r="AV6" s="113">
        <v>0.27777777777777779</v>
      </c>
      <c r="AW6" s="113">
        <v>0.26180555555555557</v>
      </c>
      <c r="AX6" s="113">
        <v>0.2638888888888889</v>
      </c>
      <c r="AY6" s="113">
        <v>0.27569444444444446</v>
      </c>
      <c r="AZ6" s="113">
        <v>0.28402777777777777</v>
      </c>
      <c r="BA6" s="48"/>
      <c r="BB6" s="113">
        <v>0.22222222222222221</v>
      </c>
      <c r="BC6" s="113">
        <v>0.25347222222222221</v>
      </c>
      <c r="BD6" s="113">
        <v>0.28541666666666665</v>
      </c>
      <c r="BE6" s="113">
        <v>0.44027777777777777</v>
      </c>
      <c r="BF6" s="113">
        <v>0.25694444444444442</v>
      </c>
      <c r="BG6" s="113">
        <v>0.25972222222222224</v>
      </c>
      <c r="BH6" s="48"/>
      <c r="BI6" s="113">
        <v>0.25833333333333336</v>
      </c>
      <c r="BJ6" s="113">
        <v>0.31458333333333333</v>
      </c>
      <c r="BK6" s="113">
        <v>0.34791666666666665</v>
      </c>
      <c r="BL6" s="113">
        <v>0.2638888888888889</v>
      </c>
      <c r="BM6" s="113">
        <v>0.25416666666666665</v>
      </c>
      <c r="BN6" s="113">
        <v>0.53194444444444444</v>
      </c>
      <c r="BO6" s="48"/>
      <c r="BP6" s="113">
        <v>0.1701388888888889</v>
      </c>
      <c r="BQ6" s="113">
        <v>0.20833333333333334</v>
      </c>
      <c r="BR6" s="113">
        <v>0.63263888888888886</v>
      </c>
      <c r="BS6" s="113">
        <v>2.361111111111111E-2</v>
      </c>
      <c r="BT6" s="113">
        <v>1.8749999999999999E-2</v>
      </c>
      <c r="BU6" s="113">
        <v>0.25694444444444442</v>
      </c>
      <c r="BV6" s="48"/>
      <c r="BW6" s="113">
        <v>0.16527777777777777</v>
      </c>
      <c r="BX6" s="113">
        <v>0.22222222222222221</v>
      </c>
      <c r="BY6" s="113">
        <v>0.20833333333333334</v>
      </c>
      <c r="BZ6" s="113">
        <v>0.22361111111111112</v>
      </c>
      <c r="CA6" s="113">
        <v>0.25555555555555554</v>
      </c>
      <c r="CB6" s="113">
        <v>0.24305555555555555</v>
      </c>
      <c r="CC6" s="48"/>
      <c r="CD6" s="113">
        <v>0.15347222222222223</v>
      </c>
      <c r="CE6" s="113">
        <v>0.21666666666666667</v>
      </c>
      <c r="CF6" s="113">
        <v>0.25</v>
      </c>
      <c r="CG6" s="113">
        <v>0.22500000000000001</v>
      </c>
      <c r="CH6" s="113">
        <v>0.24861111111111112</v>
      </c>
      <c r="CI6" s="113">
        <v>0.26597222222222222</v>
      </c>
      <c r="CJ6" s="48"/>
      <c r="CK6" s="113">
        <v>0.30694444444444446</v>
      </c>
      <c r="CL6" s="113">
        <v>0.24513888888888888</v>
      </c>
      <c r="CM6" s="113">
        <v>0.21597222222222223</v>
      </c>
      <c r="CN6" s="113">
        <v>0.22708333333333333</v>
      </c>
      <c r="CO6" s="113">
        <v>0.2048611111111111</v>
      </c>
      <c r="CP6" s="113">
        <v>0.2298611111111111</v>
      </c>
      <c r="CQ6" s="48"/>
      <c r="CR6" s="113">
        <v>0.20694444444444443</v>
      </c>
      <c r="CS6" s="113">
        <v>0.21249999999999999</v>
      </c>
      <c r="CT6" s="113">
        <v>0.23402777777777778</v>
      </c>
      <c r="CU6" s="48"/>
      <c r="CV6" s="48"/>
      <c r="CW6" s="113">
        <v>0.25138888888888888</v>
      </c>
      <c r="CX6" s="48"/>
      <c r="CY6" s="113"/>
      <c r="CZ6" s="113"/>
      <c r="DA6" s="113">
        <v>0.22222222222222221</v>
      </c>
      <c r="DB6" s="113"/>
      <c r="DC6" s="113">
        <v>0.2986111111111111</v>
      </c>
      <c r="DD6" s="113">
        <v>0.25833333333333336</v>
      </c>
      <c r="DE6" s="48"/>
      <c r="DF6" s="113"/>
      <c r="DG6" s="113">
        <v>0.21736111111111112</v>
      </c>
      <c r="DH6" s="48"/>
      <c r="DI6" s="48"/>
      <c r="DJ6" s="113">
        <v>0.21458333333333332</v>
      </c>
      <c r="DK6" s="113">
        <v>0.24097222222222223</v>
      </c>
      <c r="DL6" s="48"/>
      <c r="DM6" s="113">
        <v>0.18055555555555555</v>
      </c>
      <c r="DN6" s="113">
        <v>0.27847222222222223</v>
      </c>
      <c r="DO6" s="48"/>
      <c r="DP6" s="113">
        <v>0.2326388888888889</v>
      </c>
      <c r="DQ6" s="113">
        <v>0.20069444444444445</v>
      </c>
      <c r="DR6" s="113">
        <v>0.24513888888888888</v>
      </c>
      <c r="DS6" s="48"/>
      <c r="DT6" s="113">
        <v>0.16875000000000001</v>
      </c>
      <c r="DU6" s="113"/>
      <c r="DV6" s="113">
        <v>0.24097222222222223</v>
      </c>
      <c r="DW6" s="113">
        <v>0.26805555555555555</v>
      </c>
      <c r="DX6" s="113">
        <v>0.25833333333333336</v>
      </c>
      <c r="DY6" s="113">
        <v>0.2590277777777778</v>
      </c>
      <c r="DZ6" s="48"/>
      <c r="EA6" s="113">
        <v>0.19930555555555557</v>
      </c>
      <c r="EB6" s="113">
        <v>0.21180555555555555</v>
      </c>
      <c r="EC6" s="48"/>
      <c r="ED6" s="113">
        <v>0.24652777777777779</v>
      </c>
      <c r="EE6" s="113">
        <v>0.24652777777777779</v>
      </c>
      <c r="EF6" s="135">
        <v>0.25416666666666665</v>
      </c>
      <c r="EG6" s="28"/>
      <c r="EH6" s="135">
        <v>0.18333333333333332</v>
      </c>
      <c r="EI6" s="135">
        <v>0.23055555555555557</v>
      </c>
      <c r="EJ6" s="135">
        <v>0.19513888888888889</v>
      </c>
      <c r="EK6" s="135">
        <v>0.2</v>
      </c>
      <c r="EL6" s="28"/>
      <c r="EM6" s="135">
        <v>0.23402777777777778</v>
      </c>
      <c r="EN6" s="135">
        <v>0.25416666666666665</v>
      </c>
      <c r="EO6" s="135">
        <v>0.75416666666666665</v>
      </c>
      <c r="EP6" s="135">
        <v>0.21597222222222223</v>
      </c>
      <c r="EQ6" s="135">
        <v>0.23958333333333334</v>
      </c>
      <c r="ER6" s="135">
        <v>0.21597222222222223</v>
      </c>
      <c r="ES6" s="135">
        <v>0.21597222222222223</v>
      </c>
      <c r="ET6" s="135">
        <v>0.24861111111111112</v>
      </c>
      <c r="EU6" s="28"/>
      <c r="EV6" s="135">
        <v>0.16111111111111112</v>
      </c>
      <c r="EW6" s="135">
        <v>0.25763888888888886</v>
      </c>
      <c r="EX6" s="135">
        <v>0.25486111111111109</v>
      </c>
      <c r="EY6" s="135">
        <v>0.32430555555555557</v>
      </c>
      <c r="EZ6" s="135">
        <v>0.27430555555555558</v>
      </c>
      <c r="FA6" s="135">
        <v>0.2951388888888889</v>
      </c>
      <c r="FB6" s="28"/>
      <c r="FC6" s="135">
        <v>0.20277777777777778</v>
      </c>
      <c r="FD6" s="135">
        <v>0.19583333333333333</v>
      </c>
      <c r="FE6" s="135">
        <v>0.31736111111111109</v>
      </c>
      <c r="FF6" s="225">
        <v>0.20972222222222223</v>
      </c>
      <c r="FG6" s="225">
        <v>0.19236111111111112</v>
      </c>
      <c r="FH6" s="225">
        <v>0.27638888888888891</v>
      </c>
      <c r="FI6" s="225">
        <v>0.21875</v>
      </c>
      <c r="FJ6" s="225">
        <v>0.26874999999999999</v>
      </c>
      <c r="FK6" s="225">
        <v>0.28402777777777777</v>
      </c>
      <c r="FL6" s="225">
        <v>0.22083333333333333</v>
      </c>
      <c r="FM6" s="225">
        <v>0.23541666666666666</v>
      </c>
      <c r="FN6" s="225">
        <v>0.19722222222222222</v>
      </c>
      <c r="FO6" s="225">
        <v>0.21597222222222223</v>
      </c>
      <c r="FP6" s="225">
        <v>0.20347222222222222</v>
      </c>
      <c r="FQ6" s="225">
        <v>0.18958333333333333</v>
      </c>
      <c r="FR6" s="225">
        <v>0.21944444444444444</v>
      </c>
      <c r="FS6" s="225">
        <v>0.2298611111111111</v>
      </c>
      <c r="FT6" s="227"/>
      <c r="FU6" s="225">
        <v>0.24166666666666667</v>
      </c>
      <c r="FV6" s="225">
        <v>0.26250000000000001</v>
      </c>
      <c r="FW6" s="42">
        <v>514</v>
      </c>
      <c r="FX6" s="225">
        <v>0.19583333333333333</v>
      </c>
      <c r="FY6" s="225">
        <v>0.20902777777777778</v>
      </c>
      <c r="FZ6" s="42"/>
      <c r="GA6" s="225">
        <v>0.22361111111111112</v>
      </c>
      <c r="GB6" s="225">
        <v>0.22152777777777777</v>
      </c>
      <c r="GC6" s="225">
        <v>0.2326388888888889</v>
      </c>
      <c r="GD6" s="225">
        <v>0.18541666666666667</v>
      </c>
      <c r="GE6" s="225">
        <v>0.18194444444444444</v>
      </c>
      <c r="GF6" s="225">
        <v>0.2298611111111111</v>
      </c>
      <c r="GG6" s="225">
        <v>0.24236111111111111</v>
      </c>
      <c r="GH6" s="225">
        <v>0.2902777777777778</v>
      </c>
      <c r="GI6" s="225">
        <v>0.26527777777777778</v>
      </c>
      <c r="GJ6" s="42"/>
      <c r="GK6" s="225">
        <v>0.25694444444444442</v>
      </c>
      <c r="GL6" s="42"/>
      <c r="GM6" s="42"/>
      <c r="GN6" s="42"/>
      <c r="GO6" s="42"/>
      <c r="GP6" s="225">
        <v>0.22916666666666666</v>
      </c>
      <c r="GQ6" s="225">
        <v>0.25277777777777777</v>
      </c>
      <c r="GR6" s="225">
        <v>0.22013888888888888</v>
      </c>
      <c r="GS6" s="42"/>
      <c r="GT6" s="42"/>
      <c r="GU6" s="42">
        <v>0</v>
      </c>
      <c r="GV6" s="225">
        <v>0.28194444444444444</v>
      </c>
      <c r="GW6" s="225">
        <v>0.29236111111111113</v>
      </c>
      <c r="GX6" s="225"/>
      <c r="GY6" s="42">
        <v>0</v>
      </c>
      <c r="GZ6" s="42"/>
      <c r="HA6" s="225">
        <v>0.57986111111111116</v>
      </c>
      <c r="HB6" s="42"/>
      <c r="HC6" s="225">
        <v>0.2326388888888889</v>
      </c>
      <c r="HD6" s="225">
        <v>0.24027777777777778</v>
      </c>
      <c r="HE6" s="225">
        <v>0.22500000000000001</v>
      </c>
      <c r="HF6" s="225">
        <v>0.26250000000000001</v>
      </c>
      <c r="HG6" s="42"/>
      <c r="HH6" s="42"/>
      <c r="HI6" s="42"/>
      <c r="HJ6" s="225">
        <v>0.24444444444444444</v>
      </c>
      <c r="HK6" s="225">
        <v>0.25416666666666665</v>
      </c>
      <c r="HL6" s="225">
        <v>0.24791666666666667</v>
      </c>
      <c r="HM6" s="225">
        <v>0.27638888888888891</v>
      </c>
      <c r="HN6" s="42"/>
      <c r="HO6" s="225">
        <v>0.27569444444444446</v>
      </c>
      <c r="HP6" s="225">
        <v>1.1805555555555555E-2</v>
      </c>
      <c r="HQ6" s="225">
        <v>0.35625000000000001</v>
      </c>
      <c r="HR6" s="225">
        <v>0.3034722222222222</v>
      </c>
      <c r="HS6" s="225">
        <v>0.24097222222222223</v>
      </c>
      <c r="HT6" s="225">
        <v>0.2902777777777778</v>
      </c>
      <c r="HU6" s="42"/>
      <c r="HV6" s="42" t="s">
        <v>274</v>
      </c>
      <c r="HW6" s="225">
        <v>0.24027777777777778</v>
      </c>
      <c r="HX6" s="225">
        <v>0.29097222222222224</v>
      </c>
      <c r="HY6" s="225">
        <v>0.28888888888888886</v>
      </c>
      <c r="HZ6" s="225">
        <v>0.24930555555555556</v>
      </c>
      <c r="IA6" s="225">
        <v>0.37916666666666665</v>
      </c>
      <c r="IB6" s="235" t="s">
        <v>274</v>
      </c>
      <c r="IC6" s="42"/>
      <c r="ID6" s="225">
        <v>0.29652777777777778</v>
      </c>
      <c r="IE6" s="225">
        <v>0.33263888888888887</v>
      </c>
      <c r="IF6" s="225">
        <v>0.23819444444444443</v>
      </c>
      <c r="IG6" s="225">
        <v>0.27083333333333331</v>
      </c>
      <c r="IH6" s="225">
        <v>0.28749999999999998</v>
      </c>
      <c r="II6" s="234">
        <v>0.25555555555555554</v>
      </c>
      <c r="IJ6" s="42"/>
      <c r="IK6" s="225">
        <v>0.28333333333333333</v>
      </c>
      <c r="IL6" s="225">
        <v>0.26319444444444445</v>
      </c>
      <c r="IM6" s="225">
        <v>0.25347222222222221</v>
      </c>
      <c r="IN6" s="225">
        <v>0.24305555555555555</v>
      </c>
      <c r="IO6" s="225">
        <v>0.28055555555555556</v>
      </c>
      <c r="IP6" s="234">
        <v>0.28333333333333333</v>
      </c>
      <c r="IQ6" s="42" t="s">
        <v>153</v>
      </c>
      <c r="IR6" s="42"/>
      <c r="IS6" s="225">
        <v>0.2951388888888889</v>
      </c>
      <c r="IT6" s="225">
        <v>0.26111111111111113</v>
      </c>
      <c r="IU6" s="225">
        <v>0.26250000000000001</v>
      </c>
      <c r="IV6" s="225">
        <v>0.29097222222222224</v>
      </c>
      <c r="IW6" s="42"/>
      <c r="IX6" s="42" t="s">
        <v>191</v>
      </c>
      <c r="IY6" s="225">
        <v>0.27500000000000002</v>
      </c>
      <c r="IZ6" s="225">
        <v>0.26666666666666666</v>
      </c>
      <c r="JA6" s="225">
        <v>0.24305555555555555</v>
      </c>
      <c r="JB6" s="225">
        <v>0.24930555555555556</v>
      </c>
      <c r="JC6" s="225">
        <v>0.27638888888888891</v>
      </c>
      <c r="JD6" s="42"/>
      <c r="JE6" s="42" t="s">
        <v>171</v>
      </c>
      <c r="JF6" s="225">
        <v>0.25833333333333336</v>
      </c>
      <c r="JG6" s="225">
        <v>0.26250000000000001</v>
      </c>
      <c r="JH6" s="225">
        <v>0.25347222222222221</v>
      </c>
      <c r="JI6" s="225">
        <v>0.27777777777777779</v>
      </c>
      <c r="JJ6" s="225">
        <v>0.28541666666666665</v>
      </c>
      <c r="JK6" s="42" t="s">
        <v>153</v>
      </c>
      <c r="JL6" s="42" t="s">
        <v>153</v>
      </c>
      <c r="JM6" s="225">
        <v>0.39374999999999999</v>
      </c>
      <c r="JN6" s="225">
        <v>0.3125</v>
      </c>
      <c r="JO6" s="225">
        <v>0.41458333333333336</v>
      </c>
      <c r="JP6" s="225"/>
      <c r="JQ6" s="225">
        <v>0.2902777777777778</v>
      </c>
      <c r="JR6" s="225">
        <v>0.27152777777777776</v>
      </c>
      <c r="JS6" s="42"/>
      <c r="JT6" s="225">
        <v>0.4513888888888889</v>
      </c>
      <c r="JU6" s="225">
        <v>0.26805555555555555</v>
      </c>
      <c r="JV6" s="225">
        <v>0.28680555555555554</v>
      </c>
      <c r="JW6" s="225">
        <v>0.4236111111111111</v>
      </c>
      <c r="JX6" s="225">
        <v>0.29375000000000001</v>
      </c>
      <c r="JY6" s="42"/>
      <c r="JZ6" s="225">
        <v>0.42638888888888887</v>
      </c>
      <c r="KA6" s="225">
        <v>0.26805555555555555</v>
      </c>
      <c r="KB6" s="225">
        <v>0.28819444444444442</v>
      </c>
      <c r="KC6" s="225">
        <v>0.25972222222222224</v>
      </c>
      <c r="KD6" s="225">
        <v>0.24652777777777779</v>
      </c>
      <c r="KE6" s="225">
        <v>0.3923611111111111</v>
      </c>
      <c r="KF6" s="225"/>
      <c r="KG6" s="42" t="s">
        <v>286</v>
      </c>
      <c r="KH6" s="225">
        <v>0.26805555555555555</v>
      </c>
      <c r="KI6" s="225">
        <v>0.38263888888888886</v>
      </c>
      <c r="KJ6" s="225">
        <v>0.34930555555555554</v>
      </c>
      <c r="KK6" s="42"/>
      <c r="KL6" s="225">
        <v>0.40277777777777779</v>
      </c>
      <c r="KM6" s="225">
        <v>0.30416666666666664</v>
      </c>
      <c r="KN6" s="225">
        <v>0.24861111111111112</v>
      </c>
      <c r="KO6" s="225"/>
      <c r="KP6" s="225">
        <v>0.25208333333333333</v>
      </c>
      <c r="KQ6" s="225">
        <v>0.26180555555555557</v>
      </c>
      <c r="KR6" s="225">
        <v>0.40277777777777779</v>
      </c>
      <c r="KS6" s="225">
        <v>0.3034722222222222</v>
      </c>
      <c r="KT6" s="225">
        <v>0.27291666666666664</v>
      </c>
      <c r="KU6" s="42"/>
      <c r="KV6" s="42"/>
      <c r="KW6" s="225">
        <v>0.25486111111111109</v>
      </c>
      <c r="KX6" s="42"/>
      <c r="KY6" s="225">
        <v>0.25</v>
      </c>
      <c r="KZ6" s="42"/>
      <c r="LA6" s="42" t="s">
        <v>154</v>
      </c>
      <c r="LB6" s="42" t="s">
        <v>154</v>
      </c>
      <c r="LC6" s="42"/>
      <c r="LD6" s="225">
        <v>0.30208333333333331</v>
      </c>
      <c r="LE6" s="42"/>
      <c r="LF6" s="225">
        <v>0.2638888888888889</v>
      </c>
      <c r="LG6" s="42"/>
      <c r="LH6" s="225">
        <v>0.28402777777777777</v>
      </c>
      <c r="LI6" s="42" t="s">
        <v>154</v>
      </c>
      <c r="LJ6" s="42"/>
      <c r="LK6" s="42"/>
      <c r="LL6" s="42"/>
      <c r="LM6" s="42"/>
      <c r="LN6" s="42"/>
      <c r="LO6" s="42" t="s">
        <v>177</v>
      </c>
      <c r="LP6" s="42" t="s">
        <v>177</v>
      </c>
      <c r="LQ6" s="42"/>
      <c r="LR6" s="42"/>
      <c r="LS6" s="42"/>
      <c r="LT6" s="42"/>
      <c r="LU6" s="42"/>
      <c r="LV6" s="42"/>
      <c r="LW6" s="225"/>
      <c r="LX6" s="225">
        <v>0.25833333333333336</v>
      </c>
      <c r="LY6" s="250">
        <v>0.2722222222222222</v>
      </c>
      <c r="LZ6" s="28"/>
      <c r="MA6" s="28"/>
      <c r="MB6" s="28"/>
      <c r="MC6" s="28"/>
      <c r="MD6" s="28"/>
      <c r="ME6" s="28"/>
      <c r="MF6" s="28"/>
      <c r="MG6" s="28"/>
      <c r="MH6" s="28"/>
      <c r="MI6" s="28"/>
      <c r="MJ6" s="28"/>
      <c r="MK6" s="28"/>
      <c r="ML6" s="28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</row>
    <row r="7" spans="1:370" x14ac:dyDescent="0.25">
      <c r="A7" s="102">
        <v>6</v>
      </c>
      <c r="B7" s="97">
        <v>0.26458333333333334</v>
      </c>
      <c r="C7" s="97">
        <v>0.27083333333333331</v>
      </c>
      <c r="D7" s="96">
        <v>0</v>
      </c>
      <c r="E7" s="97">
        <v>0.22361111111111112</v>
      </c>
      <c r="F7" s="96">
        <v>0</v>
      </c>
      <c r="G7" s="97">
        <v>0.27500000000000002</v>
      </c>
      <c r="H7" s="97">
        <v>0.35208333333333336</v>
      </c>
      <c r="I7" s="97">
        <v>0.2388888888888889</v>
      </c>
      <c r="J7" s="97">
        <v>0.28333333333333333</v>
      </c>
      <c r="K7" s="96">
        <v>0</v>
      </c>
      <c r="L7" s="97">
        <v>0.21041666666666667</v>
      </c>
      <c r="M7" s="97">
        <v>0.27291666666666664</v>
      </c>
      <c r="N7" s="97">
        <v>0.2722222222222222</v>
      </c>
      <c r="O7" s="103">
        <v>0.33958333333333335</v>
      </c>
      <c r="P7" s="112">
        <v>0.2590277777777778</v>
      </c>
      <c r="Q7" s="113">
        <v>0.29305555555555557</v>
      </c>
      <c r="R7" s="48">
        <v>0</v>
      </c>
      <c r="S7" s="113">
        <v>0.21875</v>
      </c>
      <c r="T7" s="113">
        <v>0.45902777777777776</v>
      </c>
      <c r="U7" s="113">
        <v>0.25486111111111109</v>
      </c>
      <c r="V7" s="113">
        <v>0.30833333333333335</v>
      </c>
      <c r="W7" s="113">
        <v>0.26180555555555557</v>
      </c>
      <c r="X7" s="113">
        <v>0.3840277777777778</v>
      </c>
      <c r="Y7" s="48">
        <v>0</v>
      </c>
      <c r="Z7" s="113">
        <v>0.31458333333333333</v>
      </c>
      <c r="AA7" s="113">
        <v>0.26041666666666669</v>
      </c>
      <c r="AB7" s="113">
        <v>0.27152777777777776</v>
      </c>
      <c r="AC7" s="113">
        <v>0.40625</v>
      </c>
      <c r="AD7" s="113">
        <v>0.25486111111111109</v>
      </c>
      <c r="AE7" s="113">
        <v>0.29375000000000001</v>
      </c>
      <c r="AF7" s="48"/>
      <c r="AG7" s="113">
        <v>0.21249999999999999</v>
      </c>
      <c r="AH7" s="113">
        <v>0.25972222222222224</v>
      </c>
      <c r="AI7" s="48"/>
      <c r="AJ7" s="113">
        <v>0.29444444444444445</v>
      </c>
      <c r="AK7" s="113">
        <v>0.28194444444444444</v>
      </c>
      <c r="AL7" s="113">
        <v>0.22847222222222222</v>
      </c>
      <c r="AM7" s="48"/>
      <c r="AN7" s="113">
        <v>0.21805555555555556</v>
      </c>
      <c r="AO7" s="113">
        <v>0.24097222222222223</v>
      </c>
      <c r="AP7" s="113"/>
      <c r="AQ7" s="48"/>
      <c r="AR7" s="113">
        <v>0.25</v>
      </c>
      <c r="AS7" s="48"/>
      <c r="AT7" s="48"/>
      <c r="AU7" s="113">
        <v>0.21597222222222223</v>
      </c>
      <c r="AV7" s="113">
        <v>0.28055555555555556</v>
      </c>
      <c r="AW7" s="113">
        <v>0.26597222222222222</v>
      </c>
      <c r="AX7" s="113">
        <v>0.28541666666666665</v>
      </c>
      <c r="AY7" s="113">
        <v>0.28402777777777777</v>
      </c>
      <c r="AZ7" s="113">
        <v>0.28680555555555554</v>
      </c>
      <c r="BA7" s="48"/>
      <c r="BB7" s="113">
        <v>0.22500000000000001</v>
      </c>
      <c r="BC7" s="113">
        <v>0.25694444444444442</v>
      </c>
      <c r="BD7" s="113">
        <v>0.28819444444444442</v>
      </c>
      <c r="BE7" s="113">
        <v>0.44374999999999998</v>
      </c>
      <c r="BF7" s="113">
        <v>0.25972222222222224</v>
      </c>
      <c r="BG7" s="113">
        <v>0.26319444444444445</v>
      </c>
      <c r="BH7" s="48"/>
      <c r="BI7" s="113">
        <v>0.26458333333333334</v>
      </c>
      <c r="BJ7" s="113">
        <v>0.31805555555555554</v>
      </c>
      <c r="BK7" s="113">
        <v>0.35138888888888886</v>
      </c>
      <c r="BL7" s="113">
        <v>0.26666666666666666</v>
      </c>
      <c r="BM7" s="113">
        <v>0.25763888888888886</v>
      </c>
      <c r="BN7" s="113">
        <v>0.53888888888888886</v>
      </c>
      <c r="BO7" s="48"/>
      <c r="BP7" s="113">
        <v>0.17430555555555555</v>
      </c>
      <c r="BQ7" s="113">
        <v>0.21180555555555555</v>
      </c>
      <c r="BR7" s="113">
        <v>0.6381944444444444</v>
      </c>
      <c r="BS7" s="48"/>
      <c r="BT7" s="113">
        <v>2.2222222222222223E-2</v>
      </c>
      <c r="BU7" s="113">
        <v>0.26111111111111113</v>
      </c>
      <c r="BV7" s="48"/>
      <c r="BW7" s="113">
        <v>0.17222222222222222</v>
      </c>
      <c r="BX7" s="113">
        <v>0.23055555555555557</v>
      </c>
      <c r="BY7" s="113">
        <v>0.21249999999999999</v>
      </c>
      <c r="BZ7" s="113">
        <v>0.22708333333333333</v>
      </c>
      <c r="CA7" s="113">
        <v>0.26180555555555557</v>
      </c>
      <c r="CB7" s="113">
        <v>0.24791666666666667</v>
      </c>
      <c r="CC7" s="48"/>
      <c r="CD7" s="113">
        <v>0.15625</v>
      </c>
      <c r="CE7" s="113">
        <v>0.22152777777777777</v>
      </c>
      <c r="CF7" s="113">
        <v>0.26666666666666666</v>
      </c>
      <c r="CG7" s="113">
        <v>0.23333333333333334</v>
      </c>
      <c r="CH7" s="113">
        <v>0.25277777777777777</v>
      </c>
      <c r="CI7" s="113">
        <v>0.27083333333333331</v>
      </c>
      <c r="CJ7" s="48"/>
      <c r="CK7" s="113">
        <v>0.31597222222222221</v>
      </c>
      <c r="CL7" s="113">
        <v>0.25277777777777777</v>
      </c>
      <c r="CM7" s="113">
        <v>0.22152777777777777</v>
      </c>
      <c r="CN7" s="113">
        <v>0.23125000000000001</v>
      </c>
      <c r="CO7" s="113">
        <v>0.2076388888888889</v>
      </c>
      <c r="CP7" s="113">
        <v>0.23402777777777778</v>
      </c>
      <c r="CQ7" s="48"/>
      <c r="CR7" s="113">
        <v>0.21111111111111111</v>
      </c>
      <c r="CS7" s="113">
        <v>0.22222222222222221</v>
      </c>
      <c r="CT7" s="113">
        <v>0.25069444444444444</v>
      </c>
      <c r="CU7" s="48"/>
      <c r="CV7" s="48"/>
      <c r="CW7" s="113"/>
      <c r="CX7" s="48"/>
      <c r="CY7" s="48"/>
      <c r="CZ7" s="48"/>
      <c r="DA7" s="113">
        <v>0.22708333333333333</v>
      </c>
      <c r="DB7" s="48"/>
      <c r="DC7" s="113">
        <v>0.30208333333333331</v>
      </c>
      <c r="DD7" s="113">
        <v>0.2638888888888889</v>
      </c>
      <c r="DE7" s="48"/>
      <c r="DF7" s="113"/>
      <c r="DG7" s="113">
        <v>0.21736111111111112</v>
      </c>
      <c r="DH7" s="48"/>
      <c r="DI7" s="48"/>
      <c r="DJ7" s="113">
        <v>0.22152777777777777</v>
      </c>
      <c r="DK7" s="113">
        <v>0.24444444444444444</v>
      </c>
      <c r="DL7" s="48"/>
      <c r="DM7" s="48"/>
      <c r="DN7" s="113">
        <v>0.28402777777777777</v>
      </c>
      <c r="DO7" s="48"/>
      <c r="DP7" s="113">
        <v>0.23680555555555555</v>
      </c>
      <c r="DQ7" s="113">
        <v>0.20972222222222223</v>
      </c>
      <c r="DR7" s="113">
        <v>0.25277777777777777</v>
      </c>
      <c r="DS7" s="48"/>
      <c r="DT7" s="113">
        <v>0.17569444444444443</v>
      </c>
      <c r="DU7" s="113"/>
      <c r="DV7" s="113"/>
      <c r="DW7" s="113">
        <v>0.26874999999999999</v>
      </c>
      <c r="DX7" s="113">
        <v>0.2638888888888889</v>
      </c>
      <c r="DY7" s="113">
        <v>0.26805555555555555</v>
      </c>
      <c r="DZ7" s="48"/>
      <c r="EA7" s="113">
        <v>0.2</v>
      </c>
      <c r="EB7" s="113">
        <v>0.21666666666666667</v>
      </c>
      <c r="EC7" s="48"/>
      <c r="ED7" s="113">
        <v>0.24930555555555556</v>
      </c>
      <c r="EE7" s="113"/>
      <c r="EF7" s="135">
        <v>0.25833333333333336</v>
      </c>
      <c r="EG7" s="28"/>
      <c r="EH7" s="135">
        <v>0.18819444444444444</v>
      </c>
      <c r="EI7" s="28"/>
      <c r="EJ7" s="135">
        <v>0.20277777777777778</v>
      </c>
      <c r="EK7" s="135">
        <v>0.20347222222222222</v>
      </c>
      <c r="EL7" s="28"/>
      <c r="EM7" s="135">
        <v>0.23680555555555555</v>
      </c>
      <c r="EN7" s="135">
        <v>0.25833333333333336</v>
      </c>
      <c r="EO7" s="28"/>
      <c r="EP7" s="135">
        <v>0.22222222222222221</v>
      </c>
      <c r="EQ7" s="135">
        <v>0.24513888888888888</v>
      </c>
      <c r="ER7" s="135">
        <v>0.22013888888888888</v>
      </c>
      <c r="ES7" s="135">
        <v>0.22291666666666668</v>
      </c>
      <c r="ET7" s="135">
        <v>0.25347222222222221</v>
      </c>
      <c r="EU7" s="28"/>
      <c r="EV7" s="135">
        <v>0.16111111111111112</v>
      </c>
      <c r="EW7" s="135">
        <v>0.26041666666666669</v>
      </c>
      <c r="EX7" s="135">
        <v>0.26041666666666669</v>
      </c>
      <c r="EY7" s="135">
        <v>0.32777777777777778</v>
      </c>
      <c r="EZ7" s="135">
        <v>0.27847222222222223</v>
      </c>
      <c r="FA7" s="135">
        <v>0.30625000000000002</v>
      </c>
      <c r="FB7" s="28"/>
      <c r="FC7" s="135">
        <v>0.20694444444444443</v>
      </c>
      <c r="FD7" s="135">
        <v>0.19930555555555557</v>
      </c>
      <c r="FE7" s="28"/>
      <c r="FF7" s="42"/>
      <c r="FG7" s="42"/>
      <c r="FH7" s="225">
        <v>0.27916666666666667</v>
      </c>
      <c r="FI7" s="42"/>
      <c r="FJ7" s="225">
        <v>0.27847222222222223</v>
      </c>
      <c r="FK7" s="42"/>
      <c r="FL7" s="225">
        <v>0.22361111111111112</v>
      </c>
      <c r="FM7" s="225">
        <v>0.23819444444444443</v>
      </c>
      <c r="FN7" s="225">
        <v>0.2013888888888889</v>
      </c>
      <c r="FO7" s="225">
        <v>0.22222222222222221</v>
      </c>
      <c r="FP7" s="225">
        <v>0.20833333333333334</v>
      </c>
      <c r="FQ7" s="42"/>
      <c r="FR7" s="42"/>
      <c r="FS7" s="225">
        <v>0.24097222222222223</v>
      </c>
      <c r="FT7" s="225"/>
      <c r="FU7" s="225">
        <v>0.24513888888888888</v>
      </c>
      <c r="FV7" s="225">
        <v>0.26527777777777778</v>
      </c>
      <c r="FW7" s="42">
        <v>517</v>
      </c>
      <c r="FX7" s="225">
        <v>0.19930555555555557</v>
      </c>
      <c r="FY7" s="42"/>
      <c r="FZ7" s="42"/>
      <c r="GA7" s="225">
        <v>0.23541666666666666</v>
      </c>
      <c r="GB7" s="225">
        <v>0.22430555555555556</v>
      </c>
      <c r="GC7" s="42"/>
      <c r="GD7" s="225"/>
      <c r="GE7" s="42"/>
      <c r="GF7" s="42"/>
      <c r="GG7" s="225">
        <v>0.24374999999999999</v>
      </c>
      <c r="GH7" s="42"/>
      <c r="GI7" s="42"/>
      <c r="GJ7" s="42"/>
      <c r="GK7" s="225">
        <v>0.26319444444444445</v>
      </c>
      <c r="GL7" s="42"/>
      <c r="GM7" s="42"/>
      <c r="GN7" s="42"/>
      <c r="GO7" s="42"/>
      <c r="GP7" s="42"/>
      <c r="GQ7" s="225">
        <v>0.26458333333333334</v>
      </c>
      <c r="GR7" s="225">
        <v>0.22569444444444445</v>
      </c>
      <c r="GS7" s="42"/>
      <c r="GT7" s="42"/>
      <c r="GU7" s="42">
        <v>0</v>
      </c>
      <c r="GV7" s="42"/>
      <c r="GW7" s="225">
        <v>0.29791666666666666</v>
      </c>
      <c r="GX7" s="225"/>
      <c r="GY7" s="42">
        <v>0</v>
      </c>
      <c r="GZ7" s="42"/>
      <c r="HA7" s="225">
        <v>0.5805555555555556</v>
      </c>
      <c r="HB7" s="42"/>
      <c r="HC7" s="42"/>
      <c r="HD7" s="42"/>
      <c r="HE7" s="42"/>
      <c r="HF7" s="225">
        <v>0.2673611111111111</v>
      </c>
      <c r="HG7" s="42"/>
      <c r="HH7" s="42"/>
      <c r="HI7" s="42"/>
      <c r="HJ7" s="225">
        <v>0.24930555555555556</v>
      </c>
      <c r="HK7" s="225">
        <v>0.27569444444444446</v>
      </c>
      <c r="HL7" s="42"/>
      <c r="HM7" s="225">
        <v>0.28263888888888888</v>
      </c>
      <c r="HN7" s="42"/>
      <c r="HO7" s="42"/>
      <c r="HP7" s="225">
        <v>1.4583333333333334E-2</v>
      </c>
      <c r="HQ7" s="42"/>
      <c r="HR7" s="225">
        <v>0.30625000000000002</v>
      </c>
      <c r="HS7" s="225">
        <v>0.24444444444444444</v>
      </c>
      <c r="HT7" s="225">
        <v>0.29444444444444445</v>
      </c>
      <c r="HU7" s="42"/>
      <c r="HV7" s="42" t="s">
        <v>274</v>
      </c>
      <c r="HW7" s="225">
        <v>0.24305555555555555</v>
      </c>
      <c r="HX7" s="225">
        <v>0.30069444444444443</v>
      </c>
      <c r="HY7" s="225">
        <v>0.29166666666666669</v>
      </c>
      <c r="HZ7" s="225">
        <v>0.25138888888888888</v>
      </c>
      <c r="IA7" s="225"/>
      <c r="IB7" s="235" t="s">
        <v>274</v>
      </c>
      <c r="IC7" s="42"/>
      <c r="ID7" s="42"/>
      <c r="IE7" s="225">
        <v>0.3527777777777778</v>
      </c>
      <c r="IF7" s="225">
        <v>0.24444444444444444</v>
      </c>
      <c r="IG7" s="225">
        <v>0.27430555555555558</v>
      </c>
      <c r="IH7" s="225">
        <v>0.28958333333333336</v>
      </c>
      <c r="II7" s="234"/>
      <c r="IJ7" s="42"/>
      <c r="IK7" s="42"/>
      <c r="IL7" s="42"/>
      <c r="IM7" s="225">
        <v>0.2590277777777778</v>
      </c>
      <c r="IN7" s="225">
        <v>0.25277777777777777</v>
      </c>
      <c r="IO7" s="225">
        <v>0.28402777777777777</v>
      </c>
      <c r="IP7" s="234">
        <v>0.28472222222222221</v>
      </c>
      <c r="IQ7" s="42" t="s">
        <v>162</v>
      </c>
      <c r="IR7" s="42"/>
      <c r="IS7" s="225">
        <v>0.2986111111111111</v>
      </c>
      <c r="IT7" s="225">
        <v>0.2638888888888889</v>
      </c>
      <c r="IU7" s="225">
        <v>0.26597222222222222</v>
      </c>
      <c r="IV7" s="225">
        <v>0.29722222222222222</v>
      </c>
      <c r="IW7" s="42"/>
      <c r="IX7" s="42" t="s">
        <v>287</v>
      </c>
      <c r="IY7" s="42"/>
      <c r="IZ7" s="225">
        <v>0.27013888888888887</v>
      </c>
      <c r="JA7" s="225">
        <v>0.24722222222222223</v>
      </c>
      <c r="JB7" s="225">
        <v>0.25347222222222221</v>
      </c>
      <c r="JC7" s="225">
        <v>0.27916666666666667</v>
      </c>
      <c r="JD7" s="42"/>
      <c r="JE7" s="42" t="s">
        <v>288</v>
      </c>
      <c r="JF7" s="225">
        <v>0.26041666666666669</v>
      </c>
      <c r="JG7" s="225">
        <v>0.26527777777777778</v>
      </c>
      <c r="JH7" s="225">
        <v>0.25555555555555554</v>
      </c>
      <c r="JI7" s="225">
        <v>0.28888888888888886</v>
      </c>
      <c r="JJ7" s="225">
        <v>0.29166666666666669</v>
      </c>
      <c r="JK7" s="42" t="s">
        <v>162</v>
      </c>
      <c r="JL7" s="42" t="s">
        <v>162</v>
      </c>
      <c r="JM7" s="225">
        <v>0.40416666666666667</v>
      </c>
      <c r="JN7" s="225">
        <v>0.32430555555555557</v>
      </c>
      <c r="JO7" s="225">
        <v>0.41666666666666669</v>
      </c>
      <c r="JP7" s="42"/>
      <c r="JQ7" s="225">
        <v>0.2951388888888889</v>
      </c>
      <c r="JR7" s="225">
        <v>0.27569444444444446</v>
      </c>
      <c r="JS7" s="42"/>
      <c r="JT7" s="225"/>
      <c r="JU7" s="225">
        <v>0.28055555555555556</v>
      </c>
      <c r="JV7" s="225">
        <v>0.29375000000000001</v>
      </c>
      <c r="JW7" s="225">
        <v>0.4284722222222222</v>
      </c>
      <c r="JX7" s="225">
        <v>0.29930555555555555</v>
      </c>
      <c r="JY7" s="225">
        <v>0.28541666666666665</v>
      </c>
      <c r="JZ7" s="225">
        <v>0.42916666666666664</v>
      </c>
      <c r="KA7" s="225">
        <v>0.27569444444444446</v>
      </c>
      <c r="KB7" s="225">
        <v>0.2902777777777778</v>
      </c>
      <c r="KC7" s="225">
        <v>0.26458333333333334</v>
      </c>
      <c r="KD7" s="225">
        <v>0.24930555555555556</v>
      </c>
      <c r="KE7" s="225">
        <v>0.3972222222222222</v>
      </c>
      <c r="KF7" s="225"/>
      <c r="KG7" s="42" t="s">
        <v>289</v>
      </c>
      <c r="KH7" s="225">
        <v>0.27986111111111112</v>
      </c>
      <c r="KI7" s="225">
        <v>0.38541666666666669</v>
      </c>
      <c r="KJ7" s="225">
        <v>0.35138888888888886</v>
      </c>
      <c r="KK7" s="42"/>
      <c r="KL7" s="225">
        <v>0.40763888888888888</v>
      </c>
      <c r="KM7" s="225">
        <v>0.30694444444444446</v>
      </c>
      <c r="KN7" s="42"/>
      <c r="KO7" s="42"/>
      <c r="KP7" s="225">
        <v>0.25416666666666665</v>
      </c>
      <c r="KQ7" s="225">
        <v>0.26597222222222222</v>
      </c>
      <c r="KR7" s="225">
        <v>0.40555555555555556</v>
      </c>
      <c r="KS7" s="225">
        <v>0.30555555555555558</v>
      </c>
      <c r="KT7" s="225">
        <v>0.27569444444444446</v>
      </c>
      <c r="KU7" s="42"/>
      <c r="KV7" s="42"/>
      <c r="KW7" s="225">
        <v>0.25763888888888886</v>
      </c>
      <c r="KX7" s="42"/>
      <c r="KY7" s="225">
        <v>0.25208333333333333</v>
      </c>
      <c r="KZ7" s="42"/>
      <c r="LA7" s="42" t="s">
        <v>177</v>
      </c>
      <c r="LB7" s="42" t="s">
        <v>177</v>
      </c>
      <c r="LC7" s="42"/>
      <c r="LD7" s="225"/>
      <c r="LE7" s="225">
        <v>0.36944444444444446</v>
      </c>
      <c r="LF7" s="225"/>
      <c r="LG7" s="42"/>
      <c r="LH7" s="42"/>
      <c r="LI7" s="42" t="s">
        <v>177</v>
      </c>
      <c r="LJ7" s="42"/>
      <c r="LK7" s="42"/>
      <c r="LL7" s="42"/>
      <c r="LM7" s="42"/>
      <c r="LN7" s="42"/>
      <c r="LO7" s="42" t="s">
        <v>188</v>
      </c>
      <c r="LP7" s="42" t="s">
        <v>188</v>
      </c>
      <c r="LQ7" s="42"/>
      <c r="LR7" s="42"/>
      <c r="LS7" s="42"/>
      <c r="LT7" s="42"/>
      <c r="LU7" s="42"/>
      <c r="LV7" s="42"/>
      <c r="LW7" s="42"/>
      <c r="LX7" s="225">
        <v>0.26458333333333334</v>
      </c>
      <c r="LY7" s="250">
        <v>0.27361111111111114</v>
      </c>
      <c r="LZ7" s="28"/>
      <c r="MA7" s="28"/>
      <c r="MB7" s="28"/>
      <c r="MC7" s="28"/>
      <c r="MD7" s="28"/>
      <c r="ME7" s="28"/>
      <c r="MF7" s="28"/>
      <c r="MG7" s="28"/>
      <c r="MH7" s="28"/>
      <c r="MI7" s="28"/>
      <c r="MJ7" s="28"/>
      <c r="MK7" s="28"/>
      <c r="ML7" s="28"/>
      <c r="MM7" s="28"/>
      <c r="MN7" s="28"/>
      <c r="MO7" s="28"/>
      <c r="MP7" s="28"/>
      <c r="MQ7" s="28"/>
      <c r="MR7" s="28"/>
      <c r="MS7" s="28"/>
      <c r="MT7" s="28"/>
      <c r="MU7" s="28"/>
      <c r="MV7" s="28"/>
      <c r="MW7" s="28"/>
      <c r="MX7" s="28"/>
      <c r="MY7" s="28"/>
      <c r="MZ7" s="28"/>
      <c r="NA7" s="28"/>
      <c r="NB7" s="28"/>
      <c r="NC7" s="28"/>
      <c r="ND7" s="28"/>
      <c r="NE7" s="28"/>
      <c r="NF7" s="28"/>
    </row>
    <row r="8" spans="1:370" x14ac:dyDescent="0.25">
      <c r="A8" s="102">
        <v>7</v>
      </c>
      <c r="B8" s="97">
        <v>0.27152777777777776</v>
      </c>
      <c r="C8" s="97">
        <v>0.27638888888888891</v>
      </c>
      <c r="D8" s="96">
        <v>0</v>
      </c>
      <c r="E8" s="96">
        <v>0</v>
      </c>
      <c r="F8" s="96">
        <v>0</v>
      </c>
      <c r="G8" s="96">
        <v>0</v>
      </c>
      <c r="H8" s="97">
        <v>0.35902777777777778</v>
      </c>
      <c r="I8" s="97">
        <v>0.24166666666666667</v>
      </c>
      <c r="J8" s="97">
        <v>0.28819444444444442</v>
      </c>
      <c r="K8" s="96">
        <v>0</v>
      </c>
      <c r="L8" s="97">
        <v>0.21736111111111112</v>
      </c>
      <c r="M8" s="97">
        <v>0.27569444444444446</v>
      </c>
      <c r="N8" s="97">
        <v>0.27569444444444446</v>
      </c>
      <c r="O8" s="103">
        <v>0.34166666666666667</v>
      </c>
      <c r="P8" s="112">
        <v>0.26458333333333334</v>
      </c>
      <c r="Q8" s="113">
        <v>0.31041666666666667</v>
      </c>
      <c r="R8" s="48">
        <v>0</v>
      </c>
      <c r="S8" s="113">
        <v>0.22083333333333333</v>
      </c>
      <c r="T8" s="113">
        <v>0.46250000000000002</v>
      </c>
      <c r="U8" s="113">
        <v>0.25972222222222224</v>
      </c>
      <c r="V8" s="113">
        <v>0.31180555555555556</v>
      </c>
      <c r="W8" s="113">
        <v>0.26458333333333334</v>
      </c>
      <c r="X8" s="113">
        <v>0.38819444444444445</v>
      </c>
      <c r="Y8" s="48">
        <v>0</v>
      </c>
      <c r="Z8" s="113">
        <v>0.31874999999999998</v>
      </c>
      <c r="AA8" s="113">
        <v>0.26597222222222222</v>
      </c>
      <c r="AB8" s="48"/>
      <c r="AC8" s="113">
        <v>0.41111111111111109</v>
      </c>
      <c r="AD8" s="113">
        <v>0.25763888888888886</v>
      </c>
      <c r="AE8" s="113">
        <v>0.29722222222222222</v>
      </c>
      <c r="AF8" s="48"/>
      <c r="AG8" s="113">
        <v>0.21666666666666667</v>
      </c>
      <c r="AH8" s="48"/>
      <c r="AI8" s="48"/>
      <c r="AJ8" s="113">
        <v>0.29722222222222222</v>
      </c>
      <c r="AK8" s="113">
        <v>0.28472222222222221</v>
      </c>
      <c r="AL8" s="113">
        <v>0.23125000000000001</v>
      </c>
      <c r="AM8" s="48"/>
      <c r="AN8" s="113">
        <v>0.22291666666666668</v>
      </c>
      <c r="AO8" s="113">
        <v>0.24444444444444444</v>
      </c>
      <c r="AP8" s="113"/>
      <c r="AQ8" s="48"/>
      <c r="AR8" s="113">
        <v>0.25347222222222221</v>
      </c>
      <c r="AS8" s="48"/>
      <c r="AT8" s="48"/>
      <c r="AU8" s="113">
        <v>0.21944444444444444</v>
      </c>
      <c r="AV8" s="48"/>
      <c r="AW8" s="113">
        <v>0.27638888888888891</v>
      </c>
      <c r="AX8" s="48"/>
      <c r="AY8" s="113">
        <v>0.28749999999999998</v>
      </c>
      <c r="AZ8" s="113">
        <v>0.28888888888888886</v>
      </c>
      <c r="BA8" s="48"/>
      <c r="BB8" s="113">
        <v>0.22916666666666666</v>
      </c>
      <c r="BC8" s="113">
        <v>0.26180555555555557</v>
      </c>
      <c r="BD8" s="113">
        <v>0.32847222222222222</v>
      </c>
      <c r="BE8" s="113">
        <v>0.44861111111111113</v>
      </c>
      <c r="BF8" s="113">
        <v>0.28263888888888888</v>
      </c>
      <c r="BG8" s="113">
        <v>0.26666666666666666</v>
      </c>
      <c r="BH8" s="48"/>
      <c r="BI8" s="113">
        <v>0.26805555555555555</v>
      </c>
      <c r="BJ8" s="113">
        <v>0.32083333333333336</v>
      </c>
      <c r="BK8" s="113">
        <v>0.35555555555555557</v>
      </c>
      <c r="BL8" s="48"/>
      <c r="BM8" s="113">
        <v>0.26250000000000001</v>
      </c>
      <c r="BN8" s="48"/>
      <c r="BO8" s="48"/>
      <c r="BP8" s="113">
        <v>0.18611111111111112</v>
      </c>
      <c r="BQ8" s="113">
        <v>0.21388888888888888</v>
      </c>
      <c r="BR8" s="113">
        <v>0.64166666666666672</v>
      </c>
      <c r="BS8" s="48"/>
      <c r="BT8" s="113">
        <v>2.7777777777777776E-2</v>
      </c>
      <c r="BU8" s="113">
        <v>0.26597222222222222</v>
      </c>
      <c r="BV8" s="48"/>
      <c r="BW8" s="113">
        <v>0.18263888888888888</v>
      </c>
      <c r="BX8" s="113">
        <v>0.23402777777777778</v>
      </c>
      <c r="BY8" s="113">
        <v>0.22013888888888888</v>
      </c>
      <c r="BZ8" s="113">
        <v>0.23125000000000001</v>
      </c>
      <c r="CA8" s="113">
        <v>0.26666666666666666</v>
      </c>
      <c r="CB8" s="113">
        <v>0.25069444444444444</v>
      </c>
      <c r="CC8" s="48"/>
      <c r="CD8" s="113">
        <v>0.16319444444444445</v>
      </c>
      <c r="CE8" s="113">
        <v>0.22916666666666666</v>
      </c>
      <c r="CF8" s="113">
        <v>0.26874999999999999</v>
      </c>
      <c r="CG8" s="113">
        <v>0.23958333333333334</v>
      </c>
      <c r="CH8" s="113">
        <v>0.25555555555555554</v>
      </c>
      <c r="CI8" s="113">
        <v>0.27777777777777779</v>
      </c>
      <c r="CJ8" s="48"/>
      <c r="CK8" s="113">
        <v>0.31666666666666665</v>
      </c>
      <c r="CL8" s="113">
        <v>0.26180555555555557</v>
      </c>
      <c r="CM8" s="113">
        <v>0.23958333333333334</v>
      </c>
      <c r="CN8" s="113">
        <v>0.2361111111111111</v>
      </c>
      <c r="CO8" s="113">
        <v>0.21041666666666667</v>
      </c>
      <c r="CP8" s="113">
        <v>0.23680555555555555</v>
      </c>
      <c r="CQ8" s="48"/>
      <c r="CR8" s="113">
        <v>0.21388888888888888</v>
      </c>
      <c r="CS8" s="113">
        <v>0.22222222222222221</v>
      </c>
      <c r="CT8" s="113">
        <v>0.25555555555555554</v>
      </c>
      <c r="CU8" s="113">
        <v>0.65138888888888891</v>
      </c>
      <c r="CV8" s="113">
        <v>0.71458333333333335</v>
      </c>
      <c r="CW8" s="113">
        <v>0.25763888888888886</v>
      </c>
      <c r="CX8" s="48"/>
      <c r="CY8" s="113">
        <v>0.18472222222222223</v>
      </c>
      <c r="CZ8" s="113">
        <v>0.2361111111111111</v>
      </c>
      <c r="DA8" s="113">
        <v>0.23194444444444445</v>
      </c>
      <c r="DB8" s="113">
        <v>0.2076388888888889</v>
      </c>
      <c r="DC8" s="113">
        <v>0.30486111111111114</v>
      </c>
      <c r="DD8" s="113">
        <v>0.27500000000000002</v>
      </c>
      <c r="DE8" s="48"/>
      <c r="DF8" s="113">
        <v>0.19236111111111112</v>
      </c>
      <c r="DG8" s="113">
        <v>0.21805555555555556</v>
      </c>
      <c r="DH8" s="113">
        <v>0.21736111111111112</v>
      </c>
      <c r="DI8" s="113">
        <v>0.21666666666666667</v>
      </c>
      <c r="DJ8" s="113">
        <v>0.22152777777777777</v>
      </c>
      <c r="DK8" s="113">
        <v>0.25277777777777777</v>
      </c>
      <c r="DL8" s="48"/>
      <c r="DM8" s="113">
        <v>0.18055555555555555</v>
      </c>
      <c r="DN8" s="113">
        <v>0.28888888888888886</v>
      </c>
      <c r="DO8" s="113">
        <v>0.22916666666666666</v>
      </c>
      <c r="DP8" s="113">
        <v>0.23958333333333334</v>
      </c>
      <c r="DQ8" s="113">
        <v>0.21875</v>
      </c>
      <c r="DR8" s="113">
        <v>0.26250000000000001</v>
      </c>
      <c r="DS8" s="48"/>
      <c r="DT8" s="113">
        <v>0.18194444444444444</v>
      </c>
      <c r="DU8" s="113">
        <v>0.32291666666666669</v>
      </c>
      <c r="DV8" s="113">
        <v>0.24930555555555556</v>
      </c>
      <c r="DW8" s="113">
        <v>0.27013888888888887</v>
      </c>
      <c r="DX8" s="113">
        <v>0.26874999999999999</v>
      </c>
      <c r="DY8" s="113">
        <v>0.26805555555555555</v>
      </c>
      <c r="DZ8" s="48"/>
      <c r="EA8" s="113">
        <v>0.2</v>
      </c>
      <c r="EB8" s="113">
        <v>0.22152777777777777</v>
      </c>
      <c r="EC8" s="113">
        <v>0.2298611111111111</v>
      </c>
      <c r="ED8" s="113">
        <v>0.24930555555555556</v>
      </c>
      <c r="EE8" s="113"/>
      <c r="EF8" s="135">
        <v>0.26319444444444445</v>
      </c>
      <c r="EG8" s="28"/>
      <c r="EH8" s="135">
        <v>0.19097222222222221</v>
      </c>
      <c r="EI8" s="135">
        <v>0.23055555555555557</v>
      </c>
      <c r="EJ8" s="28"/>
      <c r="EK8" s="135">
        <v>0.20555555555555555</v>
      </c>
      <c r="EL8" s="28"/>
      <c r="EM8" s="135">
        <v>0.24027777777777778</v>
      </c>
      <c r="EN8" s="135">
        <v>0.26319444444444445</v>
      </c>
      <c r="EO8" s="135"/>
      <c r="EP8" s="135">
        <v>0.22222222222222221</v>
      </c>
      <c r="EQ8" s="135">
        <v>0.2590277777777778</v>
      </c>
      <c r="ER8" s="135">
        <v>0.22847222222222222</v>
      </c>
      <c r="ES8" s="135">
        <v>0.22569444444444445</v>
      </c>
      <c r="ET8" s="135">
        <v>0.26666666666666666</v>
      </c>
      <c r="EU8" s="28"/>
      <c r="EV8" s="135">
        <v>0.16111111111111112</v>
      </c>
      <c r="EW8" s="135">
        <v>0.2638888888888889</v>
      </c>
      <c r="EX8" s="135">
        <v>0.26041666666666669</v>
      </c>
      <c r="EY8" s="135">
        <v>0.33750000000000002</v>
      </c>
      <c r="EZ8" s="135">
        <v>0.28888888888888886</v>
      </c>
      <c r="FA8" s="135">
        <v>0.31388888888888888</v>
      </c>
      <c r="FB8" s="28"/>
      <c r="FC8" s="135">
        <v>0.21041666666666667</v>
      </c>
      <c r="FD8" s="135">
        <v>0.19930555555555557</v>
      </c>
      <c r="FE8" s="135">
        <v>0.31736111111111109</v>
      </c>
      <c r="FF8" s="225">
        <v>0.22708333333333333</v>
      </c>
      <c r="FG8" s="225">
        <v>0.19236111111111112</v>
      </c>
      <c r="FH8" s="225">
        <v>0.28680555555555554</v>
      </c>
      <c r="FI8" s="225">
        <v>0.21875</v>
      </c>
      <c r="FJ8" s="225">
        <v>0.27847222222222223</v>
      </c>
      <c r="FK8" s="225">
        <v>0.28402777777777777</v>
      </c>
      <c r="FL8" s="225">
        <v>0.23125000000000001</v>
      </c>
      <c r="FM8" s="225">
        <v>0.24097222222222223</v>
      </c>
      <c r="FN8" s="225">
        <v>0.20416666666666666</v>
      </c>
      <c r="FO8" s="225">
        <v>0.22500000000000001</v>
      </c>
      <c r="FP8" s="225">
        <v>0.21249999999999999</v>
      </c>
      <c r="FQ8" s="225">
        <v>0.18958333333333333</v>
      </c>
      <c r="FR8" s="225">
        <v>0.21944444444444444</v>
      </c>
      <c r="FS8" s="225">
        <v>0.25</v>
      </c>
      <c r="FT8" s="225">
        <v>0.24513888888888888</v>
      </c>
      <c r="FU8" s="225">
        <v>0.24861111111111112</v>
      </c>
      <c r="FV8" s="225">
        <v>0.27361111111111114</v>
      </c>
      <c r="FW8" s="225">
        <v>0.23194444444444445</v>
      </c>
      <c r="FX8" s="225">
        <v>0.20347222222222222</v>
      </c>
      <c r="FY8" s="225">
        <v>0.20902777777777778</v>
      </c>
      <c r="FZ8" s="225">
        <v>0.21527777777777779</v>
      </c>
      <c r="GA8" s="225">
        <v>0.24444444444444444</v>
      </c>
      <c r="GB8" s="225">
        <v>0.22638888888888889</v>
      </c>
      <c r="GC8" s="225">
        <v>0.2326388888888889</v>
      </c>
      <c r="GD8" s="225">
        <v>0.21180555555555555</v>
      </c>
      <c r="GE8" s="225">
        <v>0.18541666666666667</v>
      </c>
      <c r="GF8" s="225">
        <v>0.23333333333333334</v>
      </c>
      <c r="GG8" s="225">
        <v>0.24374999999999999</v>
      </c>
      <c r="GH8" s="225">
        <v>0.2902777777777778</v>
      </c>
      <c r="GI8" s="225">
        <v>0.26944444444444443</v>
      </c>
      <c r="GJ8" s="225">
        <v>0.25624999999999998</v>
      </c>
      <c r="GK8" s="225">
        <v>0.2673611111111111</v>
      </c>
      <c r="GL8" s="225">
        <v>0.18819444444444444</v>
      </c>
      <c r="GM8" s="225">
        <v>0.22847222222222222</v>
      </c>
      <c r="GN8" s="225">
        <v>0.28333333333333333</v>
      </c>
      <c r="GO8" s="225">
        <v>0.24444444444444444</v>
      </c>
      <c r="GP8" s="225">
        <v>0.23402777777777778</v>
      </c>
      <c r="GQ8" s="225">
        <v>0.26458333333333334</v>
      </c>
      <c r="GR8" s="225">
        <v>0.23125000000000001</v>
      </c>
      <c r="GS8" s="225">
        <v>0.15486111111111112</v>
      </c>
      <c r="GT8" s="225">
        <v>0.26944444444444443</v>
      </c>
      <c r="GU8" s="42">
        <v>0</v>
      </c>
      <c r="GV8" s="225">
        <v>0.28194444444444444</v>
      </c>
      <c r="GW8" s="225">
        <v>0.30625000000000002</v>
      </c>
      <c r="GX8" s="225">
        <v>0.79166666666666663</v>
      </c>
      <c r="GY8" s="42">
        <v>0</v>
      </c>
      <c r="GZ8" s="225">
        <v>0.88958333333333328</v>
      </c>
      <c r="HA8" s="225">
        <v>0.5854166666666667</v>
      </c>
      <c r="HB8" s="225">
        <v>0.21666666666666667</v>
      </c>
      <c r="HC8" s="225">
        <v>0.2326388888888889</v>
      </c>
      <c r="HD8" s="225">
        <v>0.24027777777777778</v>
      </c>
      <c r="HE8" s="225">
        <v>0.22569444444444445</v>
      </c>
      <c r="HF8" s="225">
        <v>0.27708333333333335</v>
      </c>
      <c r="HG8" s="225">
        <v>0.26180555555555557</v>
      </c>
      <c r="HH8" s="225">
        <v>0.14583333333333334</v>
      </c>
      <c r="HI8" s="225">
        <v>0.23819444444444443</v>
      </c>
      <c r="HJ8" s="225">
        <v>0.25208333333333333</v>
      </c>
      <c r="HK8" s="225">
        <v>0.27708333333333335</v>
      </c>
      <c r="HL8" s="225">
        <v>0.24791666666666667</v>
      </c>
      <c r="HM8" s="225">
        <v>0.28680555555555554</v>
      </c>
      <c r="HN8" s="225">
        <v>0.27847222222222223</v>
      </c>
      <c r="HO8" s="225">
        <v>0.28194444444444444</v>
      </c>
      <c r="HP8" s="225">
        <v>1.8749999999999999E-2</v>
      </c>
      <c r="HQ8" s="225">
        <v>0.35625000000000001</v>
      </c>
      <c r="HR8" s="225">
        <v>0.31458333333333333</v>
      </c>
      <c r="HS8" s="225">
        <v>0.2638888888888889</v>
      </c>
      <c r="HT8" s="225">
        <v>0.29652777777777778</v>
      </c>
      <c r="HU8" s="225">
        <v>0.27500000000000002</v>
      </c>
      <c r="HV8" s="42" t="s">
        <v>274</v>
      </c>
      <c r="HW8" s="225">
        <v>0.25763888888888886</v>
      </c>
      <c r="HX8" s="225">
        <v>0.30416666666666664</v>
      </c>
      <c r="HY8" s="225">
        <v>0.30277777777777776</v>
      </c>
      <c r="HZ8" s="225">
        <v>0.25416666666666665</v>
      </c>
      <c r="IA8" s="225">
        <v>0.3888888888888889</v>
      </c>
      <c r="IB8" s="235" t="s">
        <v>274</v>
      </c>
      <c r="IC8" s="225"/>
      <c r="ID8" s="225">
        <v>0.29930555555555555</v>
      </c>
      <c r="IE8" s="225">
        <v>0.35694444444444445</v>
      </c>
      <c r="IF8" s="225">
        <v>0.25833333333333336</v>
      </c>
      <c r="IG8" s="225">
        <v>0.27777777777777779</v>
      </c>
      <c r="IH8" s="225">
        <v>0.29375000000000001</v>
      </c>
      <c r="II8" s="234">
        <v>0.25972222222222224</v>
      </c>
      <c r="IJ8" s="225">
        <v>0.25</v>
      </c>
      <c r="IK8" s="225">
        <v>0.28680555555555554</v>
      </c>
      <c r="IL8" s="225">
        <v>0.26319444444444445</v>
      </c>
      <c r="IM8" s="225">
        <v>0.27083333333333331</v>
      </c>
      <c r="IN8" s="225">
        <v>0.2590277777777778</v>
      </c>
      <c r="IO8" s="225">
        <v>0.28958333333333336</v>
      </c>
      <c r="IP8" s="234">
        <v>0.29166666666666669</v>
      </c>
      <c r="IQ8" s="42" t="s">
        <v>171</v>
      </c>
      <c r="IR8" s="225">
        <v>0.25694444444444442</v>
      </c>
      <c r="IS8" s="225">
        <v>0.30138888888888887</v>
      </c>
      <c r="IT8" s="225">
        <v>0.2673611111111111</v>
      </c>
      <c r="IU8" s="225">
        <v>0.26944444444444443</v>
      </c>
      <c r="IV8" s="225">
        <v>0.29791666666666666</v>
      </c>
      <c r="IW8" s="225">
        <v>0.28472222222222221</v>
      </c>
      <c r="IX8" s="42" t="s">
        <v>290</v>
      </c>
      <c r="IY8" s="225">
        <v>0.27500000000000002</v>
      </c>
      <c r="IZ8" s="225">
        <v>0.27430555555555558</v>
      </c>
      <c r="JA8" s="225">
        <v>0.25486111111111109</v>
      </c>
      <c r="JB8" s="225">
        <v>0.25833333333333336</v>
      </c>
      <c r="JC8" s="225">
        <v>0.28194444444444444</v>
      </c>
      <c r="JD8" s="225">
        <v>0.25277777777777777</v>
      </c>
      <c r="JE8" s="42" t="s">
        <v>279</v>
      </c>
      <c r="JF8" s="225">
        <v>0.27569444444444446</v>
      </c>
      <c r="JG8" s="225">
        <v>0.26805555555555555</v>
      </c>
      <c r="JH8" s="225">
        <v>0.26597222222222222</v>
      </c>
      <c r="JI8" s="225">
        <v>0.29305555555555557</v>
      </c>
      <c r="JJ8" s="225">
        <v>0.2951388888888889</v>
      </c>
      <c r="JK8" s="42" t="s">
        <v>171</v>
      </c>
      <c r="JL8" s="42" t="s">
        <v>171</v>
      </c>
      <c r="JM8" s="225">
        <v>0.40902777777777777</v>
      </c>
      <c r="JN8" s="225">
        <v>0.32777777777777778</v>
      </c>
      <c r="JO8" s="225">
        <v>0.41875000000000001</v>
      </c>
      <c r="JP8" s="225">
        <v>0.25833333333333336</v>
      </c>
      <c r="JQ8" s="225">
        <v>0.3</v>
      </c>
      <c r="JR8" s="225">
        <v>0.28125</v>
      </c>
      <c r="JS8" s="225">
        <v>0.23958333333333334</v>
      </c>
      <c r="JT8" s="225">
        <v>0.46180555555555558</v>
      </c>
      <c r="JU8" s="225">
        <v>0.29375000000000001</v>
      </c>
      <c r="JV8" s="225">
        <v>0.31180555555555556</v>
      </c>
      <c r="JW8" s="225">
        <v>0.4284722222222222</v>
      </c>
      <c r="JX8" s="225">
        <v>0.30138888888888887</v>
      </c>
      <c r="JY8" s="225">
        <v>0.29791666666666666</v>
      </c>
      <c r="JZ8" s="225">
        <v>0.43888888888888888</v>
      </c>
      <c r="KA8" s="225">
        <v>0.28125</v>
      </c>
      <c r="KB8" s="225">
        <v>0.29375000000000001</v>
      </c>
      <c r="KC8" s="225">
        <v>0.2673611111111111</v>
      </c>
      <c r="KD8" s="225">
        <v>0.25555555555555554</v>
      </c>
      <c r="KE8" s="225">
        <v>0.39861111111111114</v>
      </c>
      <c r="KF8" s="225">
        <v>0.28680555555555554</v>
      </c>
      <c r="KG8" s="42" t="s">
        <v>156</v>
      </c>
      <c r="KH8" s="225">
        <v>0.28194444444444444</v>
      </c>
      <c r="KI8" s="225">
        <v>0.39305555555555555</v>
      </c>
      <c r="KJ8" s="225">
        <v>0.35625000000000001</v>
      </c>
      <c r="KK8" s="225">
        <v>0.28680555555555554</v>
      </c>
      <c r="KL8" s="225">
        <v>0.41249999999999998</v>
      </c>
      <c r="KM8" s="225">
        <v>0.30694444444444446</v>
      </c>
      <c r="KN8" s="225">
        <v>0.24861111111111112</v>
      </c>
      <c r="KO8" s="225">
        <v>0.39583333333333331</v>
      </c>
      <c r="KP8" s="225">
        <v>0.25694444444444442</v>
      </c>
      <c r="KQ8" s="225">
        <v>0.2722222222222222</v>
      </c>
      <c r="KR8" s="225">
        <v>0.40902777777777777</v>
      </c>
      <c r="KS8" s="225">
        <v>0.30833333333333335</v>
      </c>
      <c r="KT8" s="225">
        <v>0.27916666666666667</v>
      </c>
      <c r="KU8" s="42"/>
      <c r="KV8" s="42"/>
      <c r="KW8" s="225">
        <v>0.26041666666666669</v>
      </c>
      <c r="KX8" s="225">
        <v>0.26597222222222222</v>
      </c>
      <c r="KY8" s="225">
        <v>0.25208333333333333</v>
      </c>
      <c r="KZ8" s="225">
        <v>0.31388888888888888</v>
      </c>
      <c r="LA8" s="42" t="s">
        <v>172</v>
      </c>
      <c r="LB8" s="42" t="s">
        <v>172</v>
      </c>
      <c r="LC8" s="225">
        <v>0.3576388888888889</v>
      </c>
      <c r="LD8" s="225">
        <v>0.30625000000000002</v>
      </c>
      <c r="LE8" s="225">
        <v>0.37083333333333335</v>
      </c>
      <c r="LF8" s="225">
        <v>0.28055555555555556</v>
      </c>
      <c r="LG8" s="225">
        <v>0.29166666666666669</v>
      </c>
      <c r="LH8" s="225">
        <v>0.28402777777777777</v>
      </c>
      <c r="LI8" s="42" t="s">
        <v>172</v>
      </c>
      <c r="LJ8" s="225">
        <v>0.26597222222222222</v>
      </c>
      <c r="LK8" s="225">
        <v>0.27013888888888887</v>
      </c>
      <c r="LL8" s="225">
        <v>0.32430555555555557</v>
      </c>
      <c r="LM8" s="225">
        <v>0.25833333333333336</v>
      </c>
      <c r="LN8" s="225"/>
      <c r="LO8" s="42" t="s">
        <v>291</v>
      </c>
      <c r="LP8" s="42" t="s">
        <v>291</v>
      </c>
      <c r="LQ8" s="225">
        <v>0.26944444444444443</v>
      </c>
      <c r="LR8" s="225">
        <v>0.25624999999999998</v>
      </c>
      <c r="LS8" s="42"/>
      <c r="LT8" s="42"/>
      <c r="LU8" s="42"/>
      <c r="LV8" s="42"/>
      <c r="LW8" s="225">
        <v>0.2361111111111111</v>
      </c>
      <c r="LX8" s="225">
        <v>0.26666666666666666</v>
      </c>
      <c r="LY8" s="250">
        <v>0.27500000000000002</v>
      </c>
      <c r="LZ8" s="28"/>
      <c r="MA8" s="28"/>
      <c r="MB8" s="28"/>
      <c r="MC8" s="28"/>
      <c r="MD8" s="28"/>
      <c r="ME8" s="28"/>
      <c r="MF8" s="28"/>
      <c r="MG8" s="28"/>
      <c r="MH8" s="28"/>
      <c r="MI8" s="28"/>
      <c r="MJ8" s="28"/>
      <c r="MK8" s="28"/>
      <c r="ML8" s="28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</row>
    <row r="9" spans="1:370" x14ac:dyDescent="0.25">
      <c r="A9" s="102">
        <v>8</v>
      </c>
      <c r="B9" s="96"/>
      <c r="C9" s="96">
        <v>0</v>
      </c>
      <c r="D9" s="96">
        <v>0</v>
      </c>
      <c r="E9" s="96">
        <v>0</v>
      </c>
      <c r="F9" s="96">
        <v>0</v>
      </c>
      <c r="G9" s="96">
        <v>0</v>
      </c>
      <c r="H9" s="97">
        <v>0.36458333333333331</v>
      </c>
      <c r="I9" s="97">
        <v>0.24444444444444444</v>
      </c>
      <c r="J9" s="97">
        <v>0.2951388888888889</v>
      </c>
      <c r="K9" s="96">
        <v>0</v>
      </c>
      <c r="L9" s="97">
        <v>0.22083333333333333</v>
      </c>
      <c r="M9" s="97">
        <v>0.27847222222222223</v>
      </c>
      <c r="N9" s="96">
        <v>0</v>
      </c>
      <c r="O9" s="104">
        <v>0</v>
      </c>
      <c r="P9" s="112">
        <v>0.27083333333333331</v>
      </c>
      <c r="Q9" s="113">
        <v>0.31388888888888888</v>
      </c>
      <c r="R9" s="48">
        <v>0</v>
      </c>
      <c r="S9" s="113">
        <v>0.22638888888888889</v>
      </c>
      <c r="T9" s="113">
        <v>0.46458333333333335</v>
      </c>
      <c r="U9" s="113">
        <v>0.2638888888888889</v>
      </c>
      <c r="V9" s="113">
        <v>0.31458333333333333</v>
      </c>
      <c r="W9" s="113">
        <v>0.26805555555555555</v>
      </c>
      <c r="X9" s="48"/>
      <c r="Y9" s="48">
        <v>0</v>
      </c>
      <c r="Z9" s="113">
        <v>0.3215277777777778</v>
      </c>
      <c r="AA9" s="113">
        <v>0.27083333333333331</v>
      </c>
      <c r="AB9" s="48"/>
      <c r="AC9" s="48"/>
      <c r="AD9" s="113">
        <v>0.26319444444444445</v>
      </c>
      <c r="AE9" s="113">
        <v>0.30069444444444443</v>
      </c>
      <c r="AF9" s="48"/>
      <c r="AG9" s="113">
        <v>0.22083333333333333</v>
      </c>
      <c r="AH9" s="48"/>
      <c r="AI9" s="48"/>
      <c r="AJ9" s="113">
        <v>0.30069444444444443</v>
      </c>
      <c r="AK9" s="113">
        <v>0.28958333333333336</v>
      </c>
      <c r="AL9" s="113">
        <v>0.23472222222222222</v>
      </c>
      <c r="AM9" s="48"/>
      <c r="AN9" s="113">
        <v>0.22569444444444445</v>
      </c>
      <c r="AO9" s="113">
        <v>0.24652777777777779</v>
      </c>
      <c r="AP9" s="113"/>
      <c r="AQ9" s="48"/>
      <c r="AR9" s="113">
        <v>0.25694444444444442</v>
      </c>
      <c r="AS9" s="48"/>
      <c r="AT9" s="48"/>
      <c r="AU9" s="113">
        <v>0.22708333333333333</v>
      </c>
      <c r="AV9" s="48"/>
      <c r="AW9" s="113">
        <v>0.28125</v>
      </c>
      <c r="AX9" s="48"/>
      <c r="AY9" s="113">
        <v>0.29305555555555557</v>
      </c>
      <c r="AZ9" s="48"/>
      <c r="BA9" s="48"/>
      <c r="BB9" s="113">
        <v>0.23333333333333334</v>
      </c>
      <c r="BC9" s="48"/>
      <c r="BD9" s="113">
        <v>0.3347222222222222</v>
      </c>
      <c r="BE9" s="113">
        <v>0.45208333333333334</v>
      </c>
      <c r="BF9" s="113">
        <v>0.28541666666666665</v>
      </c>
      <c r="BG9" s="48"/>
      <c r="BH9" s="48"/>
      <c r="BI9" s="113">
        <v>0.27152777777777776</v>
      </c>
      <c r="BJ9" s="113">
        <v>0.32291666666666669</v>
      </c>
      <c r="BK9" s="48"/>
      <c r="BL9" s="48"/>
      <c r="BM9" s="113">
        <v>0.26597222222222222</v>
      </c>
      <c r="BN9" s="48"/>
      <c r="BO9" s="48"/>
      <c r="BP9" s="113">
        <v>0.18958333333333333</v>
      </c>
      <c r="BQ9" s="113">
        <v>0.21597222222222223</v>
      </c>
      <c r="BR9" s="113">
        <v>0.64513888888888893</v>
      </c>
      <c r="BS9" s="48"/>
      <c r="BT9" s="113">
        <v>3.5416666666666666E-2</v>
      </c>
      <c r="BU9" s="113">
        <v>0.26944444444444443</v>
      </c>
      <c r="BV9" s="48"/>
      <c r="BW9" s="113">
        <v>0.18680555555555556</v>
      </c>
      <c r="BX9" s="113">
        <v>0.23680555555555555</v>
      </c>
      <c r="BY9" s="113">
        <v>0.22361111111111112</v>
      </c>
      <c r="BZ9" s="113">
        <v>0.23472222222222222</v>
      </c>
      <c r="CA9" s="48"/>
      <c r="CB9" s="113">
        <v>0.25486111111111109</v>
      </c>
      <c r="CC9" s="48"/>
      <c r="CD9" s="113">
        <v>0.16805555555555557</v>
      </c>
      <c r="CE9" s="113">
        <v>0.2326388888888889</v>
      </c>
      <c r="CF9" s="113">
        <v>0.26944444444444443</v>
      </c>
      <c r="CG9" s="48"/>
      <c r="CH9" s="113">
        <v>0.25833333333333336</v>
      </c>
      <c r="CI9" s="113">
        <v>0.28263888888888888</v>
      </c>
      <c r="CJ9" s="48"/>
      <c r="CK9" s="113">
        <v>0.3215277777777778</v>
      </c>
      <c r="CL9" s="48"/>
      <c r="CM9" s="113">
        <v>0.24236111111111111</v>
      </c>
      <c r="CN9" s="48"/>
      <c r="CO9" s="113">
        <v>0.21388888888888888</v>
      </c>
      <c r="CP9" s="113">
        <v>0.2388888888888889</v>
      </c>
      <c r="CQ9" s="48"/>
      <c r="CR9" s="113">
        <v>0.22013888888888888</v>
      </c>
      <c r="CS9" s="48"/>
      <c r="CT9" s="48"/>
      <c r="CU9" s="48"/>
      <c r="CV9" s="48"/>
      <c r="CW9" s="48"/>
      <c r="CX9" s="48"/>
      <c r="CY9" s="48"/>
      <c r="CZ9" s="48"/>
      <c r="DA9" s="113">
        <v>0.2326388888888889</v>
      </c>
      <c r="DB9" s="48"/>
      <c r="DC9" s="113">
        <v>0.30555555555555558</v>
      </c>
      <c r="DD9" s="113">
        <v>0.27916666666666667</v>
      </c>
      <c r="DE9" s="48"/>
      <c r="DF9" s="113"/>
      <c r="DG9" s="113">
        <v>0.22430555555555556</v>
      </c>
      <c r="DH9" s="48"/>
      <c r="DI9" s="48"/>
      <c r="DJ9" s="48"/>
      <c r="DK9" s="48"/>
      <c r="DL9" s="48"/>
      <c r="DM9" s="48"/>
      <c r="DN9" s="48"/>
      <c r="DO9" s="48"/>
      <c r="DP9" s="113">
        <v>0.24791666666666667</v>
      </c>
      <c r="DQ9" s="113">
        <v>0.22083333333333333</v>
      </c>
      <c r="DR9" s="113">
        <v>0.26805555555555555</v>
      </c>
      <c r="DS9" s="48"/>
      <c r="DT9" s="113">
        <v>0.18680555555555556</v>
      </c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135">
        <v>0.26874999999999999</v>
      </c>
      <c r="EG9" s="28"/>
      <c r="EH9" s="135">
        <v>0.19375000000000001</v>
      </c>
      <c r="EI9" s="28"/>
      <c r="EJ9" s="28"/>
      <c r="EK9" s="135">
        <v>0.20833333333333334</v>
      </c>
      <c r="EL9" s="28"/>
      <c r="EM9" s="28"/>
      <c r="EN9" s="135">
        <v>0.26874999999999999</v>
      </c>
      <c r="EO9" s="28"/>
      <c r="EP9" s="28"/>
      <c r="EQ9" s="28"/>
      <c r="ER9" s="28"/>
      <c r="ES9" s="135">
        <v>0.22569444444444445</v>
      </c>
      <c r="ET9" s="135">
        <v>0.26874999999999999</v>
      </c>
      <c r="EU9" s="28"/>
      <c r="EV9" s="28"/>
      <c r="EW9" s="135">
        <v>0.27013888888888887</v>
      </c>
      <c r="EX9" s="28"/>
      <c r="EY9" s="28"/>
      <c r="EZ9" s="135">
        <v>0.29444444444444445</v>
      </c>
      <c r="FA9" s="135">
        <v>0.31666666666666665</v>
      </c>
      <c r="FB9" s="28"/>
      <c r="FC9" s="135">
        <v>0.21249999999999999</v>
      </c>
      <c r="FD9" s="28"/>
      <c r="FE9" s="28"/>
      <c r="FF9" s="42"/>
      <c r="FG9" s="42"/>
      <c r="FH9" s="225">
        <v>0.2902777777777778</v>
      </c>
      <c r="FI9" s="42"/>
      <c r="FJ9" s="42"/>
      <c r="FK9" s="42"/>
      <c r="FL9" s="225">
        <v>0.24097222222222223</v>
      </c>
      <c r="FM9" s="225">
        <v>0.24305555555555555</v>
      </c>
      <c r="FN9" s="225">
        <v>0.20694444444444443</v>
      </c>
      <c r="FO9" s="42"/>
      <c r="FP9" s="225">
        <v>0.21597222222222223</v>
      </c>
      <c r="FQ9" s="225"/>
      <c r="FR9" s="42"/>
      <c r="FS9" s="42"/>
      <c r="FT9" s="42"/>
      <c r="FU9" s="42" t="s">
        <v>292</v>
      </c>
      <c r="FV9" s="42"/>
      <c r="FW9" s="42"/>
      <c r="FX9" s="225">
        <v>0.21111111111111111</v>
      </c>
      <c r="FY9" s="42"/>
      <c r="FZ9" s="42"/>
      <c r="GA9" s="225">
        <v>0.25</v>
      </c>
      <c r="GB9" s="225">
        <v>0.2326388888888889</v>
      </c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225">
        <v>0.31527777777777777</v>
      </c>
      <c r="GX9" s="225"/>
      <c r="GY9" s="42"/>
      <c r="GZ9" s="42"/>
      <c r="HA9" s="42"/>
      <c r="HB9" s="42"/>
      <c r="HC9" s="42"/>
      <c r="HD9" s="42"/>
      <c r="HE9" s="42"/>
      <c r="HF9" s="225"/>
      <c r="HG9" s="42"/>
      <c r="HH9" s="42"/>
      <c r="HI9" s="42"/>
      <c r="HJ9" s="42"/>
      <c r="HK9" s="42"/>
      <c r="HL9" s="42"/>
      <c r="HM9" s="42"/>
      <c r="HN9" s="42"/>
      <c r="HO9" s="42"/>
      <c r="HP9" s="225">
        <v>2.0833333333333332E-2</v>
      </c>
      <c r="HQ9" s="42"/>
      <c r="HR9" s="225">
        <v>0.31666666666666665</v>
      </c>
      <c r="HS9" s="225">
        <v>0.27361111111111114</v>
      </c>
      <c r="HT9" s="225">
        <v>0.3</v>
      </c>
      <c r="HU9" s="42"/>
      <c r="HV9" s="42"/>
      <c r="HW9" s="42"/>
      <c r="HX9" s="225">
        <v>0.3125</v>
      </c>
      <c r="HY9" s="225">
        <v>0.30833333333333335</v>
      </c>
      <c r="HZ9" s="225">
        <v>0.27777777777777779</v>
      </c>
      <c r="IA9" s="225"/>
      <c r="IB9" s="235" t="s">
        <v>274</v>
      </c>
      <c r="IC9" s="225">
        <v>0.21944444444444444</v>
      </c>
      <c r="ID9" s="42"/>
      <c r="IE9" s="42"/>
      <c r="IF9" s="42"/>
      <c r="IG9" s="225">
        <v>0.28055555555555556</v>
      </c>
      <c r="IH9" s="225">
        <v>0.30833333333333335</v>
      </c>
      <c r="II9" s="234"/>
      <c r="IJ9" s="225"/>
      <c r="IK9" s="42"/>
      <c r="IL9" s="42"/>
      <c r="IM9" s="42"/>
      <c r="IN9" s="42"/>
      <c r="IO9" s="225">
        <v>0.2986111111111111</v>
      </c>
      <c r="IP9" s="234">
        <v>0.29236111111111113</v>
      </c>
      <c r="IQ9" s="42" t="s">
        <v>137</v>
      </c>
      <c r="IR9" s="225"/>
      <c r="IS9" s="225">
        <v>0.3125</v>
      </c>
      <c r="IT9" s="225">
        <v>0.27083333333333331</v>
      </c>
      <c r="IU9" s="225">
        <v>0.27152777777777776</v>
      </c>
      <c r="IV9" s="225">
        <v>0.2986111111111111</v>
      </c>
      <c r="IW9" s="42"/>
      <c r="IX9" s="42" t="s">
        <v>277</v>
      </c>
      <c r="IY9" s="42"/>
      <c r="IZ9" s="225">
        <v>0.28263888888888888</v>
      </c>
      <c r="JA9" s="42"/>
      <c r="JB9" s="225">
        <v>0.26180555555555557</v>
      </c>
      <c r="JC9" s="225">
        <v>0.28749999999999998</v>
      </c>
      <c r="JD9" s="42"/>
      <c r="JE9" s="42" t="s">
        <v>158</v>
      </c>
      <c r="JF9" s="42"/>
      <c r="JG9" s="225">
        <v>0.27361111111111114</v>
      </c>
      <c r="JH9" s="225">
        <v>0.26805555555555555</v>
      </c>
      <c r="JI9" s="225">
        <v>0.2986111111111111</v>
      </c>
      <c r="JJ9" s="225">
        <v>0.2986111111111111</v>
      </c>
      <c r="JK9" s="42" t="s">
        <v>184</v>
      </c>
      <c r="JL9" s="42" t="s">
        <v>184</v>
      </c>
      <c r="JM9" s="225">
        <v>0.42083333333333334</v>
      </c>
      <c r="JN9" s="225">
        <v>0.32847222222222222</v>
      </c>
      <c r="JO9" s="225">
        <v>0.43263888888888891</v>
      </c>
      <c r="JP9" s="42"/>
      <c r="JQ9" s="225">
        <v>0.30902777777777779</v>
      </c>
      <c r="JR9" s="42"/>
      <c r="JS9" s="42"/>
      <c r="JT9" s="42"/>
      <c r="JU9" s="225">
        <v>0.31666666666666665</v>
      </c>
      <c r="JV9" s="42"/>
      <c r="JW9" s="42"/>
      <c r="JX9" s="42"/>
      <c r="JY9" s="42"/>
      <c r="JZ9" s="225">
        <v>0.44513888888888886</v>
      </c>
      <c r="KA9" s="225">
        <v>0.29375000000000001</v>
      </c>
      <c r="KB9" s="225">
        <v>0.29652777777777778</v>
      </c>
      <c r="KC9" s="225">
        <v>0.27083333333333331</v>
      </c>
      <c r="KD9" s="225">
        <v>0.2638888888888889</v>
      </c>
      <c r="KE9" s="225">
        <v>0.40138888888888891</v>
      </c>
      <c r="KF9" s="42"/>
      <c r="KG9" s="42" t="s">
        <v>293</v>
      </c>
      <c r="KH9" s="225">
        <v>0.28541666666666665</v>
      </c>
      <c r="KI9" s="225">
        <v>0.39861111111111114</v>
      </c>
      <c r="KJ9" s="225">
        <v>0.36527777777777776</v>
      </c>
      <c r="KK9" s="42"/>
      <c r="KL9" s="225">
        <v>0.41944444444444445</v>
      </c>
      <c r="KM9" s="42"/>
      <c r="KN9" s="42"/>
      <c r="KO9" s="225">
        <v>0.39583333333333331</v>
      </c>
      <c r="KP9" s="225">
        <v>0.2590277777777778</v>
      </c>
      <c r="KQ9" s="42"/>
      <c r="KR9" s="225">
        <v>0.41319444444444442</v>
      </c>
      <c r="KS9" s="225">
        <v>0.31111111111111112</v>
      </c>
      <c r="KT9" s="225">
        <v>0.28402777777777777</v>
      </c>
      <c r="KU9" s="42" t="s">
        <v>294</v>
      </c>
      <c r="KV9" s="42"/>
      <c r="KW9" s="225">
        <v>0.27986111111111112</v>
      </c>
      <c r="KX9" s="42"/>
      <c r="KY9" s="42"/>
      <c r="KZ9" s="42"/>
      <c r="LA9" s="42" t="s">
        <v>184</v>
      </c>
      <c r="LB9" s="42" t="s">
        <v>184</v>
      </c>
      <c r="LC9" s="42"/>
      <c r="LD9" s="42"/>
      <c r="LE9" s="225"/>
      <c r="LF9" s="225"/>
      <c r="LG9" s="42"/>
      <c r="LH9" s="42"/>
      <c r="LI9" s="42" t="s">
        <v>184</v>
      </c>
      <c r="LJ9" s="42"/>
      <c r="LK9" s="42"/>
      <c r="LL9" s="42"/>
      <c r="LM9" s="42"/>
      <c r="LN9" s="42"/>
      <c r="LO9" s="42" t="s">
        <v>127</v>
      </c>
      <c r="LP9" s="42" t="s">
        <v>127</v>
      </c>
      <c r="LQ9" s="42"/>
      <c r="LR9" s="42"/>
      <c r="LS9" s="42"/>
      <c r="LT9" s="42"/>
      <c r="LU9" s="42"/>
      <c r="LV9" s="42"/>
      <c r="LW9" s="42"/>
      <c r="LX9" s="225">
        <v>0.26944444444444443</v>
      </c>
      <c r="LY9" s="250">
        <v>0.27708333333333335</v>
      </c>
      <c r="LZ9" s="28"/>
      <c r="MA9" s="28"/>
      <c r="MB9" s="28"/>
      <c r="MC9" s="28"/>
      <c r="MD9" s="28"/>
      <c r="ME9" s="28"/>
      <c r="MF9" s="28"/>
      <c r="MG9" s="28"/>
      <c r="MH9" s="28"/>
      <c r="MI9" s="28"/>
      <c r="MJ9" s="28"/>
      <c r="MK9" s="28"/>
      <c r="ML9" s="28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</row>
    <row r="10" spans="1:370" ht="14.1" customHeight="1" x14ac:dyDescent="0.25">
      <c r="A10" s="102">
        <v>9</v>
      </c>
      <c r="B10" s="96"/>
      <c r="C10" s="96">
        <v>0</v>
      </c>
      <c r="D10" s="96">
        <v>0</v>
      </c>
      <c r="E10" s="96">
        <v>0</v>
      </c>
      <c r="F10" s="96">
        <v>0</v>
      </c>
      <c r="G10" s="96">
        <v>0</v>
      </c>
      <c r="H10" s="97">
        <v>0.38194444444444442</v>
      </c>
      <c r="I10" s="97">
        <v>0.25208333333333333</v>
      </c>
      <c r="J10" s="97">
        <v>0.30625000000000002</v>
      </c>
      <c r="K10" s="96">
        <v>0</v>
      </c>
      <c r="L10" s="96">
        <v>0</v>
      </c>
      <c r="M10" s="97">
        <v>0.28263888888888888</v>
      </c>
      <c r="N10" s="96">
        <v>0</v>
      </c>
      <c r="O10" s="104">
        <v>0</v>
      </c>
      <c r="P10" s="49">
        <v>0</v>
      </c>
      <c r="Q10" s="113">
        <v>0.31597222222222221</v>
      </c>
      <c r="R10" s="48">
        <v>0</v>
      </c>
      <c r="S10" s="48">
        <v>0</v>
      </c>
      <c r="T10" s="113">
        <v>0.46666666666666667</v>
      </c>
      <c r="U10" s="113">
        <v>0.27083333333333331</v>
      </c>
      <c r="V10" s="48"/>
      <c r="W10" s="113">
        <v>0.27013888888888887</v>
      </c>
      <c r="X10" s="48"/>
      <c r="Y10" s="48">
        <v>0</v>
      </c>
      <c r="Z10" s="113">
        <v>0.32500000000000001</v>
      </c>
      <c r="AA10" s="48"/>
      <c r="AB10" s="48"/>
      <c r="AC10" s="48"/>
      <c r="AD10" s="48">
        <v>624</v>
      </c>
      <c r="AE10" s="48"/>
      <c r="AF10" s="48"/>
      <c r="AG10" s="48"/>
      <c r="AH10" s="48"/>
      <c r="AI10" s="48"/>
      <c r="AJ10" s="113">
        <v>0.30416666666666664</v>
      </c>
      <c r="AK10" s="113">
        <v>0.29375000000000001</v>
      </c>
      <c r="AL10" s="113">
        <v>0.2388888888888889</v>
      </c>
      <c r="AM10" s="48"/>
      <c r="AN10" s="113">
        <v>0.23541666666666666</v>
      </c>
      <c r="AO10" s="113">
        <v>0.24930555555555556</v>
      </c>
      <c r="AP10" s="113"/>
      <c r="AQ10" s="48"/>
      <c r="AR10" s="113">
        <v>0.26041666666666669</v>
      </c>
      <c r="AS10" s="48"/>
      <c r="AT10" s="48"/>
      <c r="AU10" s="113">
        <v>0.23402777777777778</v>
      </c>
      <c r="AV10" s="48"/>
      <c r="AW10" s="113">
        <v>0.28472222222222221</v>
      </c>
      <c r="AX10" s="48"/>
      <c r="AY10" s="113">
        <v>0.29583333333333334</v>
      </c>
      <c r="AZ10" s="48"/>
      <c r="BA10" s="48"/>
      <c r="BB10" s="113">
        <v>0.23819444444444443</v>
      </c>
      <c r="BC10" s="48"/>
      <c r="BD10" s="48"/>
      <c r="BE10" s="113">
        <v>0.4548611111111111</v>
      </c>
      <c r="BF10" s="113">
        <v>0.29097222222222224</v>
      </c>
      <c r="BG10" s="48"/>
      <c r="BH10" s="48"/>
      <c r="BI10" s="113">
        <v>0.27430555555555558</v>
      </c>
      <c r="BJ10" s="113">
        <v>0.32847222222222222</v>
      </c>
      <c r="BK10" s="48"/>
      <c r="BL10" s="48"/>
      <c r="BM10" s="113">
        <v>0.26874999999999999</v>
      </c>
      <c r="BN10" s="48"/>
      <c r="BO10" s="48"/>
      <c r="BP10" s="48"/>
      <c r="BQ10" s="48"/>
      <c r="BR10" s="113">
        <v>0.65</v>
      </c>
      <c r="BS10" s="48"/>
      <c r="BT10" s="48"/>
      <c r="BU10" s="113">
        <v>0.2722222222222222</v>
      </c>
      <c r="BV10" s="48"/>
      <c r="BW10" s="113">
        <v>0.1875</v>
      </c>
      <c r="BX10" s="48"/>
      <c r="BY10" s="113">
        <v>0.2298611111111111</v>
      </c>
      <c r="BZ10" s="48"/>
      <c r="CA10" s="48"/>
      <c r="CB10" s="48"/>
      <c r="CC10" s="48"/>
      <c r="CD10" s="113">
        <v>0.17152777777777778</v>
      </c>
      <c r="CE10" s="48"/>
      <c r="CF10" s="48"/>
      <c r="CG10" s="48"/>
      <c r="CH10" s="113">
        <v>0.26250000000000001</v>
      </c>
      <c r="CI10" s="48"/>
      <c r="CJ10" s="48"/>
      <c r="CK10" s="113">
        <v>0.32361111111111113</v>
      </c>
      <c r="CL10" s="48"/>
      <c r="CM10" s="113">
        <v>0.24652777777777779</v>
      </c>
      <c r="CN10" s="48"/>
      <c r="CO10" s="48"/>
      <c r="CP10" s="113">
        <v>0.24166666666666667</v>
      </c>
      <c r="CQ10" s="48"/>
      <c r="CR10" s="113">
        <v>0.22430555555555556</v>
      </c>
      <c r="CS10" s="48"/>
      <c r="CT10" s="48"/>
      <c r="CU10" s="48"/>
      <c r="CV10" s="48"/>
      <c r="CW10" s="48"/>
      <c r="CX10" s="48"/>
      <c r="CY10" s="113"/>
      <c r="CZ10" s="48"/>
      <c r="DA10" s="113">
        <v>0.2388888888888889</v>
      </c>
      <c r="DB10" s="48"/>
      <c r="DC10" s="48"/>
      <c r="DD10" s="113">
        <v>0.28055555555555556</v>
      </c>
      <c r="DE10" s="48"/>
      <c r="DF10" s="113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113">
        <v>0.27013888888888887</v>
      </c>
      <c r="DS10" s="48"/>
      <c r="DT10" s="113">
        <v>0.19305555555555556</v>
      </c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28"/>
      <c r="EG10" s="28"/>
      <c r="EH10" s="135">
        <v>0.19722222222222222</v>
      </c>
      <c r="EI10" s="28"/>
      <c r="EJ10" s="28"/>
      <c r="EK10" s="135">
        <v>0.21875</v>
      </c>
      <c r="EL10" s="28"/>
      <c r="EM10" s="28"/>
      <c r="EN10" s="28"/>
      <c r="EO10" s="28"/>
      <c r="EP10" s="28"/>
      <c r="EQ10" s="28"/>
      <c r="ER10" s="28"/>
      <c r="ES10" s="135">
        <v>0.22777777777777777</v>
      </c>
      <c r="ET10" s="135">
        <v>0.26874999999999999</v>
      </c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42"/>
      <c r="FG10" s="42"/>
      <c r="FH10" s="225">
        <v>0.29652777777777778</v>
      </c>
      <c r="FI10" s="42"/>
      <c r="FJ10" s="42"/>
      <c r="FK10" s="42"/>
      <c r="FL10" s="42"/>
      <c r="FM10" s="42"/>
      <c r="FN10" s="225">
        <v>0.20972222222222223</v>
      </c>
      <c r="FO10" s="42"/>
      <c r="FP10" s="225">
        <v>0.21944444444444444</v>
      </c>
      <c r="FQ10" s="42"/>
      <c r="FR10" s="42"/>
      <c r="FS10" s="42"/>
      <c r="FT10" s="42"/>
      <c r="FU10" s="42"/>
      <c r="FV10" s="42"/>
      <c r="FW10" s="42"/>
      <c r="FX10" s="225">
        <v>0.21388888888888888</v>
      </c>
      <c r="FY10" s="42"/>
      <c r="FZ10" s="42"/>
      <c r="GA10" s="42"/>
      <c r="GB10" s="225">
        <v>0.2361111111111111</v>
      </c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225">
        <v>2.0833333333333332E-2</v>
      </c>
      <c r="HQ10" s="42"/>
      <c r="HR10" s="42"/>
      <c r="HS10" s="225">
        <v>0.28472222222222221</v>
      </c>
      <c r="HT10" s="225">
        <v>0.3034722222222222</v>
      </c>
      <c r="HU10" s="42"/>
      <c r="HV10" s="42"/>
      <c r="HW10" s="42"/>
      <c r="HX10" s="42"/>
      <c r="HY10" s="42"/>
      <c r="HZ10" s="225">
        <v>0.27986111111111112</v>
      </c>
      <c r="IA10" s="42"/>
      <c r="IB10" s="235"/>
      <c r="IC10" s="42"/>
      <c r="ID10" s="42"/>
      <c r="IE10" s="42"/>
      <c r="IF10" s="42"/>
      <c r="IG10" s="225">
        <v>0.28541666666666665</v>
      </c>
      <c r="IH10" s="225">
        <v>0.30902777777777779</v>
      </c>
      <c r="II10" s="234"/>
      <c r="IJ10" s="42"/>
      <c r="IK10" s="42"/>
      <c r="IL10" s="42"/>
      <c r="IM10" s="42"/>
      <c r="IN10" s="42"/>
      <c r="IO10" s="225">
        <v>0.30138888888888887</v>
      </c>
      <c r="IP10" s="235"/>
      <c r="IQ10" s="42" t="s">
        <v>295</v>
      </c>
      <c r="IR10" s="42"/>
      <c r="IS10" s="42"/>
      <c r="IT10" s="225">
        <v>0.27430555555555558</v>
      </c>
      <c r="IU10" s="225">
        <v>0.27291666666666664</v>
      </c>
      <c r="IV10" s="225">
        <v>0.30416666666666664</v>
      </c>
      <c r="IW10" s="42"/>
      <c r="IX10" s="42" t="s">
        <v>296</v>
      </c>
      <c r="IY10" s="42"/>
      <c r="IZ10" s="42"/>
      <c r="JA10" s="42"/>
      <c r="JB10" s="225">
        <v>0.26666666666666666</v>
      </c>
      <c r="JC10" s="225">
        <v>0.29097222222222224</v>
      </c>
      <c r="JD10" s="42"/>
      <c r="JE10" s="42"/>
      <c r="JF10" s="42"/>
      <c r="JG10" s="225">
        <v>0.27569444444444446</v>
      </c>
      <c r="JH10" s="225">
        <v>0.2722222222222222</v>
      </c>
      <c r="JI10" s="225">
        <v>0.30069444444444443</v>
      </c>
      <c r="JJ10" s="42"/>
      <c r="JK10" s="42" t="s">
        <v>119</v>
      </c>
      <c r="JL10" s="42" t="s">
        <v>127</v>
      </c>
      <c r="JM10" s="225">
        <v>0.4284722222222222</v>
      </c>
      <c r="JN10" s="225">
        <v>0.33194444444444443</v>
      </c>
      <c r="JO10" s="225">
        <v>0.44305555555555554</v>
      </c>
      <c r="JP10" s="42"/>
      <c r="JQ10" s="225">
        <v>0.31736111111111109</v>
      </c>
      <c r="JR10" s="42"/>
      <c r="JS10" s="42"/>
      <c r="JT10" s="42"/>
      <c r="JU10" s="225">
        <v>0.31874999999999998</v>
      </c>
      <c r="JV10" s="42"/>
      <c r="JW10" s="42"/>
      <c r="JX10" s="42"/>
      <c r="JY10" s="42"/>
      <c r="JZ10" s="225">
        <v>0.44930555555555557</v>
      </c>
      <c r="KA10" s="225">
        <v>0.30208333333333331</v>
      </c>
      <c r="KB10" s="225">
        <v>0.30138888888888887</v>
      </c>
      <c r="KC10" s="225">
        <v>0.27430555555555558</v>
      </c>
      <c r="KD10" s="225">
        <v>0.27916666666666667</v>
      </c>
      <c r="KE10" s="225">
        <v>0.40347222222222223</v>
      </c>
      <c r="KF10" s="42"/>
      <c r="KG10" s="42" t="s">
        <v>172</v>
      </c>
      <c r="KH10" s="225">
        <v>0.28958333333333336</v>
      </c>
      <c r="KI10" s="225">
        <v>0.4</v>
      </c>
      <c r="KJ10" s="225">
        <v>0.37291666666666667</v>
      </c>
      <c r="KK10" s="42"/>
      <c r="KL10" s="225">
        <v>0.42430555555555555</v>
      </c>
      <c r="KM10" s="42"/>
      <c r="KN10" s="42"/>
      <c r="KO10" s="42"/>
      <c r="KP10" s="225">
        <v>0.26180555555555557</v>
      </c>
      <c r="KQ10" s="42"/>
      <c r="KR10" s="225">
        <v>0.4236111111111111</v>
      </c>
      <c r="KS10" s="225">
        <v>0.31319444444444444</v>
      </c>
      <c r="KT10" s="225">
        <v>0.28611111111111109</v>
      </c>
      <c r="KU10" s="42"/>
      <c r="KV10" s="42"/>
      <c r="KW10" s="42"/>
      <c r="KX10" s="42"/>
      <c r="KY10" s="42"/>
      <c r="KZ10" s="42"/>
      <c r="LA10" s="42" t="s">
        <v>127</v>
      </c>
      <c r="LB10" s="42" t="s">
        <v>127</v>
      </c>
      <c r="LC10" s="42"/>
      <c r="LD10" s="42"/>
      <c r="LE10" s="42"/>
      <c r="LF10" s="42"/>
      <c r="LG10" s="42"/>
      <c r="LH10" s="42"/>
      <c r="LI10" s="42" t="s">
        <v>127</v>
      </c>
      <c r="LJ10" s="42"/>
      <c r="LK10" s="42"/>
      <c r="LL10" s="42"/>
      <c r="LM10" s="42"/>
      <c r="LN10" s="42"/>
      <c r="LO10" s="42" t="s">
        <v>130</v>
      </c>
      <c r="LP10" s="42" t="s">
        <v>130</v>
      </c>
      <c r="LQ10" s="42"/>
      <c r="LR10" s="42"/>
      <c r="LS10" s="42"/>
      <c r="LT10" s="42"/>
      <c r="LU10" s="42"/>
      <c r="LV10" s="42"/>
      <c r="LW10" s="42"/>
      <c r="LX10" s="225">
        <v>0.27152777777777776</v>
      </c>
      <c r="LY10" s="250">
        <v>0.29375000000000001</v>
      </c>
      <c r="LZ10" s="28"/>
      <c r="MA10" s="28"/>
      <c r="MB10" s="28"/>
      <c r="MC10" s="28"/>
      <c r="MD10" s="28"/>
      <c r="ME10" s="28"/>
      <c r="MF10" s="28"/>
      <c r="MG10" s="28"/>
      <c r="MH10" s="28"/>
      <c r="MI10" s="28"/>
      <c r="MJ10" s="28"/>
      <c r="MK10" s="28"/>
      <c r="ML10" s="28"/>
      <c r="MM10" s="28"/>
      <c r="MN10" s="28"/>
      <c r="MO10" s="28"/>
      <c r="MP10" s="28"/>
      <c r="MQ10" s="28"/>
      <c r="MR10" s="28"/>
      <c r="MS10" s="28"/>
      <c r="MT10" s="28"/>
      <c r="MU10" s="28"/>
      <c r="MV10" s="28"/>
      <c r="MW10" s="28"/>
      <c r="MX10" s="28"/>
      <c r="MY10" s="28"/>
      <c r="MZ10" s="28"/>
      <c r="NA10" s="28"/>
      <c r="NB10" s="28"/>
      <c r="NC10" s="28"/>
      <c r="ND10" s="28"/>
      <c r="NE10" s="28"/>
      <c r="NF10" s="28"/>
    </row>
    <row r="11" spans="1:370" x14ac:dyDescent="0.25">
      <c r="A11" s="102">
        <v>10</v>
      </c>
      <c r="B11" s="96"/>
      <c r="C11" s="96">
        <v>0</v>
      </c>
      <c r="D11" s="96">
        <v>0</v>
      </c>
      <c r="E11" s="96">
        <v>0</v>
      </c>
      <c r="F11" s="96">
        <v>0</v>
      </c>
      <c r="G11" s="96">
        <v>0</v>
      </c>
      <c r="H11" s="96">
        <v>0</v>
      </c>
      <c r="I11" s="96">
        <v>0</v>
      </c>
      <c r="J11" s="96">
        <v>0</v>
      </c>
      <c r="K11" s="96">
        <v>0</v>
      </c>
      <c r="L11" s="96">
        <v>0</v>
      </c>
      <c r="M11" s="96">
        <v>0</v>
      </c>
      <c r="N11" s="96">
        <v>0</v>
      </c>
      <c r="O11" s="104">
        <v>0</v>
      </c>
      <c r="P11" s="49">
        <v>0</v>
      </c>
      <c r="Q11" s="108">
        <v>0.31874999999999998</v>
      </c>
      <c r="R11" s="48">
        <v>0</v>
      </c>
      <c r="S11" s="48">
        <v>0</v>
      </c>
      <c r="T11" s="124">
        <v>0.47013888888888888</v>
      </c>
      <c r="U11" s="68"/>
      <c r="V11" s="68"/>
      <c r="W11" s="124">
        <v>0.27361111111111114</v>
      </c>
      <c r="X11" s="68"/>
      <c r="Y11" s="48">
        <v>0</v>
      </c>
      <c r="Z11" s="68" t="s">
        <v>58</v>
      </c>
      <c r="AA11" s="68"/>
      <c r="AB11" s="68"/>
      <c r="AC11" s="68"/>
      <c r="AD11" s="124">
        <v>0.27013888888888887</v>
      </c>
      <c r="AE11" s="68"/>
      <c r="AF11" s="68"/>
      <c r="AG11" s="68"/>
      <c r="AH11" s="68"/>
      <c r="AI11" s="68"/>
      <c r="AJ11" s="124">
        <v>0.30902777777777779</v>
      </c>
      <c r="AK11" s="124">
        <v>0.2986111111111111</v>
      </c>
      <c r="AL11" s="124">
        <v>0.24166666666666667</v>
      </c>
      <c r="AM11" s="68"/>
      <c r="AN11" s="124">
        <v>0.25208333333333333</v>
      </c>
      <c r="AO11" s="124">
        <v>0.25208333333333333</v>
      </c>
      <c r="AP11" s="124"/>
      <c r="AQ11" s="68"/>
      <c r="AR11" s="124">
        <v>0.26250000000000001</v>
      </c>
      <c r="AS11" s="68"/>
      <c r="AT11" s="68"/>
      <c r="AU11" s="124">
        <v>0.23749999999999999</v>
      </c>
      <c r="AV11" s="68"/>
      <c r="AW11" s="68"/>
      <c r="AX11" s="68"/>
      <c r="AY11" s="68"/>
      <c r="AZ11" s="68"/>
      <c r="BA11" s="68"/>
      <c r="BB11" s="124">
        <v>0.24374999999999999</v>
      </c>
      <c r="BC11" s="68"/>
      <c r="BD11" s="68"/>
      <c r="BE11" s="124">
        <v>0.45833333333333331</v>
      </c>
      <c r="BF11" s="124">
        <v>0.29305555555555557</v>
      </c>
      <c r="BG11" s="68"/>
      <c r="BH11" s="68"/>
      <c r="BI11" s="124">
        <v>0.27916666666666667</v>
      </c>
      <c r="BJ11" s="124">
        <v>0.33194444444444443</v>
      </c>
      <c r="BK11" s="68"/>
      <c r="BL11" s="68"/>
      <c r="BM11" s="124">
        <v>0.27083333333333331</v>
      </c>
      <c r="BN11" s="68"/>
      <c r="BO11" s="68"/>
      <c r="BP11" s="68"/>
      <c r="BQ11" s="68"/>
      <c r="BR11" s="68"/>
      <c r="BS11" s="68"/>
      <c r="BT11" s="50"/>
      <c r="BU11" s="50"/>
      <c r="BV11" s="50"/>
      <c r="BW11" s="186">
        <v>0.19097222222222221</v>
      </c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186">
        <v>0.22708333333333333</v>
      </c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186">
        <v>0.28402777777777777</v>
      </c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186">
        <v>0.27361111111111114</v>
      </c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43"/>
      <c r="EG11" s="43"/>
      <c r="EH11" s="224">
        <v>0.2013888888888889</v>
      </c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224">
        <v>0.27083333333333331</v>
      </c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4"/>
      <c r="FG11" s="44"/>
      <c r="FH11" s="226">
        <v>0.30277777777777776</v>
      </c>
      <c r="FI11" s="44"/>
      <c r="FJ11" s="44"/>
      <c r="FK11" s="44"/>
      <c r="FL11" s="44"/>
      <c r="FM11" s="44"/>
      <c r="FN11" s="44"/>
      <c r="FO11" s="44"/>
      <c r="FP11" s="44"/>
      <c r="FQ11" s="44"/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226">
        <v>0.24097222222222223</v>
      </c>
      <c r="GC11" s="44"/>
      <c r="GD11" s="44"/>
      <c r="GE11" s="44"/>
      <c r="GF11" s="44"/>
      <c r="GG11" s="44"/>
      <c r="GH11" s="44"/>
      <c r="GI11" s="44"/>
      <c r="GJ11" s="44"/>
      <c r="GK11" s="44"/>
      <c r="GL11" s="44"/>
      <c r="GM11" s="44"/>
      <c r="GN11" s="44"/>
      <c r="GO11" s="44"/>
      <c r="GP11" s="44"/>
      <c r="GQ11" s="44"/>
      <c r="GR11" s="44"/>
      <c r="GS11" s="44"/>
      <c r="GT11" s="44"/>
      <c r="GU11" s="44"/>
      <c r="GV11" s="44"/>
      <c r="GW11" s="44"/>
      <c r="GX11" s="44"/>
      <c r="GY11" s="44"/>
      <c r="GZ11" s="44"/>
      <c r="HA11" s="44"/>
      <c r="HB11" s="44"/>
      <c r="HC11" s="44"/>
      <c r="HD11" s="44"/>
      <c r="HE11" s="44"/>
      <c r="HF11" s="44"/>
      <c r="HG11" s="44"/>
      <c r="HH11" s="44"/>
      <c r="HI11" s="44"/>
      <c r="HJ11" s="44"/>
      <c r="HK11" s="44"/>
      <c r="HL11" s="44"/>
      <c r="HM11" s="44"/>
      <c r="HN11" s="44"/>
      <c r="HO11" s="44"/>
      <c r="HP11" s="226">
        <v>2.7083333333333334E-2</v>
      </c>
      <c r="HQ11" s="44"/>
      <c r="HR11" s="44"/>
      <c r="HS11" s="44"/>
      <c r="HT11" s="226">
        <v>0.3125</v>
      </c>
      <c r="HU11" s="44"/>
      <c r="HV11" s="44"/>
      <c r="HW11" s="44"/>
      <c r="HX11" s="44"/>
      <c r="HY11" s="44"/>
      <c r="HZ11" s="226">
        <v>0.28958333333333336</v>
      </c>
      <c r="IA11" s="44"/>
      <c r="IB11" s="236"/>
      <c r="IC11" s="44"/>
      <c r="ID11" s="44"/>
      <c r="IE11" s="44"/>
      <c r="IF11" s="44"/>
      <c r="IG11" s="226">
        <v>0.28819444444444442</v>
      </c>
      <c r="IH11" s="226">
        <v>0.32361111111111113</v>
      </c>
      <c r="II11" s="237">
        <v>0.25972222222222224</v>
      </c>
      <c r="IJ11" s="44"/>
      <c r="IK11" s="44"/>
      <c r="IL11" s="44"/>
      <c r="IM11" s="44"/>
      <c r="IN11" s="44"/>
      <c r="IO11" s="226">
        <v>0.30694444444444446</v>
      </c>
      <c r="IP11" s="236"/>
      <c r="IQ11" s="44" t="s">
        <v>127</v>
      </c>
      <c r="IR11" s="44"/>
      <c r="IS11" s="44"/>
      <c r="IT11" s="226">
        <v>0.28263888888888888</v>
      </c>
      <c r="IU11" s="226">
        <v>0.27569444444444446</v>
      </c>
      <c r="IV11" s="226">
        <v>0.30902777777777779</v>
      </c>
      <c r="IW11" s="44"/>
      <c r="IX11" s="44" t="s">
        <v>297</v>
      </c>
      <c r="IY11" s="44"/>
      <c r="IZ11" s="44"/>
      <c r="JA11" s="44"/>
      <c r="JB11" s="226">
        <v>0.27361111111111114</v>
      </c>
      <c r="JC11" s="226">
        <v>0.30138888888888887</v>
      </c>
      <c r="JD11" s="44"/>
      <c r="JE11" s="44"/>
      <c r="JF11" s="44"/>
      <c r="JG11" s="44"/>
      <c r="JH11" s="226">
        <v>0.28055555555555556</v>
      </c>
      <c r="JI11" s="226">
        <v>0.3034722222222222</v>
      </c>
      <c r="JJ11" s="44"/>
      <c r="JK11" s="44"/>
      <c r="JL11" s="44"/>
      <c r="JM11" s="44"/>
      <c r="JN11" s="226">
        <v>0.3347222222222222</v>
      </c>
      <c r="JO11" s="44"/>
      <c r="JP11" s="44"/>
      <c r="JQ11" s="226">
        <v>0.31874999999999998</v>
      </c>
      <c r="JR11" s="44"/>
      <c r="JS11" s="44"/>
      <c r="JT11" s="44"/>
      <c r="JU11" s="44"/>
      <c r="JV11" s="44"/>
      <c r="JW11" s="44"/>
      <c r="JX11" s="44"/>
      <c r="JY11" s="44"/>
      <c r="JZ11" s="226">
        <v>0.45277777777777778</v>
      </c>
      <c r="KA11" s="44"/>
      <c r="KB11" s="226">
        <v>0.30416666666666664</v>
      </c>
      <c r="KC11" s="226">
        <v>0.27708333333333335</v>
      </c>
      <c r="KD11" s="44"/>
      <c r="KE11" s="226">
        <v>0.42083333333333334</v>
      </c>
      <c r="KF11" s="44"/>
      <c r="KG11" s="44" t="s">
        <v>298</v>
      </c>
      <c r="KH11" s="44"/>
      <c r="KI11" s="226">
        <v>0.4152777777777778</v>
      </c>
      <c r="KJ11" s="44"/>
      <c r="KK11" s="44"/>
      <c r="KL11" s="226">
        <v>0.43333333333333335</v>
      </c>
      <c r="KM11" s="44"/>
      <c r="KN11" s="44"/>
      <c r="KO11" s="226">
        <v>0.39583333333333331</v>
      </c>
      <c r="KP11" s="226">
        <v>0.26666666666666666</v>
      </c>
      <c r="KQ11" s="44"/>
      <c r="KR11" s="226">
        <v>0.42708333333333331</v>
      </c>
      <c r="KS11" s="44"/>
      <c r="KT11" s="226">
        <v>0.28958333333333336</v>
      </c>
      <c r="KU11" s="44"/>
      <c r="KV11" s="44"/>
      <c r="KW11" s="44"/>
      <c r="KX11" s="44"/>
      <c r="KY11" s="44"/>
      <c r="KZ11" s="44"/>
      <c r="LA11" s="44" t="s">
        <v>299</v>
      </c>
      <c r="LB11" s="44" t="s">
        <v>299</v>
      </c>
      <c r="LC11" s="44"/>
      <c r="LD11" s="44"/>
      <c r="LE11" s="44"/>
      <c r="LF11" s="44"/>
      <c r="LG11" s="44"/>
      <c r="LH11" s="44"/>
      <c r="LI11" s="44" t="s">
        <v>299</v>
      </c>
      <c r="LJ11" s="44"/>
      <c r="LK11" s="44"/>
      <c r="LL11" s="44"/>
      <c r="LM11" s="44"/>
      <c r="LN11" s="44"/>
      <c r="LO11" s="44"/>
      <c r="LP11" s="44"/>
      <c r="LQ11" s="44"/>
      <c r="LR11" s="44"/>
      <c r="LS11" s="44"/>
      <c r="LT11" s="44"/>
      <c r="LU11" s="44"/>
      <c r="LV11" s="44"/>
      <c r="LW11" s="44"/>
      <c r="LX11" s="44"/>
      <c r="LY11" s="251"/>
      <c r="LZ11" s="28"/>
      <c r="MA11" s="28"/>
      <c r="MB11" s="28"/>
      <c r="MC11" s="28"/>
      <c r="MD11" s="28"/>
      <c r="ME11" s="28"/>
      <c r="MF11" s="28"/>
      <c r="MG11" s="28"/>
      <c r="MH11" s="28"/>
      <c r="MI11" s="28"/>
      <c r="MJ11" s="28"/>
      <c r="MK11" s="28"/>
      <c r="ML11" s="28"/>
      <c r="MM11" s="28"/>
      <c r="MN11" s="28"/>
      <c r="MO11" s="28"/>
      <c r="MP11" s="28"/>
      <c r="MQ11" s="28"/>
      <c r="MR11" s="28"/>
      <c r="MS11" s="28"/>
      <c r="MT11" s="28"/>
      <c r="MU11" s="28"/>
      <c r="MV11" s="28"/>
      <c r="MW11" s="28"/>
      <c r="MX11" s="28"/>
      <c r="MY11" s="28"/>
      <c r="MZ11" s="28"/>
      <c r="NA11" s="28"/>
      <c r="NB11" s="28"/>
      <c r="NC11" s="28"/>
      <c r="ND11" s="28"/>
      <c r="NE11" s="28"/>
      <c r="NF11" s="28"/>
    </row>
    <row r="12" spans="1:370" x14ac:dyDescent="0.25">
      <c r="A12" s="102">
        <v>11</v>
      </c>
      <c r="B12" s="96"/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96">
        <v>0</v>
      </c>
      <c r="N12" s="96">
        <v>0</v>
      </c>
      <c r="O12" s="104">
        <v>0</v>
      </c>
      <c r="P12" s="49">
        <v>0</v>
      </c>
      <c r="Q12" s="108">
        <v>0.32222222222222224</v>
      </c>
      <c r="R12" s="48">
        <v>0</v>
      </c>
      <c r="S12" s="48">
        <v>0</v>
      </c>
      <c r="T12" s="28"/>
      <c r="U12" s="28"/>
      <c r="V12" s="28"/>
      <c r="W12" s="28"/>
      <c r="X12" s="28"/>
      <c r="Y12" s="48">
        <v>0</v>
      </c>
      <c r="Z12" s="113">
        <v>0.33402777777777776</v>
      </c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113">
        <v>0.24583333333333332</v>
      </c>
      <c r="AM12" s="28"/>
      <c r="AN12" s="28"/>
      <c r="AO12" s="135">
        <v>0.27083333333333331</v>
      </c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113">
        <v>0.24652777777777779</v>
      </c>
      <c r="BC12" s="28"/>
      <c r="BD12" s="28"/>
      <c r="BE12" s="28"/>
      <c r="BF12" s="135">
        <v>0.30138888888888887</v>
      </c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HT12" s="71"/>
      <c r="KB12" s="71">
        <v>0.30625000000000002</v>
      </c>
      <c r="KC12" s="71">
        <v>0.27986111111111112</v>
      </c>
      <c r="KI12" s="71">
        <v>0.41875000000000001</v>
      </c>
      <c r="KL12" s="71">
        <v>0.43888888888888888</v>
      </c>
      <c r="KT12" s="71">
        <v>0.29097222222222224</v>
      </c>
    </row>
    <row r="13" spans="1:370" x14ac:dyDescent="0.25">
      <c r="A13" s="106">
        <v>12</v>
      </c>
      <c r="B13" s="107"/>
      <c r="C13" s="96">
        <v>0</v>
      </c>
      <c r="D13" s="107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107">
        <v>0</v>
      </c>
      <c r="L13" s="96">
        <v>0</v>
      </c>
      <c r="M13" s="96">
        <v>0</v>
      </c>
      <c r="N13" s="96">
        <v>0</v>
      </c>
      <c r="O13" s="104">
        <v>0</v>
      </c>
      <c r="P13" s="49">
        <v>0</v>
      </c>
      <c r="Q13" s="121">
        <v>0</v>
      </c>
      <c r="R13" s="48">
        <v>0</v>
      </c>
      <c r="S13" s="48">
        <v>0</v>
      </c>
      <c r="T13" s="121"/>
      <c r="U13" s="121"/>
      <c r="V13" s="121"/>
      <c r="W13" s="121"/>
      <c r="X13" s="121"/>
      <c r="Y13" s="48">
        <v>0</v>
      </c>
      <c r="Z13" s="121"/>
      <c r="AA13" s="121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113">
        <v>0.25069444444444444</v>
      </c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KB13" s="71">
        <v>0.31111111111111112</v>
      </c>
      <c r="KC13" s="71">
        <v>0.28680555555555554</v>
      </c>
      <c r="KI13" s="71">
        <v>0.4201388888888889</v>
      </c>
    </row>
    <row r="14" spans="1:370" x14ac:dyDescent="0.25">
      <c r="A14" s="92" t="s">
        <v>203</v>
      </c>
      <c r="B14" s="95">
        <f>B8-B2</f>
        <v>5.4861111111111083E-2</v>
      </c>
      <c r="C14" s="95">
        <f>C8-C2</f>
        <v>2.8472222222222232E-2</v>
      </c>
      <c r="D14" s="95">
        <f t="shared" ref="D14:K14" si="0">D8-D2</f>
        <v>0</v>
      </c>
      <c r="E14" s="95">
        <f>E7-E2</f>
        <v>2.4305555555555552E-2</v>
      </c>
      <c r="F14" s="95">
        <f>F5-F2</f>
        <v>3.8194444444444448E-2</v>
      </c>
      <c r="G14" s="95">
        <f>G7-G2</f>
        <v>2.5694444444444464E-2</v>
      </c>
      <c r="H14" s="95">
        <f>H10-H2</f>
        <v>4.9999999999999989E-2</v>
      </c>
      <c r="I14" s="95">
        <f t="shared" ref="I14:J14" si="1">I10-I2</f>
        <v>3.8194444444444448E-2</v>
      </c>
      <c r="J14" s="95">
        <f t="shared" si="1"/>
        <v>4.3750000000000011E-2</v>
      </c>
      <c r="K14" s="95">
        <f t="shared" si="0"/>
        <v>0</v>
      </c>
      <c r="L14" s="95">
        <f>L9-L2</f>
        <v>4.7222222222222221E-2</v>
      </c>
      <c r="M14" s="95">
        <f>M10-M2</f>
        <v>2.9861111111111116E-2</v>
      </c>
      <c r="N14" s="95">
        <f>N8-N2</f>
        <v>2.0138888888888928E-2</v>
      </c>
      <c r="O14" s="95">
        <f>O8-O2</f>
        <v>3.7500000000000033E-2</v>
      </c>
      <c r="P14" s="95">
        <f>P9-P2</f>
        <v>4.3749999999999983E-2</v>
      </c>
      <c r="Q14" s="132">
        <f>Q12-Q2</f>
        <v>3.7500000000000033E-2</v>
      </c>
      <c r="R14" s="132">
        <f>R12-R2</f>
        <v>0</v>
      </c>
      <c r="S14" s="132">
        <f>S9-S2</f>
        <v>4.5833333333333337E-2</v>
      </c>
      <c r="T14" s="132">
        <f>T11-T2</f>
        <v>4.0972222222222243E-2</v>
      </c>
      <c r="U14" s="132">
        <f>U10-U2</f>
        <v>4.4444444444444425E-2</v>
      </c>
      <c r="V14" s="132">
        <f>V9-V2</f>
        <v>2.4999999999999967E-2</v>
      </c>
      <c r="W14" s="132">
        <f>W11-W2</f>
        <v>2.9861111111111144E-2</v>
      </c>
      <c r="X14" s="132">
        <f>X8-X2</f>
        <v>2.2916666666666696E-2</v>
      </c>
      <c r="Y14" s="132">
        <f>Y8-Y2</f>
        <v>0</v>
      </c>
      <c r="Z14" s="132">
        <f>Z12-Z2</f>
        <v>3.472222222222221E-2</v>
      </c>
      <c r="AA14" s="132">
        <f>AA9-AA2</f>
        <v>4.5833333333333309E-2</v>
      </c>
      <c r="AB14" s="132">
        <f>AB7-AB2</f>
        <v>3.2638888888888856E-2</v>
      </c>
      <c r="AC14" s="132">
        <f>AC8-AC2</f>
        <v>2.6388888888888851E-2</v>
      </c>
      <c r="AD14" s="132">
        <f>AD11-AD2</f>
        <v>3.4027777777777768E-2</v>
      </c>
      <c r="AE14" s="132">
        <f>AE9-AE2</f>
        <v>2.0833333333333315E-2</v>
      </c>
      <c r="AF14" s="132">
        <f t="shared" ref="AF14:CJ14" si="2">AF11-AF2</f>
        <v>0</v>
      </c>
      <c r="AG14" s="132">
        <f>AG9-AG2</f>
        <v>2.9861111111111116E-2</v>
      </c>
      <c r="AH14" s="132">
        <f>AH7-AH2</f>
        <v>2.8472222222222232E-2</v>
      </c>
      <c r="AI14" s="132">
        <f>AI6-AI2</f>
        <v>3.3333333333333381E-2</v>
      </c>
      <c r="AJ14" s="132">
        <f t="shared" si="2"/>
        <v>3.4027777777777768E-2</v>
      </c>
      <c r="AK14" s="132">
        <f t="shared" si="2"/>
        <v>4.1666666666666685E-2</v>
      </c>
      <c r="AL14" s="132">
        <f>AL13-AL2</f>
        <v>5.3472222222222227E-2</v>
      </c>
      <c r="AM14" s="132">
        <f t="shared" si="2"/>
        <v>0</v>
      </c>
      <c r="AN14" s="132">
        <f t="shared" si="2"/>
        <v>5.4166666666666669E-2</v>
      </c>
      <c r="AO14" s="132">
        <f>AO12-AO2</f>
        <v>4.1666666666666657E-2</v>
      </c>
      <c r="AP14" s="132">
        <f>AP4-AP2</f>
        <v>1.3194444444444425E-2</v>
      </c>
      <c r="AQ14" s="132">
        <f>AQ6-AQ2</f>
        <v>2.0138888888888873E-2</v>
      </c>
      <c r="AR14" s="132">
        <f t="shared" si="2"/>
        <v>4.1666666666666685E-2</v>
      </c>
      <c r="AS14" s="132">
        <f>AS6-AS2</f>
        <v>4.1666666666666685E-2</v>
      </c>
      <c r="AT14" s="132">
        <f t="shared" si="2"/>
        <v>0</v>
      </c>
      <c r="AU14" s="132">
        <f t="shared" si="2"/>
        <v>4.1666666666666657E-2</v>
      </c>
      <c r="AV14" s="132">
        <f>AV7-AV2</f>
        <v>2.7083333333333348E-2</v>
      </c>
      <c r="AW14" s="132">
        <f>AW10-AW2</f>
        <v>4.2361111111111099E-2</v>
      </c>
      <c r="AX14" s="132">
        <f>AX7-AX2</f>
        <v>3.9583333333333331E-2</v>
      </c>
      <c r="AY14" s="132">
        <f>AY10-AY2</f>
        <v>3.6805555555555536E-2</v>
      </c>
      <c r="AZ14" s="132">
        <f>AZ8-AZ2</f>
        <v>2.7777777777777735E-2</v>
      </c>
      <c r="BA14" s="132">
        <f t="shared" si="2"/>
        <v>0</v>
      </c>
      <c r="BB14" s="132">
        <f>BB12-BB2</f>
        <v>3.7500000000000006E-2</v>
      </c>
      <c r="BC14" s="132">
        <f>BC8-BC2</f>
        <v>3.0555555555555558E-2</v>
      </c>
      <c r="BD14" s="132">
        <f>BD9-BD2</f>
        <v>6.8055555555555536E-2</v>
      </c>
      <c r="BE14" s="132">
        <f t="shared" si="2"/>
        <v>4.5833333333333337E-2</v>
      </c>
      <c r="BF14" s="132">
        <f t="shared" si="2"/>
        <v>5.3472222222222227E-2</v>
      </c>
      <c r="BG14" s="132">
        <f>BG2-BG8</f>
        <v>2.0833333333333315E-2</v>
      </c>
      <c r="BH14" s="132">
        <f t="shared" si="2"/>
        <v>0</v>
      </c>
      <c r="BI14" s="132">
        <f t="shared" si="2"/>
        <v>4.1666666666666685E-2</v>
      </c>
      <c r="BJ14" s="132">
        <f t="shared" si="2"/>
        <v>3.3333333333333326E-2</v>
      </c>
      <c r="BK14" s="132">
        <f>BK8-BK2</f>
        <v>2.2916666666666696E-2</v>
      </c>
      <c r="BL14" s="132">
        <f>BL7-BL2</f>
        <v>3.4027777777777768E-2</v>
      </c>
      <c r="BM14" s="132">
        <f t="shared" si="2"/>
        <v>4.0972222222222215E-2</v>
      </c>
      <c r="BN14" s="132">
        <f>BN7-BN2</f>
        <v>1.7361111111111049E-2</v>
      </c>
      <c r="BO14" s="132">
        <f t="shared" si="2"/>
        <v>0</v>
      </c>
      <c r="BP14" s="132">
        <f>BP9-BP2</f>
        <v>3.888888888888889E-2</v>
      </c>
      <c r="BQ14" s="132">
        <f>BQ9-BQ2</f>
        <v>2.5694444444444464E-2</v>
      </c>
      <c r="BR14" s="132">
        <f>BR10-BR2</f>
        <v>2.5000000000000022E-2</v>
      </c>
      <c r="BS14" s="132">
        <f>BS6-BS2</f>
        <v>-0.95972222222222214</v>
      </c>
      <c r="BT14" s="132">
        <f>BT9-BT2</f>
        <v>3.2638888888888891E-2</v>
      </c>
      <c r="BU14" s="132">
        <f>BU10-BU2</f>
        <v>4.0277777777777746E-2</v>
      </c>
      <c r="BV14" s="132">
        <f t="shared" si="2"/>
        <v>0</v>
      </c>
      <c r="BW14" s="132">
        <f t="shared" si="2"/>
        <v>4.0277777777777773E-2</v>
      </c>
      <c r="BX14" s="132">
        <f>BX9-BX2</f>
        <v>2.9861111111111116E-2</v>
      </c>
      <c r="BY14" s="132">
        <f>BY10-BY2</f>
        <v>3.9583333333333331E-2</v>
      </c>
      <c r="BZ14" s="132">
        <f>BZ9-BZ2</f>
        <v>3.9583333333333331E-2</v>
      </c>
      <c r="CA14" s="132">
        <f>CA8-CA2</f>
        <v>3.4027777777777768E-2</v>
      </c>
      <c r="CB14" s="132">
        <f>CB9-CB2</f>
        <v>3.9583333333333304E-2</v>
      </c>
      <c r="CC14" s="132">
        <f t="shared" si="2"/>
        <v>0</v>
      </c>
      <c r="CD14" s="132">
        <f>CD10-CD2</f>
        <v>4.0972222222222215E-2</v>
      </c>
      <c r="CE14" s="132">
        <f>CE9-CE2</f>
        <v>3.9583333333333331E-2</v>
      </c>
      <c r="CF14" s="132">
        <f>CF9-CF2</f>
        <v>6.5277777777777768E-2</v>
      </c>
      <c r="CG14" s="132">
        <f>CG8-CG2</f>
        <v>3.6805555555555564E-2</v>
      </c>
      <c r="CH14" s="132">
        <f>CH10-CH2</f>
        <v>2.361111111111111E-2</v>
      </c>
      <c r="CI14" s="132">
        <f>CI9-CI2</f>
        <v>3.6805555555555564E-2</v>
      </c>
      <c r="CJ14" s="132">
        <f t="shared" si="2"/>
        <v>0</v>
      </c>
      <c r="CK14" s="132">
        <f>CK10-CK2</f>
        <v>4.1666666666666685E-2</v>
      </c>
      <c r="CL14" s="132">
        <f>CL8-CL2</f>
        <v>3.9583333333333359E-2</v>
      </c>
      <c r="CM14" s="132">
        <f>CM10-CM2</f>
        <v>4.0972222222222243E-2</v>
      </c>
      <c r="CN14" s="132">
        <f>CN8-CN2</f>
        <v>4.0972222222222215E-2</v>
      </c>
      <c r="CO14" s="132">
        <f t="shared" ref="CO14:EZ14" si="3">CO8-CO2</f>
        <v>1.8749999999999989E-2</v>
      </c>
      <c r="CP14" s="132">
        <f t="shared" si="3"/>
        <v>2.2222222222222227E-2</v>
      </c>
      <c r="CQ14" s="132">
        <f t="shared" si="3"/>
        <v>0</v>
      </c>
      <c r="CR14" s="132">
        <f t="shared" si="3"/>
        <v>2.4999999999999994E-2</v>
      </c>
      <c r="CS14" s="132">
        <f t="shared" si="3"/>
        <v>3.6111111111111094E-2</v>
      </c>
      <c r="CT14" s="132">
        <f t="shared" si="3"/>
        <v>3.4027777777777768E-2</v>
      </c>
      <c r="CU14" s="132">
        <f t="shared" si="3"/>
        <v>9.7222222222221877E-3</v>
      </c>
      <c r="CV14" s="132">
        <f t="shared" si="3"/>
        <v>3.5416666666666652E-2</v>
      </c>
      <c r="CW14" s="132">
        <f t="shared" si="3"/>
        <v>1.5972222222222193E-2</v>
      </c>
      <c r="CX14" s="132">
        <f t="shared" si="3"/>
        <v>0</v>
      </c>
      <c r="CY14" s="132">
        <f t="shared" si="3"/>
        <v>1.8055555555555575E-2</v>
      </c>
      <c r="CZ14" s="132">
        <f t="shared" si="3"/>
        <v>3.6805555555555536E-2</v>
      </c>
      <c r="DA14" s="132">
        <f t="shared" si="3"/>
        <v>3.2638888888888884E-2</v>
      </c>
      <c r="DB14" s="132">
        <f t="shared" si="3"/>
        <v>2.5000000000000022E-2</v>
      </c>
      <c r="DC14" s="132">
        <f t="shared" si="3"/>
        <v>4.6527777777777779E-2</v>
      </c>
      <c r="DD14" s="132">
        <f t="shared" si="3"/>
        <v>4.3055555555555569E-2</v>
      </c>
      <c r="DE14" s="132">
        <f t="shared" si="3"/>
        <v>0</v>
      </c>
      <c r="DF14" s="132">
        <f t="shared" si="3"/>
        <v>2.0138888888888901E-2</v>
      </c>
      <c r="DG14" s="132">
        <f t="shared" si="3"/>
        <v>2.9861111111111116E-2</v>
      </c>
      <c r="DH14" s="132">
        <f t="shared" si="3"/>
        <v>2.0833333333333343E-2</v>
      </c>
      <c r="DI14" s="132">
        <f t="shared" si="3"/>
        <v>4.0972222222222243E-2</v>
      </c>
      <c r="DJ14" s="132">
        <f t="shared" si="3"/>
        <v>3.4027777777777768E-2</v>
      </c>
      <c r="DK14" s="132">
        <f t="shared" si="3"/>
        <v>3.472222222222221E-2</v>
      </c>
      <c r="DL14" s="132">
        <f t="shared" si="3"/>
        <v>0</v>
      </c>
      <c r="DM14" s="132">
        <f t="shared" si="3"/>
        <v>3.7500000000000006E-2</v>
      </c>
      <c r="DN14" s="132">
        <f t="shared" si="3"/>
        <v>2.9166666666666619E-2</v>
      </c>
      <c r="DO14" s="132">
        <f t="shared" si="3"/>
        <v>2.0138888888888873E-2</v>
      </c>
      <c r="DP14" s="132">
        <f t="shared" si="3"/>
        <v>3.6111111111111122E-2</v>
      </c>
      <c r="DQ14" s="132">
        <f t="shared" si="3"/>
        <v>3.8194444444444448E-2</v>
      </c>
      <c r="DR14" s="132">
        <f t="shared" si="3"/>
        <v>3.125E-2</v>
      </c>
      <c r="DS14" s="132">
        <f t="shared" si="3"/>
        <v>0</v>
      </c>
      <c r="DT14" s="132">
        <f t="shared" si="3"/>
        <v>2.6388888888888878E-2</v>
      </c>
      <c r="DU14" s="132">
        <f t="shared" si="3"/>
        <v>3.125E-2</v>
      </c>
      <c r="DV14" s="132">
        <f>DV8-DV2</f>
        <v>3.2638888888888884E-2</v>
      </c>
      <c r="DW14" s="132">
        <f t="shared" si="3"/>
        <v>4.0972222222222215E-2</v>
      </c>
      <c r="DX14" s="132">
        <f t="shared" si="3"/>
        <v>3.888888888888889E-2</v>
      </c>
      <c r="DY14" s="132">
        <f t="shared" si="3"/>
        <v>4.0972222222222215E-2</v>
      </c>
      <c r="DZ14" s="132">
        <f t="shared" si="3"/>
        <v>0</v>
      </c>
      <c r="EA14" s="132">
        <f t="shared" si="3"/>
        <v>2.2222222222222227E-2</v>
      </c>
      <c r="EB14" s="132">
        <f t="shared" si="3"/>
        <v>3.6805555555555536E-2</v>
      </c>
      <c r="EC14" s="132">
        <f t="shared" si="3"/>
        <v>2.4999999999999994E-2</v>
      </c>
      <c r="ED14" s="132">
        <f t="shared" si="3"/>
        <v>4.0972222222222215E-2</v>
      </c>
      <c r="EE14" s="132">
        <f>EE6-EE2</f>
        <v>4.7222222222222221E-2</v>
      </c>
      <c r="EF14" s="132">
        <f t="shared" si="3"/>
        <v>3.8194444444444448E-2</v>
      </c>
      <c r="EG14" s="132">
        <f t="shared" si="3"/>
        <v>0</v>
      </c>
      <c r="EH14" s="132">
        <f t="shared" si="3"/>
        <v>2.6388888888888878E-2</v>
      </c>
      <c r="EI14" s="132">
        <f t="shared" si="3"/>
        <v>1.7361111111111133E-2</v>
      </c>
      <c r="EJ14" s="132"/>
      <c r="EK14" s="132">
        <f t="shared" si="3"/>
        <v>2.361111111111111E-2</v>
      </c>
      <c r="EL14" s="132">
        <f t="shared" si="3"/>
        <v>0</v>
      </c>
      <c r="EM14" s="132">
        <f t="shared" si="3"/>
        <v>2.4999999999999994E-2</v>
      </c>
      <c r="EN14" s="132">
        <f t="shared" si="3"/>
        <v>3.8194444444444448E-2</v>
      </c>
      <c r="EO14" s="132">
        <f>EO6-EO2</f>
        <v>5.2777777777777812E-2</v>
      </c>
      <c r="EP14" s="132">
        <f t="shared" si="3"/>
        <v>3.125E-2</v>
      </c>
      <c r="EQ14" s="132">
        <f t="shared" si="3"/>
        <v>4.0277777777777801E-2</v>
      </c>
      <c r="ER14" s="132">
        <f t="shared" si="3"/>
        <v>3.0555555555555558E-2</v>
      </c>
      <c r="ES14" s="132">
        <f t="shared" si="3"/>
        <v>2.8472222222222232E-2</v>
      </c>
      <c r="ET14" s="132">
        <f t="shared" si="3"/>
        <v>4.0972222222222215E-2</v>
      </c>
      <c r="EU14" s="132">
        <f t="shared" si="3"/>
        <v>0</v>
      </c>
      <c r="EV14" s="132">
        <f t="shared" si="3"/>
        <v>1.8750000000000017E-2</v>
      </c>
      <c r="EW14" s="132">
        <f t="shared" si="3"/>
        <v>2.4305555555555552E-2</v>
      </c>
      <c r="EX14" s="132">
        <f t="shared" si="3"/>
        <v>3.7500000000000006E-2</v>
      </c>
      <c r="EY14" s="132">
        <f t="shared" si="3"/>
        <v>2.9166666666666674E-2</v>
      </c>
      <c r="EZ14" s="132">
        <f t="shared" si="3"/>
        <v>5.6249999999999967E-2</v>
      </c>
      <c r="FA14" s="132">
        <f t="shared" ref="FA14:FF14" si="4">FA8-FA2</f>
        <v>3.1944444444444442E-2</v>
      </c>
      <c r="FB14" s="132">
        <f t="shared" si="4"/>
        <v>0</v>
      </c>
      <c r="FC14" s="132">
        <f t="shared" si="4"/>
        <v>3.0555555555555558E-2</v>
      </c>
      <c r="FD14" s="132">
        <f t="shared" si="4"/>
        <v>2.0833333333333343E-2</v>
      </c>
      <c r="FE14" s="132">
        <f t="shared" si="4"/>
        <v>2.9166666666666674E-2</v>
      </c>
      <c r="FF14" s="132">
        <f t="shared" si="4"/>
        <v>3.2638888888888884E-2</v>
      </c>
      <c r="FG14" s="132">
        <f t="shared" ref="FG14:FV14" si="5">FG8-FG2</f>
        <v>2.5694444444444464E-2</v>
      </c>
      <c r="FH14" s="132">
        <f t="shared" si="5"/>
        <v>2.4999999999999967E-2</v>
      </c>
      <c r="FI14" s="132">
        <f t="shared" si="5"/>
        <v>3.125E-2</v>
      </c>
      <c r="FJ14" s="132">
        <f t="shared" si="5"/>
        <v>3.4027777777777796E-2</v>
      </c>
      <c r="FK14" s="132">
        <f t="shared" si="5"/>
        <v>4.8611111111111105E-2</v>
      </c>
      <c r="FL14" s="132">
        <f t="shared" si="5"/>
        <v>3.6805555555555564E-2</v>
      </c>
      <c r="FM14" s="132">
        <f t="shared" si="5"/>
        <v>2.9861111111111116E-2</v>
      </c>
      <c r="FN14" s="132">
        <f t="shared" si="5"/>
        <v>2.708333333333332E-2</v>
      </c>
      <c r="FO14" s="132">
        <f t="shared" si="5"/>
        <v>2.9861111111111116E-2</v>
      </c>
      <c r="FP14" s="132">
        <f t="shared" si="5"/>
        <v>3.472222222222221E-2</v>
      </c>
      <c r="FQ14" s="132">
        <f t="shared" si="5"/>
        <v>2.708333333333332E-2</v>
      </c>
      <c r="FR14" s="132">
        <f t="shared" si="5"/>
        <v>2.5694444444444436E-2</v>
      </c>
      <c r="FS14" s="132">
        <f t="shared" si="5"/>
        <v>4.8611111111111105E-2</v>
      </c>
      <c r="FT14" s="132">
        <v>0.22916666666666666</v>
      </c>
      <c r="FU14" s="132">
        <f t="shared" si="5"/>
        <v>1.9444444444444459E-2</v>
      </c>
      <c r="FV14" s="132">
        <f t="shared" si="5"/>
        <v>3.4722222222222238E-2</v>
      </c>
      <c r="FW14" s="132">
        <f t="shared" ref="FW14:GC14" si="6">FW8-FW2</f>
        <v>4.0972222222222243E-2</v>
      </c>
      <c r="FX14" s="132">
        <f t="shared" si="6"/>
        <v>2.5694444444444436E-2</v>
      </c>
      <c r="FY14" s="132">
        <f t="shared" si="6"/>
        <v>2.1527777777777785E-2</v>
      </c>
      <c r="FZ14" s="132">
        <f t="shared" si="6"/>
        <v>3.541666666666668E-2</v>
      </c>
      <c r="GA14" s="132">
        <f t="shared" si="6"/>
        <v>4.8611111111111105E-2</v>
      </c>
      <c r="GB14" s="132">
        <f t="shared" si="6"/>
        <v>2.4305555555555552E-2</v>
      </c>
      <c r="GC14" s="132">
        <f t="shared" si="6"/>
        <v>2.1527777777777785E-2</v>
      </c>
      <c r="GD14" s="132">
        <f t="shared" ref="GD14:IN14" si="7">GD8-GD2</f>
        <v>4.7222222222222221E-2</v>
      </c>
      <c r="GE14" s="132">
        <f t="shared" si="7"/>
        <v>3.1944444444444442E-2</v>
      </c>
      <c r="GF14" s="132">
        <f t="shared" si="7"/>
        <v>4.5138888888888895E-2</v>
      </c>
      <c r="GG14" s="132">
        <f t="shared" si="7"/>
        <v>1.3888888888888895E-2</v>
      </c>
      <c r="GH14" s="132">
        <f t="shared" si="7"/>
        <v>3.5416666666666707E-2</v>
      </c>
      <c r="GI14" s="132">
        <f t="shared" si="7"/>
        <v>3.6805555555555536E-2</v>
      </c>
      <c r="GJ14" s="132">
        <f t="shared" si="7"/>
        <v>1.5277777777777751E-2</v>
      </c>
      <c r="GK14" s="132">
        <f t="shared" si="7"/>
        <v>6.5277777777777768E-2</v>
      </c>
      <c r="GL14" s="132">
        <f t="shared" si="7"/>
        <v>3.1944444444444442E-2</v>
      </c>
      <c r="GM14" s="132">
        <f t="shared" si="7"/>
        <v>3.1944444444444442E-2</v>
      </c>
      <c r="GN14" s="132">
        <f t="shared" si="7"/>
        <v>5.0694444444444431E-2</v>
      </c>
      <c r="GO14" s="132">
        <f t="shared" si="7"/>
        <v>2.6388888888888878E-2</v>
      </c>
      <c r="GP14" s="132">
        <f t="shared" si="7"/>
        <v>3.0555555555555558E-2</v>
      </c>
      <c r="GQ14" s="132">
        <f t="shared" si="7"/>
        <v>4.5833333333333337E-2</v>
      </c>
      <c r="GR14" s="132">
        <f t="shared" si="7"/>
        <v>4.5138888888888895E-2</v>
      </c>
      <c r="GS14" s="132">
        <f t="shared" si="7"/>
        <v>1.9444444444444459E-2</v>
      </c>
      <c r="GT14" s="132">
        <f t="shared" si="7"/>
        <v>1.1111111111111072E-2</v>
      </c>
      <c r="GU14" s="132">
        <f t="shared" si="7"/>
        <v>0</v>
      </c>
      <c r="GV14" s="132">
        <f t="shared" si="7"/>
        <v>1.2500000000000011E-2</v>
      </c>
      <c r="GW14" s="132">
        <f t="shared" si="7"/>
        <v>3.125E-2</v>
      </c>
      <c r="GX14" s="132">
        <f t="shared" si="7"/>
        <v>1.1111111111111072E-2</v>
      </c>
      <c r="GY14" s="132">
        <f t="shared" si="7"/>
        <v>0</v>
      </c>
      <c r="GZ14" s="132">
        <f t="shared" si="7"/>
        <v>4.3055555555555514E-2</v>
      </c>
      <c r="HA14" s="132">
        <f t="shared" si="7"/>
        <v>3.6805555555555536E-2</v>
      </c>
      <c r="HB14" s="132">
        <f t="shared" si="7"/>
        <v>2.361111111111111E-2</v>
      </c>
      <c r="HC14" s="132">
        <f t="shared" si="7"/>
        <v>2.777777777777779E-2</v>
      </c>
      <c r="HD14" s="132">
        <f t="shared" si="7"/>
        <v>3.6111111111111122E-2</v>
      </c>
      <c r="HE14" s="132">
        <f t="shared" si="7"/>
        <v>2.361111111111111E-2</v>
      </c>
      <c r="HF14" s="132">
        <f t="shared" si="7"/>
        <v>3.6805555555555564E-2</v>
      </c>
      <c r="HG14" s="132">
        <f t="shared" si="7"/>
        <v>1.1805555555555569E-2</v>
      </c>
      <c r="HH14" s="132">
        <f t="shared" si="7"/>
        <v>1.3888888888888895E-2</v>
      </c>
      <c r="HI14" s="132">
        <f t="shared" si="7"/>
        <v>4.4444444444444425E-2</v>
      </c>
      <c r="HJ14" s="132">
        <f t="shared" si="7"/>
        <v>5.3472222222222227E-2</v>
      </c>
      <c r="HK14" s="132">
        <f t="shared" si="7"/>
        <v>4.5138888888888895E-2</v>
      </c>
      <c r="HL14" s="132">
        <f t="shared" si="7"/>
        <v>3.9583333333333331E-2</v>
      </c>
      <c r="HM14" s="132">
        <f t="shared" si="7"/>
        <v>3.9583333333333304E-2</v>
      </c>
      <c r="HN14" s="132">
        <f t="shared" si="7"/>
        <v>2.0833333333333259E-3</v>
      </c>
      <c r="HO14" s="132">
        <f t="shared" si="7"/>
        <v>2.9166666666666674E-2</v>
      </c>
      <c r="HP14" s="132">
        <f t="shared" si="7"/>
        <v>1.8749999999999999E-2</v>
      </c>
      <c r="HQ14" s="132">
        <f t="shared" si="7"/>
        <v>4.0972222222222243E-2</v>
      </c>
      <c r="HR14" s="132">
        <f t="shared" si="7"/>
        <v>2.2916666666666641E-2</v>
      </c>
      <c r="HS14" s="132">
        <f t="shared" si="7"/>
        <v>3.3333333333333326E-2</v>
      </c>
      <c r="HT14" s="132">
        <f t="shared" si="7"/>
        <v>2.5000000000000022E-2</v>
      </c>
      <c r="HU14" s="132">
        <f t="shared" si="7"/>
        <v>1.9444444444444486E-2</v>
      </c>
      <c r="HV14" s="132" t="e">
        <f t="shared" si="7"/>
        <v>#VALUE!</v>
      </c>
      <c r="HW14" s="132">
        <f t="shared" si="7"/>
        <v>3.7499999999999978E-2</v>
      </c>
      <c r="HX14" s="132">
        <f t="shared" si="7"/>
        <v>2.3611111111111083E-2</v>
      </c>
      <c r="HY14" s="132">
        <f t="shared" si="7"/>
        <v>3.819444444444442E-2</v>
      </c>
      <c r="HZ14" s="132">
        <f t="shared" si="7"/>
        <v>2.2916666666666641E-2</v>
      </c>
      <c r="IA14" s="132">
        <f t="shared" si="7"/>
        <v>3.6805555555555536E-2</v>
      </c>
      <c r="IB14" s="132" t="e">
        <f t="shared" si="7"/>
        <v>#VALUE!</v>
      </c>
      <c r="IC14" s="132">
        <f>IC9-IC2</f>
        <v>1.5972222222222221E-2</v>
      </c>
      <c r="ID14" s="132">
        <f t="shared" si="7"/>
        <v>2.4305555555555525E-2</v>
      </c>
      <c r="IE14" s="132">
        <f t="shared" si="7"/>
        <v>5.0694444444444431E-2</v>
      </c>
      <c r="IF14" s="132">
        <f t="shared" si="7"/>
        <v>3.194444444444447E-2</v>
      </c>
      <c r="IG14" s="132">
        <f t="shared" si="7"/>
        <v>2.3611111111111138E-2</v>
      </c>
      <c r="IH14" s="132">
        <f t="shared" si="7"/>
        <v>2.083333333333337E-2</v>
      </c>
      <c r="II14" s="132">
        <f t="shared" si="7"/>
        <v>1.9444444444444459E-2</v>
      </c>
      <c r="IJ14" s="132">
        <f t="shared" si="7"/>
        <v>1.7361111111111105E-2</v>
      </c>
      <c r="IK14" s="132">
        <f t="shared" si="7"/>
        <v>3.3333333333333326E-2</v>
      </c>
      <c r="IL14" s="132">
        <f t="shared" si="7"/>
        <v>1.1111111111111127E-2</v>
      </c>
      <c r="IM14" s="132">
        <f t="shared" si="7"/>
        <v>4.3749999999999983E-2</v>
      </c>
      <c r="IN14" s="132">
        <f t="shared" si="7"/>
        <v>3.7500000000000033E-2</v>
      </c>
      <c r="IO14" s="132">
        <f t="shared" ref="IO14:JY14" si="8">IO8-IO2</f>
        <v>2.8472222222222232E-2</v>
      </c>
      <c r="IP14" s="132">
        <f t="shared" si="8"/>
        <v>5.0000000000000017E-2</v>
      </c>
      <c r="IQ14" s="132" t="e">
        <f t="shared" si="8"/>
        <v>#VALUE!</v>
      </c>
      <c r="IR14" s="132">
        <f t="shared" si="8"/>
        <v>1.1805555555555541E-2</v>
      </c>
      <c r="IS14" s="132">
        <f t="shared" si="8"/>
        <v>3.3333333333333326E-2</v>
      </c>
      <c r="IT14" s="132">
        <f t="shared" si="8"/>
        <v>2.0138888888888873E-2</v>
      </c>
      <c r="IU14" s="132">
        <f t="shared" si="8"/>
        <v>4.5138888888888867E-2</v>
      </c>
      <c r="IV14" s="132">
        <f t="shared" si="8"/>
        <v>2.7083333333333348E-2</v>
      </c>
      <c r="IW14" s="132">
        <f t="shared" si="8"/>
        <v>3.4027777777777768E-2</v>
      </c>
      <c r="IX14" s="132" t="e">
        <f t="shared" si="8"/>
        <v>#VALUE!</v>
      </c>
      <c r="IY14" s="132">
        <f t="shared" si="8"/>
        <v>4.9305555555555575E-2</v>
      </c>
      <c r="IZ14" s="132">
        <f t="shared" si="8"/>
        <v>5.3472222222222254E-2</v>
      </c>
      <c r="JA14" s="132">
        <f t="shared" si="8"/>
        <v>2.4999999999999994E-2</v>
      </c>
      <c r="JB14" s="132">
        <f t="shared" si="8"/>
        <v>2.1527777777777812E-2</v>
      </c>
      <c r="JC14" s="132">
        <f t="shared" si="8"/>
        <v>2.0138888888888873E-2</v>
      </c>
      <c r="JD14" s="132">
        <f t="shared" si="8"/>
        <v>2.2222222222222199E-2</v>
      </c>
      <c r="JE14" s="132" t="e">
        <f t="shared" si="8"/>
        <v>#VALUE!</v>
      </c>
      <c r="JF14" s="132">
        <f t="shared" si="8"/>
        <v>4.8611111111111133E-2</v>
      </c>
      <c r="JG14" s="132">
        <f t="shared" si="8"/>
        <v>2.4999999999999994E-2</v>
      </c>
      <c r="JH14" s="132">
        <f t="shared" si="8"/>
        <v>3.7500000000000006E-2</v>
      </c>
      <c r="JI14" s="132">
        <f t="shared" si="8"/>
        <v>3.6805555555555591E-2</v>
      </c>
      <c r="JJ14" s="132">
        <f t="shared" si="8"/>
        <v>4.3055555555555569E-2</v>
      </c>
      <c r="JK14" s="132" t="e">
        <f t="shared" si="8"/>
        <v>#VALUE!</v>
      </c>
      <c r="JL14" s="132" t="e">
        <f t="shared" si="8"/>
        <v>#VALUE!</v>
      </c>
      <c r="JM14" s="132">
        <f t="shared" si="8"/>
        <v>3.7499999999999978E-2</v>
      </c>
      <c r="JN14" s="132">
        <f t="shared" si="8"/>
        <v>3.0555555555555558E-2</v>
      </c>
      <c r="JO14" s="132">
        <f t="shared" si="8"/>
        <v>2.5694444444444464E-2</v>
      </c>
      <c r="JP14" s="132">
        <f t="shared" si="8"/>
        <v>3.0555555555555586E-2</v>
      </c>
      <c r="JQ14" s="132">
        <f t="shared" si="8"/>
        <v>2.777777777777779E-2</v>
      </c>
      <c r="JR14" s="132">
        <f t="shared" si="8"/>
        <v>3.888888888888889E-2</v>
      </c>
      <c r="JS14" s="132">
        <f t="shared" si="8"/>
        <v>2.0833333333333537E-3</v>
      </c>
      <c r="JT14" s="132">
        <f t="shared" si="8"/>
        <v>5.2777777777777812E-2</v>
      </c>
      <c r="JU14" s="132">
        <f t="shared" si="8"/>
        <v>5.1388888888888901E-2</v>
      </c>
      <c r="JV14" s="132">
        <f t="shared" si="8"/>
        <v>3.6111111111111094E-2</v>
      </c>
      <c r="JW14" s="132">
        <f t="shared" si="8"/>
        <v>4.513888888888884E-2</v>
      </c>
      <c r="JX14" s="132">
        <f t="shared" si="8"/>
        <v>2.4999999999999967E-2</v>
      </c>
      <c r="JY14" s="132">
        <f t="shared" si="8"/>
        <v>2.0833333333333315E-2</v>
      </c>
      <c r="JZ14" s="132">
        <f t="shared" ref="JZ14:MK14" si="9">JZ8-JZ2</f>
        <v>3.1944444444444442E-2</v>
      </c>
      <c r="KA14" s="132">
        <f t="shared" si="9"/>
        <v>4.4444444444444453E-2</v>
      </c>
      <c r="KB14" s="132">
        <f t="shared" si="9"/>
        <v>2.9861111111111116E-2</v>
      </c>
      <c r="KC14" s="132">
        <f t="shared" si="9"/>
        <v>3.0555555555555558E-2</v>
      </c>
      <c r="KD14" s="132">
        <f t="shared" si="9"/>
        <v>2.3611111111111083E-2</v>
      </c>
      <c r="KE14" s="132">
        <f t="shared" si="9"/>
        <v>1.5277777777777779E-2</v>
      </c>
      <c r="KF14" s="132">
        <f t="shared" si="9"/>
        <v>5.7638888888888878E-2</v>
      </c>
      <c r="KG14" s="132" t="e">
        <f t="shared" si="9"/>
        <v>#VALUE!</v>
      </c>
      <c r="KH14" s="132">
        <f t="shared" si="9"/>
        <v>4.0972222222222215E-2</v>
      </c>
      <c r="KI14" s="132">
        <f t="shared" si="9"/>
        <v>2.3611111111111083E-2</v>
      </c>
      <c r="KJ14" s="132">
        <f t="shared" si="9"/>
        <v>3.8888888888888917E-2</v>
      </c>
      <c r="KK14" s="132">
        <f t="shared" si="9"/>
        <v>3.6111111111111094E-2</v>
      </c>
      <c r="KL14" s="132">
        <f t="shared" si="9"/>
        <v>4.7222222222222221E-2</v>
      </c>
      <c r="KM14" s="132">
        <f t="shared" si="9"/>
        <v>5.9722222222222232E-2</v>
      </c>
      <c r="KN14" s="132">
        <f t="shared" si="9"/>
        <v>5.6944444444444436E-2</v>
      </c>
      <c r="KO14" s="132">
        <f t="shared" si="9"/>
        <v>2.5694444444444409E-2</v>
      </c>
      <c r="KP14" s="132">
        <f t="shared" si="9"/>
        <v>1.8749999999999989E-2</v>
      </c>
      <c r="KQ14" s="132">
        <f t="shared" si="9"/>
        <v>2.8472222222222204E-2</v>
      </c>
      <c r="KR14" s="132">
        <f t="shared" si="9"/>
        <v>2.777777777777779E-2</v>
      </c>
      <c r="KS14" s="132">
        <f t="shared" si="9"/>
        <v>1.6666666666666663E-2</v>
      </c>
      <c r="KT14" s="132">
        <f t="shared" si="9"/>
        <v>1.8749999999999989E-2</v>
      </c>
      <c r="KU14" s="132">
        <f t="shared" si="9"/>
        <v>0</v>
      </c>
      <c r="KV14" s="132">
        <f t="shared" si="9"/>
        <v>0</v>
      </c>
      <c r="KW14" s="132">
        <f t="shared" si="9"/>
        <v>2.2222222222222254E-2</v>
      </c>
      <c r="KX14" s="132">
        <f t="shared" si="9"/>
        <v>1.5972222222222221E-2</v>
      </c>
      <c r="KY14" s="132">
        <f t="shared" si="9"/>
        <v>1.1111111111111099E-2</v>
      </c>
      <c r="KZ14" s="132">
        <f t="shared" si="9"/>
        <v>6.2499999999999778E-3</v>
      </c>
      <c r="LA14" s="132" t="e">
        <f t="shared" si="9"/>
        <v>#VALUE!</v>
      </c>
      <c r="LB14" s="132" t="e">
        <f t="shared" si="9"/>
        <v>#VALUE!</v>
      </c>
      <c r="LC14" s="132">
        <f t="shared" si="9"/>
        <v>1.6666666666666663E-2</v>
      </c>
      <c r="LD14" s="132">
        <f t="shared" si="9"/>
        <v>4.0972222222222243E-2</v>
      </c>
      <c r="LE14" s="132">
        <f t="shared" si="9"/>
        <v>6.9444444444444753E-3</v>
      </c>
      <c r="LF14" s="132">
        <f t="shared" si="9"/>
        <v>4.3055555555555569E-2</v>
      </c>
      <c r="LG14" s="132">
        <f t="shared" si="9"/>
        <v>1.0416666666666685E-2</v>
      </c>
      <c r="LH14" s="132">
        <f t="shared" si="9"/>
        <v>3.9583333333333331E-2</v>
      </c>
      <c r="LI14" s="132" t="e">
        <f t="shared" si="9"/>
        <v>#VALUE!</v>
      </c>
      <c r="LJ14" s="132">
        <f t="shared" si="9"/>
        <v>2.4305555555555552E-2</v>
      </c>
      <c r="LK14" s="132">
        <f t="shared" si="9"/>
        <v>3.055555555555553E-2</v>
      </c>
      <c r="LL14" s="132">
        <f t="shared" si="9"/>
        <v>3.1944444444444442E-2</v>
      </c>
      <c r="LM14" s="132">
        <f t="shared" si="9"/>
        <v>2.2916666666666696E-2</v>
      </c>
      <c r="LN14" s="132" t="e">
        <f t="shared" si="9"/>
        <v>#VALUE!</v>
      </c>
      <c r="LO14" s="132" t="e">
        <f t="shared" si="9"/>
        <v>#VALUE!</v>
      </c>
      <c r="LP14" s="132" t="e">
        <f t="shared" si="9"/>
        <v>#VALUE!</v>
      </c>
      <c r="LQ14" s="132">
        <f t="shared" si="9"/>
        <v>3.4722222222222099E-3</v>
      </c>
      <c r="LR14" s="132">
        <f t="shared" si="9"/>
        <v>4.8611111111110938E-3</v>
      </c>
      <c r="LS14" s="132">
        <f t="shared" si="9"/>
        <v>0</v>
      </c>
      <c r="LT14" s="132" t="e">
        <f t="shared" si="9"/>
        <v>#VALUE!</v>
      </c>
      <c r="LU14" s="132" t="e">
        <f t="shared" si="9"/>
        <v>#VALUE!</v>
      </c>
      <c r="LV14" s="132" t="e">
        <f t="shared" si="9"/>
        <v>#VALUE!</v>
      </c>
      <c r="LW14" s="132">
        <f t="shared" si="9"/>
        <v>1.8749999999999989E-2</v>
      </c>
      <c r="LX14" s="132">
        <f t="shared" si="9"/>
        <v>3.2638888888888884E-2</v>
      </c>
      <c r="LY14" s="132">
        <f t="shared" si="9"/>
        <v>2.3611111111111138E-2</v>
      </c>
      <c r="LZ14" s="132">
        <f t="shared" si="9"/>
        <v>0</v>
      </c>
      <c r="MA14" s="132">
        <f t="shared" si="9"/>
        <v>0</v>
      </c>
      <c r="MB14" s="132">
        <f t="shared" si="9"/>
        <v>0</v>
      </c>
      <c r="MC14" s="132">
        <f t="shared" si="9"/>
        <v>0</v>
      </c>
      <c r="MD14" s="132">
        <f t="shared" si="9"/>
        <v>0</v>
      </c>
      <c r="ME14" s="132">
        <f t="shared" si="9"/>
        <v>0</v>
      </c>
      <c r="MF14" s="132">
        <f t="shared" si="9"/>
        <v>0</v>
      </c>
      <c r="MG14" s="132">
        <f t="shared" si="9"/>
        <v>0</v>
      </c>
      <c r="MH14" s="132">
        <f t="shared" si="9"/>
        <v>0</v>
      </c>
      <c r="MI14" s="132">
        <f t="shared" si="9"/>
        <v>0</v>
      </c>
      <c r="MJ14" s="132">
        <f t="shared" si="9"/>
        <v>0</v>
      </c>
      <c r="MK14" s="132">
        <f t="shared" si="9"/>
        <v>0</v>
      </c>
      <c r="ML14" s="132">
        <f t="shared" ref="ML14:NF14" si="10">ML8-ML2</f>
        <v>0</v>
      </c>
      <c r="MM14" s="132">
        <f t="shared" si="10"/>
        <v>0</v>
      </c>
      <c r="MN14" s="132">
        <f t="shared" si="10"/>
        <v>0</v>
      </c>
      <c r="MO14" s="132">
        <f t="shared" si="10"/>
        <v>0</v>
      </c>
      <c r="MP14" s="132">
        <f t="shared" si="10"/>
        <v>0</v>
      </c>
      <c r="MQ14" s="132">
        <f t="shared" si="10"/>
        <v>0</v>
      </c>
      <c r="MR14" s="132">
        <f t="shared" si="10"/>
        <v>0</v>
      </c>
      <c r="MS14" s="132">
        <f t="shared" si="10"/>
        <v>0</v>
      </c>
      <c r="MT14" s="132">
        <f t="shared" si="10"/>
        <v>0</v>
      </c>
      <c r="MU14" s="132">
        <f t="shared" si="10"/>
        <v>0</v>
      </c>
      <c r="MV14" s="132">
        <f t="shared" si="10"/>
        <v>0</v>
      </c>
      <c r="MW14" s="132">
        <f t="shared" si="10"/>
        <v>0</v>
      </c>
      <c r="MX14" s="132">
        <f t="shared" si="10"/>
        <v>0</v>
      </c>
      <c r="MY14" s="132">
        <f t="shared" si="10"/>
        <v>0</v>
      </c>
      <c r="MZ14" s="132">
        <f t="shared" si="10"/>
        <v>0</v>
      </c>
      <c r="NA14" s="132">
        <f t="shared" si="10"/>
        <v>0</v>
      </c>
      <c r="NB14" s="132">
        <f t="shared" si="10"/>
        <v>0</v>
      </c>
      <c r="NC14" s="132">
        <f t="shared" si="10"/>
        <v>0</v>
      </c>
      <c r="ND14" s="132">
        <f t="shared" si="10"/>
        <v>0</v>
      </c>
      <c r="NE14" s="132">
        <f t="shared" si="10"/>
        <v>0</v>
      </c>
      <c r="NF14" s="132">
        <f t="shared" si="10"/>
        <v>0</v>
      </c>
    </row>
    <row r="15" spans="1:370" x14ac:dyDescent="0.25">
      <c r="A15" s="1"/>
    </row>
    <row r="16" spans="1:370" x14ac:dyDescent="0.25">
      <c r="A16" s="91"/>
      <c r="B16" s="71" t="s">
        <v>204</v>
      </c>
    </row>
    <row r="17" spans="2:124" x14ac:dyDescent="0.25">
      <c r="B17" s="72">
        <v>0.21666666666666667</v>
      </c>
      <c r="C17" s="72">
        <v>0.24791666666666667</v>
      </c>
      <c r="D17" s="73">
        <v>0</v>
      </c>
      <c r="E17" s="72">
        <v>0.19930555555555557</v>
      </c>
      <c r="F17" s="72">
        <v>0.22708333333333333</v>
      </c>
      <c r="G17" s="72">
        <v>0.24930555555555556</v>
      </c>
      <c r="H17" s="72">
        <v>0.33194444444444443</v>
      </c>
      <c r="I17" s="72">
        <v>0.21388888888888888</v>
      </c>
      <c r="J17" s="72">
        <v>0.26250000000000001</v>
      </c>
      <c r="K17" s="73">
        <v>0</v>
      </c>
      <c r="L17" s="72">
        <v>0.1736111111111111</v>
      </c>
      <c r="M17" s="72">
        <v>0.25277777777777777</v>
      </c>
      <c r="N17" s="74"/>
      <c r="O17" s="74"/>
      <c r="P17" s="74"/>
      <c r="Q17" s="74"/>
      <c r="R17" s="74"/>
      <c r="S17" s="74"/>
      <c r="T17" s="74"/>
      <c r="U17" s="74"/>
      <c r="V17" s="74"/>
      <c r="W17" s="74"/>
    </row>
    <row r="18" spans="2:124" x14ac:dyDescent="0.25">
      <c r="B18" s="72">
        <v>0.22013888888888888</v>
      </c>
      <c r="C18" s="72">
        <v>0.25138888888888888</v>
      </c>
      <c r="D18" s="73">
        <v>0</v>
      </c>
      <c r="E18" s="72">
        <v>0.20208333333333334</v>
      </c>
      <c r="F18" s="72">
        <v>0.22916666666666666</v>
      </c>
      <c r="G18" s="72">
        <v>0.25624999999999998</v>
      </c>
      <c r="H18" s="72">
        <v>0.33402777777777776</v>
      </c>
      <c r="I18" s="72">
        <v>0.22500000000000001</v>
      </c>
      <c r="J18" s="72">
        <v>0.26597222222222222</v>
      </c>
      <c r="K18" s="73">
        <v>0</v>
      </c>
      <c r="L18" s="72">
        <v>0.17847222222222223</v>
      </c>
      <c r="M18" s="72">
        <v>0.25833333333333336</v>
      </c>
      <c r="N18" s="74"/>
      <c r="O18" s="74"/>
      <c r="P18" s="74"/>
      <c r="Q18" s="74"/>
      <c r="R18" s="74"/>
      <c r="S18" s="74"/>
      <c r="T18" s="74"/>
      <c r="U18" s="74"/>
      <c r="V18" s="74"/>
      <c r="W18" s="74"/>
    </row>
    <row r="19" spans="2:124" x14ac:dyDescent="0.25">
      <c r="B19" s="72">
        <v>0.22847222222222222</v>
      </c>
      <c r="C19" s="72">
        <v>0.25555555555555554</v>
      </c>
      <c r="D19" s="73">
        <v>0</v>
      </c>
      <c r="E19" s="72">
        <v>0.2048611111111111</v>
      </c>
      <c r="F19" s="72">
        <v>0.24166666666666667</v>
      </c>
      <c r="G19" s="72">
        <v>0.26458333333333334</v>
      </c>
      <c r="H19" s="72">
        <v>0.34513888888888888</v>
      </c>
      <c r="I19" s="72">
        <v>0.2298611111111111</v>
      </c>
      <c r="J19" s="72">
        <v>0.27083333333333331</v>
      </c>
      <c r="K19" s="73">
        <v>0</v>
      </c>
      <c r="L19" s="72">
        <v>0.18541666666666667</v>
      </c>
      <c r="M19" s="72">
        <v>0.2638888888888889</v>
      </c>
      <c r="N19" s="74"/>
      <c r="O19" s="74"/>
      <c r="P19" s="74"/>
      <c r="Q19" s="74"/>
      <c r="R19" s="74"/>
      <c r="S19" s="74"/>
      <c r="T19" s="74"/>
      <c r="U19" s="74"/>
      <c r="V19" s="74"/>
      <c r="W19" s="74"/>
    </row>
    <row r="20" spans="2:124" x14ac:dyDescent="0.25">
      <c r="B20" s="72">
        <v>0.25972222222222224</v>
      </c>
      <c r="C20" s="72">
        <v>0.25972222222222224</v>
      </c>
      <c r="D20" s="73">
        <v>0</v>
      </c>
      <c r="E20" s="72">
        <v>0.20902777777777778</v>
      </c>
      <c r="F20" s="72">
        <v>0.26527777777777778</v>
      </c>
      <c r="G20" s="72">
        <v>0.26805555555555555</v>
      </c>
      <c r="H20" s="72">
        <v>0.34722222222222221</v>
      </c>
      <c r="I20" s="72">
        <v>0.2326388888888889</v>
      </c>
      <c r="J20" s="72">
        <v>0.27430555555555558</v>
      </c>
      <c r="K20" s="73">
        <v>0</v>
      </c>
      <c r="L20" s="72">
        <v>0.1986111111111111</v>
      </c>
      <c r="M20" s="72">
        <v>0.26666666666666666</v>
      </c>
      <c r="N20" s="74"/>
      <c r="O20" s="74"/>
      <c r="P20" s="74"/>
      <c r="Q20" s="74"/>
      <c r="R20" s="74"/>
      <c r="S20" s="131"/>
      <c r="T20" s="74"/>
      <c r="U20" s="74"/>
      <c r="V20" s="74"/>
      <c r="W20" s="74"/>
    </row>
    <row r="21" spans="2:124" x14ac:dyDescent="0.25">
      <c r="B21" s="72">
        <v>0.26250000000000001</v>
      </c>
      <c r="C21" s="72">
        <v>0.2638888888888889</v>
      </c>
      <c r="D21" s="73">
        <v>0</v>
      </c>
      <c r="E21" s="72">
        <v>0.21041666666666667</v>
      </c>
      <c r="F21" s="72">
        <v>0.26874999999999999</v>
      </c>
      <c r="G21" s="72">
        <v>0.27083333333333331</v>
      </c>
      <c r="H21" s="72">
        <v>0.34930555555555554</v>
      </c>
      <c r="I21" s="72">
        <v>0.23541666666666666</v>
      </c>
      <c r="J21" s="72">
        <v>0.27916666666666667</v>
      </c>
      <c r="K21" s="73">
        <v>0</v>
      </c>
      <c r="L21" s="72">
        <v>0.20208333333333334</v>
      </c>
      <c r="M21" s="72">
        <v>0.27013888888888887</v>
      </c>
      <c r="N21" s="74"/>
      <c r="O21" s="74"/>
      <c r="P21" s="74"/>
      <c r="Q21" s="74"/>
      <c r="R21" s="74"/>
      <c r="S21" s="74"/>
      <c r="T21" s="74"/>
      <c r="U21" s="74"/>
      <c r="V21" s="74"/>
      <c r="W21" s="74"/>
    </row>
    <row r="22" spans="2:124" x14ac:dyDescent="0.25">
      <c r="B22" s="72">
        <v>0.26458333333333334</v>
      </c>
      <c r="C22" s="72">
        <v>0.27083333333333331</v>
      </c>
      <c r="D22" s="73">
        <v>0</v>
      </c>
      <c r="E22" s="72">
        <v>0.22361111111111112</v>
      </c>
      <c r="F22" s="73"/>
      <c r="G22" s="72">
        <v>0.27500000000000002</v>
      </c>
      <c r="H22" s="72">
        <v>0.35208333333333336</v>
      </c>
      <c r="I22" s="72">
        <v>0.2388888888888889</v>
      </c>
      <c r="J22" s="72">
        <v>0.28333333333333333</v>
      </c>
      <c r="K22" s="73">
        <v>0</v>
      </c>
      <c r="L22" s="72">
        <v>0.21041666666666667</v>
      </c>
      <c r="M22" s="72">
        <v>0.27291666666666664</v>
      </c>
      <c r="N22" s="74"/>
      <c r="O22" s="74"/>
      <c r="P22" s="74"/>
      <c r="Q22" s="74"/>
      <c r="R22" s="74"/>
      <c r="S22" s="74"/>
      <c r="T22" s="74"/>
      <c r="U22" s="74"/>
      <c r="V22" s="74"/>
      <c r="W22" s="74"/>
    </row>
    <row r="23" spans="2:124" x14ac:dyDescent="0.25">
      <c r="B23" s="72">
        <v>0.27152777777777776</v>
      </c>
      <c r="C23" s="72">
        <v>0.27638888888888891</v>
      </c>
      <c r="D23" s="73">
        <v>0</v>
      </c>
      <c r="E23" s="73"/>
      <c r="F23" s="73"/>
      <c r="G23" s="73"/>
      <c r="H23" s="72">
        <v>0.35902777777777778</v>
      </c>
      <c r="I23" s="72">
        <v>0.24166666666666667</v>
      </c>
      <c r="J23" s="72">
        <v>0.28819444444444442</v>
      </c>
      <c r="K23" s="73">
        <v>0</v>
      </c>
      <c r="L23" s="72">
        <v>0.21736111111111112</v>
      </c>
      <c r="M23" s="72">
        <v>0.27569444444444446</v>
      </c>
      <c r="N23" s="74"/>
      <c r="O23" s="74"/>
      <c r="P23" s="74"/>
      <c r="Q23" s="74"/>
      <c r="R23" s="74"/>
      <c r="S23" s="74"/>
      <c r="T23" s="74"/>
      <c r="U23" s="74"/>
      <c r="V23" s="74"/>
      <c r="W23" s="74"/>
      <c r="DT23" t="s">
        <v>205</v>
      </c>
    </row>
    <row r="24" spans="2:124" x14ac:dyDescent="0.25">
      <c r="B24" s="73"/>
      <c r="C24" s="73"/>
      <c r="D24" s="73"/>
      <c r="E24" s="73"/>
      <c r="F24" s="73"/>
      <c r="G24" s="73"/>
      <c r="H24" s="72">
        <v>0.36458333333333331</v>
      </c>
      <c r="I24" s="72">
        <v>0.24444444444444444</v>
      </c>
      <c r="J24" s="72">
        <v>0.2951388888888889</v>
      </c>
      <c r="K24" s="73"/>
      <c r="L24" s="72">
        <v>0.22083333333333333</v>
      </c>
      <c r="M24" s="72">
        <v>0.27847222222222223</v>
      </c>
      <c r="N24" s="74"/>
      <c r="O24" s="74"/>
      <c r="P24" s="74"/>
      <c r="Q24" s="74"/>
      <c r="R24" s="74"/>
      <c r="S24" s="74"/>
      <c r="T24" s="74"/>
      <c r="U24" s="74"/>
      <c r="V24" s="74"/>
      <c r="W24" s="74"/>
      <c r="DT24">
        <v>3</v>
      </c>
    </row>
    <row r="25" spans="2:124" x14ac:dyDescent="0.25">
      <c r="B25" s="73"/>
      <c r="C25" s="73"/>
      <c r="D25" s="73"/>
      <c r="E25" s="73"/>
      <c r="F25" s="73"/>
      <c r="G25" s="73"/>
      <c r="H25" s="72">
        <v>0.38194444444444442</v>
      </c>
      <c r="I25" s="72">
        <v>0.25208333333333333</v>
      </c>
      <c r="J25" s="72">
        <v>0.30625000000000002</v>
      </c>
      <c r="K25" s="73"/>
      <c r="L25" s="73"/>
      <c r="M25" s="72">
        <v>0.28263888888888888</v>
      </c>
      <c r="N25" s="74"/>
      <c r="O25" s="74"/>
      <c r="P25" s="74"/>
      <c r="Q25" s="74"/>
      <c r="R25" s="74"/>
      <c r="S25" s="74"/>
      <c r="T25" s="74"/>
      <c r="U25" s="74"/>
      <c r="V25" s="74"/>
      <c r="W25" s="74"/>
    </row>
    <row r="26" spans="2:124" x14ac:dyDescent="0.25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4"/>
      <c r="O26" s="74"/>
      <c r="P26" s="74"/>
      <c r="Q26" s="74"/>
      <c r="R26" s="74"/>
      <c r="S26" s="74"/>
      <c r="T26" s="74"/>
      <c r="U26" s="74"/>
      <c r="V26" s="74"/>
      <c r="W26" s="74"/>
    </row>
    <row r="27" spans="2:124" x14ac:dyDescent="0.25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</row>
    <row r="28" spans="2:124" x14ac:dyDescent="0.25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</row>
    <row r="39" spans="100:100" x14ac:dyDescent="0.25">
      <c r="CV39" s="71">
        <v>0.22152777777777777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78B2B-2F44-44B4-BBBE-A6C87AD7567C}">
  <sheetPr>
    <tabColor rgb="FFFFFF00"/>
  </sheetPr>
  <dimension ref="A1:AA381"/>
  <sheetViews>
    <sheetView topLeftCell="A20" zoomScaleNormal="100" workbookViewId="0">
      <selection activeCell="A20" sqref="A20"/>
    </sheetView>
  </sheetViews>
  <sheetFormatPr baseColWidth="10" defaultColWidth="8.7109375" defaultRowHeight="17.25" customHeight="1" x14ac:dyDescent="0.25"/>
  <cols>
    <col min="2" max="2" width="9.28515625" bestFit="1" customWidth="1"/>
    <col min="8" max="8" width="9.28515625" bestFit="1" customWidth="1"/>
    <col min="10" max="10" width="27" customWidth="1"/>
    <col min="12" max="12" width="83.7109375" customWidth="1"/>
    <col min="13" max="13" width="20" customWidth="1"/>
  </cols>
  <sheetData>
    <row r="1" spans="1:27" ht="17.25" customHeight="1" x14ac:dyDescent="0.25">
      <c r="B1" s="1"/>
    </row>
    <row r="2" spans="1:27" ht="17.25" customHeight="1" x14ac:dyDescent="0.55000000000000004">
      <c r="A2" s="308" t="s">
        <v>300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</row>
    <row r="3" spans="1:27" ht="17.25" customHeight="1" x14ac:dyDescent="0.25">
      <c r="B3" s="1"/>
    </row>
    <row r="4" spans="1:27" ht="17.25" customHeight="1" x14ac:dyDescent="0.25">
      <c r="A4" s="300" t="s">
        <v>1</v>
      </c>
      <c r="B4" s="298" t="s">
        <v>2</v>
      </c>
      <c r="C4" s="298" t="s">
        <v>3</v>
      </c>
      <c r="D4" s="298" t="s">
        <v>4</v>
      </c>
      <c r="E4" s="298" t="s">
        <v>5</v>
      </c>
      <c r="F4" s="298" t="s">
        <v>6</v>
      </c>
      <c r="G4" s="298" t="s">
        <v>7</v>
      </c>
      <c r="H4" s="298" t="s">
        <v>8</v>
      </c>
      <c r="I4" s="298" t="s">
        <v>9</v>
      </c>
      <c r="J4" s="302" t="s">
        <v>10</v>
      </c>
      <c r="K4" s="298" t="s">
        <v>11</v>
      </c>
      <c r="L4" s="298" t="s">
        <v>12</v>
      </c>
      <c r="M4" s="298" t="s">
        <v>13</v>
      </c>
      <c r="N4" s="298" t="s">
        <v>14</v>
      </c>
      <c r="O4" s="305"/>
      <c r="P4" s="298" t="s">
        <v>15</v>
      </c>
      <c r="Q4" s="305"/>
      <c r="R4" s="306" t="s">
        <v>16</v>
      </c>
      <c r="S4" s="307"/>
      <c r="T4" s="305" t="s">
        <v>17</v>
      </c>
      <c r="U4" s="298" t="s">
        <v>18</v>
      </c>
      <c r="V4" s="298" t="s">
        <v>19</v>
      </c>
      <c r="W4" s="298" t="s">
        <v>20</v>
      </c>
      <c r="X4" s="298" t="s">
        <v>21</v>
      </c>
      <c r="Y4" s="302" t="s">
        <v>22</v>
      </c>
      <c r="Z4" s="298" t="s">
        <v>207</v>
      </c>
      <c r="AA4" s="300" t="s">
        <v>24</v>
      </c>
    </row>
    <row r="5" spans="1:27" ht="17.25" customHeight="1" x14ac:dyDescent="0.25">
      <c r="A5" s="301"/>
      <c r="B5" s="299"/>
      <c r="C5" s="299"/>
      <c r="D5" s="299"/>
      <c r="E5" s="299"/>
      <c r="F5" s="299"/>
      <c r="G5" s="299"/>
      <c r="H5" s="299"/>
      <c r="I5" s="299"/>
      <c r="J5" s="303"/>
      <c r="K5" s="299"/>
      <c r="L5" s="299"/>
      <c r="M5" s="299"/>
      <c r="N5" s="298" t="s">
        <v>25</v>
      </c>
      <c r="O5" s="298" t="s">
        <v>26</v>
      </c>
      <c r="P5" s="298" t="s">
        <v>25</v>
      </c>
      <c r="Q5" s="298" t="s">
        <v>26</v>
      </c>
      <c r="R5" s="299" t="s">
        <v>27</v>
      </c>
      <c r="S5" s="299" t="s">
        <v>28</v>
      </c>
      <c r="T5" s="299"/>
      <c r="U5" s="299"/>
      <c r="V5" s="299"/>
      <c r="W5" s="299"/>
      <c r="X5" s="299"/>
      <c r="Y5" s="303"/>
      <c r="Z5" s="299"/>
      <c r="AA5" s="301"/>
    </row>
    <row r="6" spans="1:27" ht="17.25" customHeight="1" x14ac:dyDescent="0.25">
      <c r="A6" s="304"/>
      <c r="B6" s="299"/>
      <c r="C6" s="299"/>
      <c r="D6" s="299"/>
      <c r="E6" s="299"/>
      <c r="F6" s="299"/>
      <c r="G6" s="299"/>
      <c r="H6" s="299"/>
      <c r="I6" s="299"/>
      <c r="J6" s="303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299"/>
      <c r="W6" s="299"/>
      <c r="X6" s="299"/>
      <c r="Y6" s="303"/>
      <c r="Z6" s="299"/>
      <c r="AA6" s="301"/>
    </row>
    <row r="7" spans="1:27" ht="17.25" customHeight="1" x14ac:dyDescent="0.25">
      <c r="A7" s="6">
        <v>45292</v>
      </c>
      <c r="B7" s="7"/>
      <c r="C7" s="7"/>
      <c r="D7" s="7"/>
      <c r="E7" s="8"/>
      <c r="F7" s="8"/>
      <c r="G7" s="8"/>
      <c r="H7" s="8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8"/>
      <c r="Z7" s="7"/>
      <c r="AA7" s="7"/>
    </row>
    <row r="8" spans="1:27" ht="17.25" customHeight="1" x14ac:dyDescent="0.25">
      <c r="A8" s="10">
        <v>45293</v>
      </c>
      <c r="B8" s="11">
        <v>1560</v>
      </c>
      <c r="C8" s="11" t="s">
        <v>32</v>
      </c>
      <c r="D8" s="11">
        <v>44</v>
      </c>
      <c r="E8" s="12">
        <v>0.2986111111111111</v>
      </c>
      <c r="F8" s="12">
        <v>0.30625000000000002</v>
      </c>
      <c r="G8" s="12">
        <v>0.3611111111111111</v>
      </c>
      <c r="H8" s="12">
        <v>0.37569444444444444</v>
      </c>
      <c r="I8" s="12">
        <f t="shared" ref="I8:I71" si="0">H8-F8</f>
        <v>6.944444444444442E-2</v>
      </c>
      <c r="J8" s="10" t="s">
        <v>301</v>
      </c>
      <c r="K8" s="11" t="s">
        <v>302</v>
      </c>
      <c r="L8" s="11" t="s">
        <v>303</v>
      </c>
      <c r="M8" s="11"/>
      <c r="N8" s="12"/>
      <c r="O8" s="12"/>
      <c r="P8" s="11"/>
      <c r="Q8" s="11"/>
      <c r="R8" s="12"/>
      <c r="S8" s="12"/>
      <c r="T8" s="12"/>
      <c r="U8" s="12"/>
      <c r="V8" s="12"/>
      <c r="W8" s="12"/>
      <c r="X8" s="12"/>
      <c r="Y8" s="12"/>
      <c r="Z8" s="11"/>
      <c r="AA8" s="11"/>
    </row>
    <row r="9" spans="1:27" ht="17.25" customHeight="1" x14ac:dyDescent="0.25">
      <c r="A9" s="10">
        <v>45294</v>
      </c>
      <c r="B9" s="11">
        <v>1560</v>
      </c>
      <c r="C9" s="11" t="s">
        <v>38</v>
      </c>
      <c r="D9" s="11">
        <v>44</v>
      </c>
      <c r="E9" s="12">
        <v>0.2986111111111111</v>
      </c>
      <c r="F9" s="12">
        <v>0.28888888888888886</v>
      </c>
      <c r="G9" s="12">
        <v>0.3611111111111111</v>
      </c>
      <c r="H9" s="12">
        <v>0.35486111111111113</v>
      </c>
      <c r="I9" s="12">
        <f t="shared" si="0"/>
        <v>6.5972222222222265E-2</v>
      </c>
      <c r="J9" s="11" t="s">
        <v>33</v>
      </c>
      <c r="K9" s="11" t="s">
        <v>304</v>
      </c>
      <c r="L9" s="11" t="s">
        <v>304</v>
      </c>
      <c r="M9" s="11"/>
      <c r="N9" s="12"/>
      <c r="O9" s="12"/>
      <c r="P9" s="11"/>
      <c r="Q9" s="11"/>
      <c r="R9" s="12"/>
      <c r="S9" s="12"/>
      <c r="T9" s="12"/>
      <c r="U9" s="12"/>
      <c r="V9" s="12"/>
      <c r="W9" s="12"/>
      <c r="X9" s="11"/>
      <c r="Y9" s="12"/>
      <c r="Z9" s="11"/>
      <c r="AA9" s="11"/>
    </row>
    <row r="10" spans="1:27" ht="17.25" customHeight="1" x14ac:dyDescent="0.25">
      <c r="A10" s="10">
        <v>45295</v>
      </c>
      <c r="B10" s="11">
        <v>1560</v>
      </c>
      <c r="C10" s="11" t="s">
        <v>35</v>
      </c>
      <c r="D10" s="11">
        <v>44</v>
      </c>
      <c r="E10" s="12">
        <v>0.2986111111111111</v>
      </c>
      <c r="F10" s="12"/>
      <c r="G10" s="12">
        <v>0.3611111111111111</v>
      </c>
      <c r="H10" s="12"/>
      <c r="I10" s="12">
        <f t="shared" si="0"/>
        <v>0</v>
      </c>
      <c r="J10" s="11"/>
      <c r="K10" s="11"/>
      <c r="L10" s="11"/>
      <c r="M10" s="11"/>
      <c r="N10" s="12"/>
      <c r="O10" s="12"/>
      <c r="P10" s="11"/>
      <c r="Q10" s="11"/>
      <c r="R10" s="12"/>
      <c r="S10" s="12"/>
      <c r="T10" s="12"/>
      <c r="U10" s="12"/>
      <c r="V10" s="12"/>
      <c r="W10" s="12"/>
      <c r="X10" s="11"/>
      <c r="Y10" s="12"/>
      <c r="Z10" s="11"/>
      <c r="AA10" s="11"/>
    </row>
    <row r="11" spans="1:27" ht="17.25" customHeight="1" x14ac:dyDescent="0.25">
      <c r="A11" s="10">
        <v>45296</v>
      </c>
      <c r="B11" s="11">
        <v>1560</v>
      </c>
      <c r="C11" s="11" t="s">
        <v>46</v>
      </c>
      <c r="D11" s="11">
        <v>44</v>
      </c>
      <c r="E11" s="12">
        <v>0.2986111111111111</v>
      </c>
      <c r="F11" s="12"/>
      <c r="G11" s="12">
        <v>0.3611111111111111</v>
      </c>
      <c r="H11" s="12"/>
      <c r="I11" s="12">
        <f t="shared" si="0"/>
        <v>0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7.25" customHeight="1" x14ac:dyDescent="0.25">
      <c r="A12" s="10">
        <v>45297</v>
      </c>
      <c r="B12" s="11">
        <v>1560</v>
      </c>
      <c r="C12" s="11" t="s">
        <v>305</v>
      </c>
      <c r="D12" s="11">
        <v>44</v>
      </c>
      <c r="E12" s="12">
        <v>0.34027777777777801</v>
      </c>
      <c r="F12" s="12"/>
      <c r="G12" s="12"/>
      <c r="H12" s="12"/>
      <c r="I12" s="12">
        <f t="shared" si="0"/>
        <v>0</v>
      </c>
      <c r="J12" s="11"/>
      <c r="K12" s="11"/>
      <c r="L12" s="11"/>
      <c r="M12" s="11"/>
      <c r="N12" s="12"/>
      <c r="O12" s="12"/>
      <c r="P12" s="11"/>
      <c r="Q12" s="11"/>
      <c r="R12" s="12"/>
      <c r="S12" s="12"/>
      <c r="T12" s="12"/>
      <c r="U12" s="12"/>
      <c r="V12" s="12"/>
      <c r="W12" s="12"/>
      <c r="X12" s="11"/>
      <c r="Y12" s="12"/>
      <c r="Z12" s="11"/>
      <c r="AA12" s="11"/>
    </row>
    <row r="13" spans="1:27" ht="17.25" customHeight="1" x14ac:dyDescent="0.25">
      <c r="A13" s="10">
        <v>45298</v>
      </c>
      <c r="B13" s="11">
        <v>1560</v>
      </c>
      <c r="C13" s="11" t="s">
        <v>306</v>
      </c>
      <c r="D13" s="11">
        <v>44</v>
      </c>
      <c r="E13" s="12">
        <v>0.38194444444444398</v>
      </c>
      <c r="F13" s="12"/>
      <c r="G13" s="12"/>
      <c r="H13" s="12"/>
      <c r="I13" s="12">
        <f t="shared" si="0"/>
        <v>0</v>
      </c>
      <c r="J13" s="11"/>
      <c r="K13" s="11"/>
      <c r="L13" s="11"/>
      <c r="M13" s="11"/>
      <c r="N13" s="12"/>
      <c r="O13" s="12"/>
      <c r="P13" s="11"/>
      <c r="Q13" s="11"/>
      <c r="R13" s="12"/>
      <c r="S13" s="12"/>
      <c r="T13" s="12"/>
      <c r="U13" s="12"/>
      <c r="V13" s="12"/>
      <c r="W13" s="12"/>
      <c r="X13" s="11"/>
      <c r="Y13" s="12"/>
      <c r="Z13" s="11"/>
      <c r="AA13" s="11"/>
    </row>
    <row r="14" spans="1:27" ht="17.25" customHeight="1" x14ac:dyDescent="0.25">
      <c r="A14" s="10"/>
      <c r="B14" s="11"/>
      <c r="C14" s="11"/>
      <c r="D14" s="11"/>
      <c r="E14" s="12">
        <v>0.42361111111111099</v>
      </c>
      <c r="F14" s="12"/>
      <c r="G14" s="12"/>
      <c r="H14" s="12"/>
      <c r="I14" s="12">
        <f t="shared" si="0"/>
        <v>0</v>
      </c>
      <c r="J14" s="11"/>
      <c r="K14" s="11"/>
      <c r="L14" s="11"/>
      <c r="M14" s="11"/>
      <c r="N14" s="12"/>
      <c r="O14" s="12"/>
      <c r="P14" s="11"/>
      <c r="Q14" s="11"/>
      <c r="R14" s="12"/>
      <c r="S14" s="12"/>
      <c r="T14" s="12"/>
      <c r="U14" s="12"/>
      <c r="V14" s="12"/>
      <c r="W14" s="12"/>
      <c r="X14" s="11"/>
      <c r="Y14" s="12"/>
      <c r="Z14" s="11"/>
      <c r="AA14" s="11"/>
    </row>
    <row r="15" spans="1:27" ht="17.25" customHeight="1" x14ac:dyDescent="0.25">
      <c r="A15" s="10">
        <v>45300</v>
      </c>
      <c r="B15" s="11">
        <v>1560</v>
      </c>
      <c r="C15" s="11" t="s">
        <v>38</v>
      </c>
      <c r="D15" s="11">
        <v>44</v>
      </c>
      <c r="E15" s="12">
        <v>0.2986111111111111</v>
      </c>
      <c r="F15" s="12">
        <v>0.31180555555555556</v>
      </c>
      <c r="G15" s="12">
        <v>0.3611111111111111</v>
      </c>
      <c r="H15" s="12">
        <v>0.36666666666666664</v>
      </c>
      <c r="I15" s="12">
        <f t="shared" si="0"/>
        <v>5.4861111111111083E-2</v>
      </c>
      <c r="J15" s="11" t="s">
        <v>307</v>
      </c>
      <c r="K15" s="11" t="s">
        <v>50</v>
      </c>
      <c r="L15" s="11" t="s">
        <v>308</v>
      </c>
      <c r="M15" s="11"/>
      <c r="N15" s="11"/>
      <c r="O15" s="11"/>
      <c r="P15" s="11"/>
      <c r="Q15" s="11"/>
      <c r="R15" s="12"/>
      <c r="S15" s="12"/>
      <c r="T15" s="12"/>
      <c r="U15" s="12"/>
      <c r="V15" s="12"/>
      <c r="W15" s="12"/>
      <c r="X15" s="11"/>
      <c r="Y15" s="12"/>
      <c r="Z15" s="11"/>
      <c r="AA15" s="11"/>
    </row>
    <row r="16" spans="1:27" ht="17.25" customHeight="1" x14ac:dyDescent="0.25">
      <c r="A16" s="10">
        <v>45301</v>
      </c>
      <c r="B16" s="11">
        <v>1560</v>
      </c>
      <c r="C16" s="11" t="s">
        <v>32</v>
      </c>
      <c r="D16" s="11">
        <v>44</v>
      </c>
      <c r="E16" s="12">
        <v>0.2986111111111111</v>
      </c>
      <c r="F16" s="12">
        <v>0.29791666666666666</v>
      </c>
      <c r="G16" s="12">
        <v>0.3611111111111111</v>
      </c>
      <c r="H16" s="12">
        <v>0.38263888888888886</v>
      </c>
      <c r="I16" s="12">
        <f t="shared" si="0"/>
        <v>8.4722222222222199E-2</v>
      </c>
      <c r="J16" s="11" t="s">
        <v>309</v>
      </c>
      <c r="K16" s="11">
        <v>2</v>
      </c>
      <c r="L16" s="11" t="s">
        <v>310</v>
      </c>
      <c r="M16" s="11"/>
      <c r="N16" s="11"/>
      <c r="O16" s="11"/>
      <c r="P16" s="11"/>
      <c r="Q16" s="11"/>
      <c r="R16" s="12"/>
      <c r="S16" s="12"/>
      <c r="T16" s="12"/>
      <c r="U16" s="12"/>
      <c r="V16" s="12"/>
      <c r="W16" s="12"/>
      <c r="X16" s="11"/>
      <c r="Y16" s="12"/>
      <c r="Z16" s="11"/>
      <c r="AA16" s="11"/>
    </row>
    <row r="17" spans="1:27" ht="17.25" customHeight="1" x14ac:dyDescent="0.25">
      <c r="A17" s="10">
        <v>45302</v>
      </c>
      <c r="B17" s="11"/>
      <c r="C17" s="11"/>
      <c r="D17" s="11"/>
      <c r="E17" s="12"/>
      <c r="F17" s="12"/>
      <c r="G17" s="12"/>
      <c r="H17" s="12"/>
      <c r="I17" s="12">
        <f t="shared" si="0"/>
        <v>0</v>
      </c>
      <c r="J17" s="11"/>
      <c r="K17" s="11"/>
      <c r="L17" s="11"/>
      <c r="M17" s="11"/>
      <c r="N17" s="12"/>
      <c r="O17" s="12"/>
      <c r="P17" s="11"/>
      <c r="Q17" s="11"/>
      <c r="R17" s="12"/>
      <c r="S17" s="12"/>
      <c r="T17" s="12"/>
      <c r="U17" s="12"/>
      <c r="V17" s="12"/>
      <c r="W17" s="12"/>
      <c r="X17" s="11"/>
      <c r="Y17" s="12"/>
      <c r="Z17" s="11"/>
      <c r="AA17" s="11"/>
    </row>
    <row r="18" spans="1:27" ht="17.25" customHeight="1" x14ac:dyDescent="0.25">
      <c r="A18" s="10">
        <v>45303</v>
      </c>
      <c r="B18" s="11"/>
      <c r="C18" s="11"/>
      <c r="D18" s="11"/>
      <c r="E18" s="11"/>
      <c r="F18" s="11"/>
      <c r="G18" s="11"/>
      <c r="H18" s="11"/>
      <c r="I18" s="12">
        <f t="shared" si="0"/>
        <v>0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7.25" customHeight="1" x14ac:dyDescent="0.25">
      <c r="A19" s="10">
        <v>45304</v>
      </c>
      <c r="B19" s="11"/>
      <c r="C19" s="11"/>
      <c r="D19" s="11"/>
      <c r="E19" s="12"/>
      <c r="F19" s="12"/>
      <c r="G19" s="12"/>
      <c r="H19" s="12"/>
      <c r="I19" s="12">
        <f t="shared" si="0"/>
        <v>0</v>
      </c>
      <c r="J19" s="10"/>
      <c r="K19" s="11"/>
      <c r="L19" s="11"/>
      <c r="M19" s="11"/>
      <c r="N19" s="12"/>
      <c r="O19" s="12"/>
      <c r="P19" s="11"/>
      <c r="Q19" s="11"/>
      <c r="R19" s="12"/>
      <c r="S19" s="12"/>
      <c r="T19" s="12"/>
      <c r="U19" s="12"/>
      <c r="V19" s="12"/>
      <c r="W19" s="12"/>
      <c r="X19" s="11"/>
      <c r="Y19" s="12"/>
      <c r="Z19" s="11"/>
      <c r="AA19" s="11"/>
    </row>
    <row r="20" spans="1:27" ht="17.25" customHeight="1" x14ac:dyDescent="0.25">
      <c r="A20" s="10">
        <v>45305</v>
      </c>
      <c r="B20" s="11"/>
      <c r="C20" s="11"/>
      <c r="D20" s="11"/>
      <c r="E20" s="12"/>
      <c r="F20" s="12"/>
      <c r="G20" s="12"/>
      <c r="H20" s="12"/>
      <c r="I20" s="12">
        <f t="shared" si="0"/>
        <v>0</v>
      </c>
      <c r="J20" s="11"/>
      <c r="K20" s="11"/>
      <c r="L20" s="11"/>
      <c r="M20" s="11"/>
      <c r="N20" s="12"/>
      <c r="O20" s="12"/>
      <c r="P20" s="11"/>
      <c r="Q20" s="11"/>
      <c r="R20" s="12"/>
      <c r="S20" s="12"/>
      <c r="T20" s="12"/>
      <c r="U20" s="12"/>
      <c r="V20" s="12"/>
      <c r="W20" s="12"/>
      <c r="X20" s="11"/>
      <c r="Y20" s="12"/>
      <c r="Z20" s="11"/>
      <c r="AA20" s="11"/>
    </row>
    <row r="21" spans="1:27" ht="17.25" customHeight="1" x14ac:dyDescent="0.25">
      <c r="A21" s="10">
        <v>45306</v>
      </c>
      <c r="B21" s="11"/>
      <c r="C21" s="11"/>
      <c r="D21" s="11"/>
      <c r="E21" s="12"/>
      <c r="F21" s="12"/>
      <c r="G21" s="12"/>
      <c r="H21" s="12"/>
      <c r="I21" s="12">
        <f t="shared" si="0"/>
        <v>0</v>
      </c>
      <c r="J21" s="17"/>
      <c r="K21" s="11"/>
      <c r="L21" s="11"/>
      <c r="M21" s="11"/>
      <c r="N21" s="12"/>
      <c r="O21" s="12"/>
      <c r="P21" s="11"/>
      <c r="Q21" s="11"/>
      <c r="R21" s="12"/>
      <c r="S21" s="12"/>
      <c r="T21" s="12"/>
      <c r="U21" s="12"/>
      <c r="V21" s="12"/>
      <c r="W21" s="12"/>
      <c r="X21" s="11"/>
      <c r="Y21" s="12"/>
      <c r="Z21" s="11"/>
      <c r="AA21" s="11"/>
    </row>
    <row r="22" spans="1:27" ht="17.25" customHeight="1" x14ac:dyDescent="0.25">
      <c r="A22" s="10">
        <v>45307</v>
      </c>
      <c r="B22" s="11"/>
      <c r="C22" s="11"/>
      <c r="D22" s="11"/>
      <c r="E22" s="12"/>
      <c r="F22" s="12"/>
      <c r="G22" s="12"/>
      <c r="H22" s="12"/>
      <c r="I22" s="12">
        <f t="shared" si="0"/>
        <v>0</v>
      </c>
      <c r="J22" s="11"/>
      <c r="K22" s="11"/>
      <c r="L22" s="11"/>
      <c r="M22" s="11"/>
      <c r="N22" s="11"/>
      <c r="O22" s="11"/>
      <c r="P22" s="11"/>
      <c r="Q22" s="11"/>
      <c r="R22" s="12"/>
      <c r="S22" s="12"/>
      <c r="T22" s="12"/>
      <c r="U22" s="12"/>
      <c r="V22" s="12"/>
      <c r="W22" s="12"/>
      <c r="X22" s="11"/>
      <c r="Y22" s="12"/>
      <c r="Z22" s="11"/>
      <c r="AA22" s="11"/>
    </row>
    <row r="23" spans="1:27" ht="17.25" customHeight="1" x14ac:dyDescent="0.25">
      <c r="A23" s="10">
        <v>45308</v>
      </c>
      <c r="B23" s="11"/>
      <c r="C23" s="11"/>
      <c r="D23" s="11"/>
      <c r="E23" s="12"/>
      <c r="F23" s="12"/>
      <c r="G23" s="12"/>
      <c r="H23" s="12"/>
      <c r="I23" s="12">
        <f t="shared" si="0"/>
        <v>0</v>
      </c>
      <c r="J23" s="11"/>
      <c r="K23" s="11"/>
      <c r="L23" s="11"/>
      <c r="M23" s="11"/>
      <c r="N23" s="12"/>
      <c r="O23" s="12"/>
      <c r="P23" s="11"/>
      <c r="Q23" s="11"/>
      <c r="R23" s="12"/>
      <c r="S23" s="12"/>
      <c r="T23" s="12"/>
      <c r="U23" s="12"/>
      <c r="V23" s="12"/>
      <c r="W23" s="12"/>
      <c r="X23" s="11"/>
      <c r="Y23" s="12"/>
      <c r="Z23" s="11"/>
      <c r="AA23" s="11"/>
    </row>
    <row r="24" spans="1:27" ht="17.25" customHeight="1" x14ac:dyDescent="0.25">
      <c r="A24" s="10">
        <v>45309</v>
      </c>
      <c r="B24" s="11">
        <v>1560</v>
      </c>
      <c r="C24" s="11" t="s">
        <v>39</v>
      </c>
      <c r="D24" s="11">
        <v>44</v>
      </c>
      <c r="E24" s="12">
        <v>0.2986111111111111</v>
      </c>
      <c r="F24" s="12">
        <v>0.2986111111111111</v>
      </c>
      <c r="G24" s="12">
        <v>0.3611111111111111</v>
      </c>
      <c r="H24" s="12">
        <v>0.41319444444444442</v>
      </c>
      <c r="I24" s="12">
        <f t="shared" si="0"/>
        <v>0.11458333333333331</v>
      </c>
      <c r="J24" s="11" t="s">
        <v>311</v>
      </c>
      <c r="K24" s="11" t="s">
        <v>312</v>
      </c>
      <c r="L24" s="11" t="s">
        <v>313</v>
      </c>
      <c r="M24" s="11"/>
      <c r="N24" s="12"/>
      <c r="O24" s="12"/>
      <c r="P24" s="11"/>
      <c r="Q24" s="11"/>
      <c r="R24" s="12"/>
      <c r="S24" s="12"/>
      <c r="T24" s="12"/>
      <c r="U24" s="12"/>
      <c r="V24" s="12"/>
      <c r="W24" s="12"/>
      <c r="X24" s="11"/>
      <c r="Y24" s="12"/>
      <c r="Z24" s="11"/>
      <c r="AA24" s="11"/>
    </row>
    <row r="25" spans="1:27" ht="17.25" customHeight="1" x14ac:dyDescent="0.25">
      <c r="A25" s="10">
        <v>45310</v>
      </c>
      <c r="B25" s="11"/>
      <c r="C25" s="11"/>
      <c r="D25" s="11"/>
      <c r="E25" s="11"/>
      <c r="F25" s="11"/>
      <c r="G25" s="11"/>
      <c r="H25" s="11"/>
      <c r="I25" s="12">
        <f t="shared" si="0"/>
        <v>0</v>
      </c>
      <c r="J25" s="11"/>
      <c r="K25" s="11"/>
      <c r="L25" s="17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7.25" customHeight="1" x14ac:dyDescent="0.25">
      <c r="A26" s="10">
        <v>45311</v>
      </c>
      <c r="B26" s="11"/>
      <c r="C26" s="11"/>
      <c r="D26" s="11"/>
      <c r="E26" s="12"/>
      <c r="F26" s="12"/>
      <c r="G26" s="12"/>
      <c r="H26" s="12"/>
      <c r="I26" s="12">
        <f t="shared" si="0"/>
        <v>0</v>
      </c>
      <c r="J26" s="11"/>
      <c r="K26" s="11"/>
      <c r="L26" s="11"/>
      <c r="M26" s="11"/>
      <c r="N26" s="12"/>
      <c r="O26" s="12"/>
      <c r="P26" s="11"/>
      <c r="Q26" s="11"/>
      <c r="R26" s="12"/>
      <c r="S26" s="12"/>
      <c r="T26" s="12"/>
      <c r="U26" s="12"/>
      <c r="V26" s="12"/>
      <c r="W26" s="12"/>
      <c r="X26" s="11"/>
      <c r="Y26" s="12"/>
      <c r="Z26" s="11"/>
      <c r="AA26" s="11"/>
    </row>
    <row r="27" spans="1:27" ht="17.25" customHeight="1" x14ac:dyDescent="0.25">
      <c r="A27" s="10">
        <v>45312</v>
      </c>
      <c r="B27" s="11"/>
      <c r="C27" s="11"/>
      <c r="D27" s="11"/>
      <c r="E27" s="12"/>
      <c r="F27" s="12"/>
      <c r="G27" s="12"/>
      <c r="H27" s="12"/>
      <c r="I27" s="12">
        <f t="shared" si="0"/>
        <v>0</v>
      </c>
      <c r="J27" s="11"/>
      <c r="K27" s="11"/>
      <c r="L27" s="11"/>
      <c r="M27" s="11"/>
      <c r="N27" s="12"/>
      <c r="O27" s="12"/>
      <c r="P27" s="11"/>
      <c r="Q27" s="11"/>
      <c r="R27" s="12"/>
      <c r="S27" s="12"/>
      <c r="T27" s="12"/>
      <c r="U27" s="12"/>
      <c r="V27" s="12"/>
      <c r="W27" s="12"/>
      <c r="X27" s="11"/>
      <c r="Y27" s="12"/>
      <c r="Z27" s="11"/>
      <c r="AA27" s="11"/>
    </row>
    <row r="28" spans="1:27" ht="17.25" customHeight="1" x14ac:dyDescent="0.25">
      <c r="A28" s="10">
        <v>45313</v>
      </c>
      <c r="B28" s="11"/>
      <c r="C28" s="11"/>
      <c r="D28" s="11"/>
      <c r="E28" s="12"/>
      <c r="F28" s="12"/>
      <c r="G28" s="12"/>
      <c r="H28" s="12"/>
      <c r="I28" s="12">
        <f t="shared" si="0"/>
        <v>0</v>
      </c>
      <c r="J28" s="11"/>
      <c r="K28" s="11"/>
      <c r="L28" s="11"/>
      <c r="M28" s="11"/>
      <c r="N28" s="12"/>
      <c r="O28" s="12"/>
      <c r="P28" s="11"/>
      <c r="Q28" s="11"/>
      <c r="R28" s="12"/>
      <c r="S28" s="12"/>
      <c r="T28" s="12"/>
      <c r="U28" s="12"/>
      <c r="V28" s="12"/>
      <c r="W28" s="12"/>
      <c r="X28" s="11"/>
      <c r="Y28" s="12"/>
      <c r="Z28" s="11"/>
      <c r="AA28" s="11"/>
    </row>
    <row r="29" spans="1:27" ht="17.25" customHeight="1" x14ac:dyDescent="0.25">
      <c r="A29" s="10">
        <v>45314</v>
      </c>
      <c r="B29" s="11"/>
      <c r="C29" s="11"/>
      <c r="D29" s="11"/>
      <c r="E29" s="12"/>
      <c r="F29" s="12"/>
      <c r="G29" s="12"/>
      <c r="H29" s="12"/>
      <c r="I29" s="12">
        <f t="shared" si="0"/>
        <v>0</v>
      </c>
      <c r="J29" s="11"/>
      <c r="K29" s="11"/>
      <c r="L29" s="11"/>
      <c r="M29" s="11"/>
      <c r="N29" s="12"/>
      <c r="O29" s="12"/>
      <c r="P29" s="11"/>
      <c r="Q29" s="11"/>
      <c r="R29" s="12"/>
      <c r="S29" s="12"/>
      <c r="T29" s="12"/>
      <c r="U29" s="12"/>
      <c r="V29" s="12"/>
      <c r="W29" s="12"/>
      <c r="X29" s="11"/>
      <c r="Y29" s="12"/>
      <c r="Z29" s="11"/>
      <c r="AA29" s="11"/>
    </row>
    <row r="30" spans="1:27" ht="17.25" customHeight="1" x14ac:dyDescent="0.25">
      <c r="A30" s="10">
        <v>45315</v>
      </c>
      <c r="B30" s="11">
        <v>1560</v>
      </c>
      <c r="C30" s="11" t="s">
        <v>32</v>
      </c>
      <c r="D30" s="11">
        <v>43</v>
      </c>
      <c r="E30" s="12">
        <v>0.32291666666666669</v>
      </c>
      <c r="F30" s="12">
        <v>0.33124999999999999</v>
      </c>
      <c r="G30" s="12">
        <v>0.3611111111111111</v>
      </c>
      <c r="H30" s="12">
        <v>0.375</v>
      </c>
      <c r="I30" s="12">
        <f t="shared" si="0"/>
        <v>4.3750000000000011E-2</v>
      </c>
      <c r="J30" s="11" t="s">
        <v>314</v>
      </c>
      <c r="K30" s="11" t="s">
        <v>50</v>
      </c>
      <c r="L30" s="11" t="s">
        <v>308</v>
      </c>
      <c r="M30" s="11"/>
      <c r="N30" s="12"/>
      <c r="O30" s="12"/>
      <c r="P30" s="11"/>
      <c r="Q30" s="11"/>
      <c r="R30" s="12"/>
      <c r="S30" s="12"/>
      <c r="T30" s="12"/>
      <c r="U30" s="12"/>
      <c r="V30" s="12"/>
      <c r="W30" s="12"/>
      <c r="X30" s="12"/>
      <c r="Y30" s="12"/>
      <c r="Z30" s="11"/>
      <c r="AA30" s="11"/>
    </row>
    <row r="31" spans="1:27" ht="17.25" customHeight="1" x14ac:dyDescent="0.25">
      <c r="A31" s="10">
        <v>45316</v>
      </c>
      <c r="B31" s="11"/>
      <c r="C31" s="11"/>
      <c r="D31" s="11"/>
      <c r="E31" s="12"/>
      <c r="F31" s="12"/>
      <c r="G31" s="12"/>
      <c r="H31" s="12"/>
      <c r="I31" s="12">
        <f t="shared" si="0"/>
        <v>0</v>
      </c>
      <c r="J31" s="11"/>
      <c r="K31" s="11"/>
      <c r="L31" s="11"/>
      <c r="M31" s="11"/>
      <c r="N31" s="12"/>
      <c r="O31" s="12"/>
      <c r="P31" s="11"/>
      <c r="Q31" s="11"/>
      <c r="R31" s="12"/>
      <c r="S31" s="11"/>
      <c r="T31" s="12"/>
      <c r="U31" s="12"/>
      <c r="V31" s="12"/>
      <c r="W31" s="12"/>
      <c r="X31" s="12"/>
      <c r="Y31" s="12"/>
      <c r="Z31" s="11"/>
      <c r="AA31" s="11"/>
    </row>
    <row r="32" spans="1:27" ht="17.25" customHeight="1" x14ac:dyDescent="0.25">
      <c r="A32" s="10">
        <v>45317</v>
      </c>
      <c r="B32" s="11"/>
      <c r="C32" s="11"/>
      <c r="D32" s="11"/>
      <c r="E32" s="12"/>
      <c r="F32" s="11"/>
      <c r="G32" s="12"/>
      <c r="H32" s="11"/>
      <c r="I32" s="12">
        <f t="shared" si="0"/>
        <v>0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7.25" customHeight="1" x14ac:dyDescent="0.25">
      <c r="A33" s="10">
        <v>45318</v>
      </c>
      <c r="B33" s="11"/>
      <c r="C33" s="11"/>
      <c r="D33" s="11"/>
      <c r="E33" s="12"/>
      <c r="F33" s="12"/>
      <c r="G33" s="12"/>
      <c r="H33" s="12"/>
      <c r="I33" s="12">
        <f t="shared" si="0"/>
        <v>0</v>
      </c>
      <c r="J33" s="11"/>
      <c r="K33" s="11"/>
      <c r="L33" s="11"/>
      <c r="M33" s="11"/>
      <c r="N33" s="12"/>
      <c r="O33" s="12"/>
      <c r="P33" s="11"/>
      <c r="Q33" s="11"/>
      <c r="R33" s="12"/>
      <c r="S33" s="12"/>
      <c r="T33" s="12"/>
      <c r="U33" s="12"/>
      <c r="V33" s="12"/>
      <c r="W33" s="12"/>
      <c r="X33" s="12"/>
      <c r="Y33" s="12"/>
      <c r="Z33" s="11"/>
      <c r="AA33" s="11"/>
    </row>
    <row r="34" spans="1:27" ht="17.25" customHeight="1" x14ac:dyDescent="0.25">
      <c r="A34" s="10">
        <v>45319</v>
      </c>
      <c r="B34" s="11"/>
      <c r="C34" s="11"/>
      <c r="D34" s="11"/>
      <c r="E34" s="12"/>
      <c r="F34" s="12"/>
      <c r="G34" s="12"/>
      <c r="H34" s="12"/>
      <c r="I34" s="12">
        <f t="shared" si="0"/>
        <v>0</v>
      </c>
      <c r="J34" s="11"/>
      <c r="K34" s="11"/>
      <c r="L34" s="11"/>
      <c r="M34" s="11"/>
      <c r="N34" s="12"/>
      <c r="O34" s="12"/>
      <c r="P34" s="11"/>
      <c r="Q34" s="11"/>
      <c r="R34" s="12"/>
      <c r="S34" s="12"/>
      <c r="T34" s="12"/>
      <c r="U34" s="12"/>
      <c r="V34" s="12"/>
      <c r="W34" s="12"/>
      <c r="X34" s="12"/>
      <c r="Y34" s="12"/>
      <c r="Z34" s="11"/>
      <c r="AA34" s="11"/>
    </row>
    <row r="35" spans="1:27" ht="17.25" customHeight="1" x14ac:dyDescent="0.25">
      <c r="A35" s="10">
        <v>45320</v>
      </c>
      <c r="B35" s="11">
        <v>1560</v>
      </c>
      <c r="C35" s="11" t="s">
        <v>38</v>
      </c>
      <c r="D35" s="11">
        <v>44</v>
      </c>
      <c r="E35" s="12">
        <v>0.2986111111111111</v>
      </c>
      <c r="F35" s="12">
        <v>0.28333333333333333</v>
      </c>
      <c r="G35" s="12">
        <v>0.3611111111111111</v>
      </c>
      <c r="H35" s="12">
        <v>0.34722222222222221</v>
      </c>
      <c r="I35" s="12">
        <f t="shared" si="0"/>
        <v>6.3888888888888884E-2</v>
      </c>
      <c r="J35" s="11" t="s">
        <v>33</v>
      </c>
      <c r="K35" s="11"/>
      <c r="L35" s="11"/>
      <c r="M35" s="11"/>
      <c r="N35" s="12"/>
      <c r="O35" s="12"/>
      <c r="P35" s="11"/>
      <c r="Q35" s="11"/>
      <c r="R35" s="12"/>
      <c r="S35" s="12"/>
      <c r="T35" s="12"/>
      <c r="U35" s="12"/>
      <c r="V35" s="12"/>
      <c r="W35" s="12"/>
      <c r="X35" s="12"/>
      <c r="Y35" s="12"/>
      <c r="Z35" s="11"/>
      <c r="AA35" s="11"/>
    </row>
    <row r="36" spans="1:27" ht="17.25" customHeight="1" x14ac:dyDescent="0.25">
      <c r="A36" s="10">
        <v>45321</v>
      </c>
      <c r="B36" s="11"/>
      <c r="C36" s="11"/>
      <c r="D36" s="11"/>
      <c r="E36" s="12"/>
      <c r="F36" s="12"/>
      <c r="G36" s="12"/>
      <c r="H36" s="12"/>
      <c r="I36" s="12">
        <f t="shared" si="0"/>
        <v>0</v>
      </c>
      <c r="J36" s="11"/>
      <c r="K36" s="11"/>
      <c r="L36" s="11"/>
      <c r="M36" s="11"/>
      <c r="N36" s="12"/>
      <c r="O36" s="12"/>
      <c r="P36" s="11"/>
      <c r="Q36" s="11"/>
      <c r="R36" s="12"/>
      <c r="S36" s="12"/>
      <c r="T36" s="12"/>
      <c r="U36" s="12"/>
      <c r="V36" s="12"/>
      <c r="W36" s="12"/>
      <c r="X36" s="12"/>
      <c r="Y36" s="12"/>
      <c r="Z36" s="11"/>
      <c r="AA36" s="11"/>
    </row>
    <row r="37" spans="1:27" ht="17.25" customHeight="1" x14ac:dyDescent="0.25">
      <c r="A37" s="10">
        <v>45322</v>
      </c>
      <c r="B37" s="11"/>
      <c r="C37" s="11"/>
      <c r="D37" s="11"/>
      <c r="E37" s="12"/>
      <c r="F37" s="12"/>
      <c r="G37" s="12"/>
      <c r="H37" s="12"/>
      <c r="I37" s="12">
        <f t="shared" si="0"/>
        <v>0</v>
      </c>
      <c r="J37" s="11"/>
      <c r="K37" s="11"/>
      <c r="L37" s="11"/>
      <c r="M37" s="11"/>
      <c r="N37" s="12"/>
      <c r="O37" s="12"/>
      <c r="P37" s="11"/>
      <c r="Q37" s="11"/>
      <c r="R37" s="12"/>
      <c r="S37" s="12"/>
      <c r="T37" s="12"/>
      <c r="U37" s="12"/>
      <c r="V37" s="12"/>
      <c r="W37" s="12"/>
      <c r="X37" s="12"/>
      <c r="Y37" s="12"/>
      <c r="Z37" s="11"/>
      <c r="AA37" s="11"/>
    </row>
    <row r="38" spans="1:27" ht="17.25" customHeight="1" x14ac:dyDescent="0.25">
      <c r="A38" s="10">
        <v>45323</v>
      </c>
      <c r="B38" s="11"/>
      <c r="C38" s="11"/>
      <c r="D38" s="11"/>
      <c r="E38" s="12"/>
      <c r="F38" s="12"/>
      <c r="G38" s="12"/>
      <c r="H38" s="12"/>
      <c r="I38" s="12">
        <f t="shared" si="0"/>
        <v>0</v>
      </c>
      <c r="J38" s="11"/>
      <c r="K38" s="11"/>
      <c r="L38" s="11"/>
      <c r="M38" s="11"/>
      <c r="N38" s="12"/>
      <c r="O38" s="12"/>
      <c r="P38" s="11"/>
      <c r="Q38" s="11"/>
      <c r="R38" s="12"/>
      <c r="S38" s="12"/>
      <c r="T38" s="12"/>
      <c r="U38" s="12"/>
      <c r="V38" s="12"/>
      <c r="W38" s="12"/>
      <c r="X38" s="12"/>
      <c r="Y38" s="12"/>
      <c r="Z38" s="11"/>
      <c r="AA38" s="11"/>
    </row>
    <row r="39" spans="1:27" ht="17.25" customHeight="1" x14ac:dyDescent="0.25">
      <c r="A39" s="10">
        <v>45324</v>
      </c>
      <c r="B39" s="11"/>
      <c r="C39" s="11"/>
      <c r="D39" s="11"/>
      <c r="E39" s="12"/>
      <c r="F39" s="12"/>
      <c r="G39" s="12"/>
      <c r="H39" s="12"/>
      <c r="I39" s="12">
        <f t="shared" si="0"/>
        <v>0</v>
      </c>
      <c r="J39" s="11"/>
      <c r="K39" s="11"/>
      <c r="L39" s="11"/>
      <c r="M39" s="11"/>
      <c r="N39" s="12"/>
      <c r="O39" s="12"/>
      <c r="P39" s="11"/>
      <c r="Q39" s="11"/>
      <c r="R39" s="12"/>
      <c r="S39" s="12"/>
      <c r="T39" s="12"/>
      <c r="U39" s="12"/>
      <c r="V39" s="12"/>
      <c r="W39" s="12"/>
      <c r="X39" s="12"/>
      <c r="Y39" s="12"/>
      <c r="Z39" s="11"/>
      <c r="AA39" s="11"/>
    </row>
    <row r="40" spans="1:27" ht="17.25" customHeight="1" x14ac:dyDescent="0.25">
      <c r="A40" s="10">
        <v>45325</v>
      </c>
      <c r="B40" s="11"/>
      <c r="C40" s="11"/>
      <c r="D40" s="11"/>
      <c r="E40" s="12"/>
      <c r="F40" s="12"/>
      <c r="G40" s="12"/>
      <c r="H40" s="12"/>
      <c r="I40" s="12">
        <f t="shared" si="0"/>
        <v>0</v>
      </c>
      <c r="J40" s="11"/>
      <c r="K40" s="11"/>
      <c r="L40" s="11"/>
      <c r="M40" s="11"/>
      <c r="N40" s="12"/>
      <c r="O40" s="12"/>
      <c r="P40" s="11"/>
      <c r="Q40" s="11"/>
      <c r="R40" s="12"/>
      <c r="S40" s="12"/>
      <c r="T40" s="12"/>
      <c r="U40" s="12"/>
      <c r="V40" s="12"/>
      <c r="W40" s="12"/>
      <c r="X40" s="11"/>
      <c r="Y40" s="12"/>
      <c r="Z40" s="11"/>
      <c r="AA40" s="11"/>
    </row>
    <row r="41" spans="1:27" ht="17.25" customHeight="1" x14ac:dyDescent="0.25">
      <c r="A41" s="10">
        <v>45326</v>
      </c>
      <c r="B41" s="11"/>
      <c r="C41" s="11"/>
      <c r="D41" s="11"/>
      <c r="E41" s="12"/>
      <c r="F41" s="12"/>
      <c r="G41" s="12"/>
      <c r="H41" s="12"/>
      <c r="I41" s="12">
        <f t="shared" si="0"/>
        <v>0</v>
      </c>
      <c r="J41" s="11"/>
      <c r="K41" s="11"/>
      <c r="L41" s="11"/>
      <c r="M41" s="11"/>
      <c r="N41" s="12"/>
      <c r="O41" s="12"/>
      <c r="P41" s="11"/>
      <c r="Q41" s="11"/>
      <c r="R41" s="12"/>
      <c r="S41" s="12"/>
      <c r="T41" s="12"/>
      <c r="U41" s="12"/>
      <c r="V41" s="12"/>
      <c r="W41" s="12"/>
      <c r="X41" s="11"/>
      <c r="Y41" s="12"/>
      <c r="Z41" s="11"/>
      <c r="AA41" s="11"/>
    </row>
    <row r="42" spans="1:27" ht="17.25" customHeight="1" x14ac:dyDescent="0.25">
      <c r="A42" s="10">
        <v>45327</v>
      </c>
      <c r="B42" s="11">
        <v>1560</v>
      </c>
      <c r="C42" s="11" t="s">
        <v>48</v>
      </c>
      <c r="D42" s="11">
        <v>44</v>
      </c>
      <c r="E42" s="12">
        <v>0.2986111111111111</v>
      </c>
      <c r="F42" s="12">
        <v>0.29930555555555555</v>
      </c>
      <c r="G42" s="12">
        <v>0.3611111111111111</v>
      </c>
      <c r="H42" s="12">
        <v>0.36041666666666666</v>
      </c>
      <c r="I42" s="12">
        <f t="shared" si="0"/>
        <v>6.1111111111111116E-2</v>
      </c>
      <c r="J42" s="11" t="s">
        <v>33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7.25" customHeight="1" x14ac:dyDescent="0.25">
      <c r="A43" s="10">
        <v>45328</v>
      </c>
      <c r="B43" s="11">
        <v>1560</v>
      </c>
      <c r="C43" s="11" t="s">
        <v>32</v>
      </c>
      <c r="D43" s="11">
        <v>44</v>
      </c>
      <c r="E43" s="12">
        <v>0.2986111111111111</v>
      </c>
      <c r="F43" s="12">
        <v>0.37777777777777777</v>
      </c>
      <c r="G43" s="12">
        <v>0.3611111111111111</v>
      </c>
      <c r="H43" s="12">
        <v>0.42916666666666664</v>
      </c>
      <c r="I43" s="12">
        <f t="shared" si="0"/>
        <v>5.1388888888888873E-2</v>
      </c>
      <c r="J43" s="11" t="s">
        <v>315</v>
      </c>
      <c r="K43" s="11" t="s">
        <v>50</v>
      </c>
      <c r="L43" s="11" t="s">
        <v>308</v>
      </c>
      <c r="M43" s="11"/>
      <c r="N43" s="12"/>
      <c r="O43" s="12"/>
      <c r="P43" s="11"/>
      <c r="Q43" s="11"/>
      <c r="R43" s="12"/>
      <c r="S43" s="12"/>
      <c r="T43" s="12"/>
      <c r="U43" s="12"/>
      <c r="V43" s="12"/>
      <c r="W43" s="12"/>
      <c r="X43" s="11"/>
      <c r="Y43" s="12"/>
      <c r="Z43" s="11"/>
      <c r="AA43" s="11"/>
    </row>
    <row r="44" spans="1:27" ht="17.25" customHeight="1" x14ac:dyDescent="0.25">
      <c r="A44" s="10">
        <v>45329</v>
      </c>
      <c r="B44" s="11">
        <v>1560</v>
      </c>
      <c r="C44" s="11" t="s">
        <v>48</v>
      </c>
      <c r="D44" s="11">
        <v>44</v>
      </c>
      <c r="E44" s="12">
        <v>0.2986111111111111</v>
      </c>
      <c r="F44" s="12">
        <v>0.27083333333333331</v>
      </c>
      <c r="G44" s="12">
        <v>0.3611111111111111</v>
      </c>
      <c r="H44" s="12">
        <v>0.34930555555555554</v>
      </c>
      <c r="I44" s="12">
        <f t="shared" si="0"/>
        <v>7.8472222222222221E-2</v>
      </c>
      <c r="J44" s="11" t="s">
        <v>33</v>
      </c>
      <c r="K44" s="11"/>
      <c r="L44" s="11"/>
      <c r="M44" s="11"/>
      <c r="N44" s="12"/>
      <c r="O44" s="12"/>
      <c r="P44" s="11"/>
      <c r="Q44" s="11"/>
      <c r="R44" s="12"/>
      <c r="S44" s="12"/>
      <c r="T44" s="12"/>
      <c r="U44" s="12"/>
      <c r="V44" s="12"/>
      <c r="W44" s="12"/>
      <c r="X44" s="11"/>
      <c r="Y44" s="12"/>
      <c r="Z44" s="11"/>
      <c r="AA44" s="11"/>
    </row>
    <row r="45" spans="1:27" ht="17.25" customHeight="1" x14ac:dyDescent="0.25">
      <c r="A45" s="10">
        <v>45330</v>
      </c>
      <c r="B45" s="11">
        <v>1560</v>
      </c>
      <c r="C45" s="11" t="s">
        <v>38</v>
      </c>
      <c r="D45" s="11">
        <v>45</v>
      </c>
      <c r="E45" s="12">
        <v>0.2986111111111111</v>
      </c>
      <c r="F45" s="12">
        <v>0.2986111111111111</v>
      </c>
      <c r="G45" s="12">
        <v>0.3611111111111111</v>
      </c>
      <c r="H45" s="12">
        <v>0.35972222222222222</v>
      </c>
      <c r="I45" s="12">
        <f t="shared" si="0"/>
        <v>6.1111111111111116E-2</v>
      </c>
      <c r="J45" s="11" t="s">
        <v>33</v>
      </c>
      <c r="K45" s="11"/>
      <c r="L45" s="11"/>
      <c r="M45" s="11"/>
      <c r="N45" s="12"/>
      <c r="O45" s="12"/>
      <c r="P45" s="11"/>
      <c r="Q45" s="11"/>
      <c r="R45" s="12"/>
      <c r="S45" s="12"/>
      <c r="T45" s="12"/>
      <c r="U45" s="12"/>
      <c r="V45" s="12"/>
      <c r="W45" s="12"/>
      <c r="X45" s="11"/>
      <c r="Y45" s="12"/>
      <c r="Z45" s="11"/>
      <c r="AA45" s="11"/>
    </row>
    <row r="46" spans="1:27" ht="17.25" customHeight="1" x14ac:dyDescent="0.25">
      <c r="A46" s="10">
        <v>45331</v>
      </c>
      <c r="B46" s="11">
        <v>1560</v>
      </c>
      <c r="C46" s="11" t="s">
        <v>32</v>
      </c>
      <c r="D46" s="11">
        <v>44</v>
      </c>
      <c r="E46" s="12">
        <v>0.2986111111111111</v>
      </c>
      <c r="F46" s="12">
        <v>0.28680555555555554</v>
      </c>
      <c r="G46" s="12">
        <v>0.3611111111111111</v>
      </c>
      <c r="H46" s="12">
        <v>0.34722222222222221</v>
      </c>
      <c r="I46" s="12">
        <f t="shared" si="0"/>
        <v>6.0416666666666674E-2</v>
      </c>
      <c r="J46" s="11" t="s">
        <v>33</v>
      </c>
      <c r="K46" s="11"/>
      <c r="L46" s="11"/>
      <c r="M46" s="11"/>
      <c r="N46" s="11"/>
      <c r="O46" s="11"/>
      <c r="P46" s="11"/>
      <c r="Q46" s="11"/>
      <c r="R46" s="12"/>
      <c r="S46" s="12"/>
      <c r="T46" s="12"/>
      <c r="U46" s="12"/>
      <c r="V46" s="12"/>
      <c r="W46" s="12"/>
      <c r="X46" s="11"/>
      <c r="Y46" s="12"/>
      <c r="Z46" s="11"/>
      <c r="AA46" s="11"/>
    </row>
    <row r="47" spans="1:27" ht="17.25" customHeight="1" x14ac:dyDescent="0.25">
      <c r="A47" s="10">
        <v>45332</v>
      </c>
      <c r="B47" s="11"/>
      <c r="C47" s="11"/>
      <c r="D47" s="11"/>
      <c r="E47" s="12"/>
      <c r="F47" s="12"/>
      <c r="G47" s="12"/>
      <c r="H47" s="12"/>
      <c r="I47" s="12">
        <f t="shared" si="0"/>
        <v>0</v>
      </c>
      <c r="J47" s="11"/>
      <c r="K47" s="11"/>
      <c r="L47" s="11"/>
      <c r="M47" s="11"/>
      <c r="N47" s="11"/>
      <c r="O47" s="11"/>
      <c r="P47" s="11"/>
      <c r="Q47" s="11"/>
      <c r="R47" s="12"/>
      <c r="S47" s="12"/>
      <c r="T47" s="12"/>
      <c r="U47" s="12"/>
      <c r="V47" s="12"/>
      <c r="W47" s="12"/>
      <c r="X47" s="11"/>
      <c r="Y47" s="12"/>
      <c r="Z47" s="11"/>
      <c r="AA47" s="11"/>
    </row>
    <row r="48" spans="1:27" s="15" customFormat="1" ht="17.25" customHeight="1" x14ac:dyDescent="0.25">
      <c r="A48" s="18">
        <v>45333</v>
      </c>
      <c r="B48" s="14"/>
      <c r="C48" s="14"/>
      <c r="D48" s="14"/>
      <c r="E48" s="19"/>
      <c r="F48" s="19"/>
      <c r="G48" s="19"/>
      <c r="H48" s="19"/>
      <c r="I48" s="19">
        <f t="shared" si="0"/>
        <v>0</v>
      </c>
      <c r="J48" s="14"/>
      <c r="K48" s="14"/>
      <c r="L48" s="14"/>
      <c r="M48" s="14"/>
      <c r="N48" s="19"/>
      <c r="O48" s="19"/>
      <c r="P48" s="14"/>
      <c r="Q48" s="14"/>
      <c r="R48" s="19"/>
      <c r="S48" s="19"/>
      <c r="T48" s="19"/>
      <c r="U48" s="19"/>
      <c r="V48" s="19"/>
      <c r="W48" s="19"/>
      <c r="X48" s="14"/>
      <c r="Y48" s="19"/>
      <c r="Z48" s="14"/>
      <c r="AA48" s="14"/>
    </row>
    <row r="49" spans="1:27" ht="17.25" customHeight="1" x14ac:dyDescent="0.25">
      <c r="A49" s="10">
        <v>45334</v>
      </c>
      <c r="B49" s="11"/>
      <c r="C49" s="11"/>
      <c r="D49" s="11"/>
      <c r="E49" s="11"/>
      <c r="F49" s="11"/>
      <c r="G49" s="11"/>
      <c r="H49" s="11"/>
      <c r="I49" s="12">
        <f t="shared" si="0"/>
        <v>0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7.25" customHeight="1" x14ac:dyDescent="0.25">
      <c r="A50" s="10">
        <v>45335</v>
      </c>
      <c r="B50" s="11">
        <v>1560</v>
      </c>
      <c r="C50" s="11" t="s">
        <v>32</v>
      </c>
      <c r="D50" s="11">
        <v>45</v>
      </c>
      <c r="E50" s="12">
        <v>0.2986111111111111</v>
      </c>
      <c r="F50" s="12">
        <v>0.32847222222222222</v>
      </c>
      <c r="G50" s="12">
        <v>0.3611111111111111</v>
      </c>
      <c r="H50" s="12">
        <v>0.37361111111111112</v>
      </c>
      <c r="I50" s="12">
        <f t="shared" si="0"/>
        <v>4.5138888888888895E-2</v>
      </c>
      <c r="J50" s="10" t="s">
        <v>316</v>
      </c>
      <c r="K50" s="11" t="s">
        <v>82</v>
      </c>
      <c r="L50" s="11" t="s">
        <v>308</v>
      </c>
      <c r="M50" s="11"/>
      <c r="N50" s="12"/>
      <c r="O50" s="12"/>
      <c r="P50" s="11"/>
      <c r="Q50" s="11"/>
      <c r="R50" s="12"/>
      <c r="S50" s="12"/>
      <c r="T50" s="12"/>
      <c r="U50" s="12"/>
      <c r="V50" s="12"/>
      <c r="W50" s="12"/>
      <c r="X50" s="11"/>
      <c r="Y50" s="12"/>
      <c r="Z50" s="11"/>
      <c r="AA50" s="11"/>
    </row>
    <row r="51" spans="1:27" ht="17.25" customHeight="1" x14ac:dyDescent="0.25">
      <c r="A51" s="10">
        <v>45336</v>
      </c>
      <c r="B51" s="11"/>
      <c r="C51" s="11"/>
      <c r="D51" s="11"/>
      <c r="E51" s="12"/>
      <c r="F51" s="12"/>
      <c r="G51" s="12"/>
      <c r="H51" s="12"/>
      <c r="I51" s="12">
        <f t="shared" si="0"/>
        <v>0</v>
      </c>
      <c r="J51" s="11"/>
      <c r="K51" s="11"/>
      <c r="L51" s="11"/>
      <c r="M51" s="11"/>
      <c r="N51" s="12"/>
      <c r="O51" s="12"/>
      <c r="P51" s="11"/>
      <c r="Q51" s="11"/>
      <c r="R51" s="12"/>
      <c r="S51" s="12"/>
      <c r="T51" s="12"/>
      <c r="U51" s="12"/>
      <c r="V51" s="12"/>
      <c r="W51" s="12"/>
      <c r="X51" s="11"/>
      <c r="Y51" s="12"/>
      <c r="Z51" s="11"/>
      <c r="AA51" s="11"/>
    </row>
    <row r="52" spans="1:27" ht="17.25" customHeight="1" x14ac:dyDescent="0.25">
      <c r="A52" s="10">
        <v>45337</v>
      </c>
      <c r="B52" s="11"/>
      <c r="C52" s="11"/>
      <c r="D52" s="11"/>
      <c r="E52" s="12"/>
      <c r="F52" s="12"/>
      <c r="G52" s="12"/>
      <c r="H52" s="12"/>
      <c r="I52" s="12">
        <f t="shared" si="0"/>
        <v>0</v>
      </c>
      <c r="J52" s="17"/>
      <c r="K52" s="11"/>
      <c r="L52" s="11"/>
      <c r="M52" s="11"/>
      <c r="N52" s="12"/>
      <c r="O52" s="12"/>
      <c r="P52" s="11"/>
      <c r="Q52" s="11"/>
      <c r="R52" s="12"/>
      <c r="S52" s="12"/>
      <c r="T52" s="12"/>
      <c r="U52" s="12"/>
      <c r="V52" s="12"/>
      <c r="W52" s="12"/>
      <c r="X52" s="11"/>
      <c r="Y52" s="12"/>
      <c r="Z52" s="11"/>
      <c r="AA52" s="11"/>
    </row>
    <row r="53" spans="1:27" ht="17.25" customHeight="1" x14ac:dyDescent="0.25">
      <c r="A53" s="10">
        <v>45338</v>
      </c>
      <c r="B53" s="11">
        <v>1560</v>
      </c>
      <c r="C53" s="11" t="s">
        <v>48</v>
      </c>
      <c r="D53" s="11">
        <v>45</v>
      </c>
      <c r="E53" s="12">
        <v>0.2986111111111111</v>
      </c>
      <c r="F53" s="12">
        <v>0.28055555555555556</v>
      </c>
      <c r="G53" s="12">
        <v>0.3611111111111111</v>
      </c>
      <c r="H53" s="12">
        <v>0.3611111111111111</v>
      </c>
      <c r="I53" s="12">
        <f t="shared" si="0"/>
        <v>8.0555555555555547E-2</v>
      </c>
      <c r="J53" s="11" t="s">
        <v>33</v>
      </c>
      <c r="K53" s="11"/>
      <c r="L53" s="11"/>
      <c r="M53" s="11"/>
      <c r="N53" s="11"/>
      <c r="O53" s="11"/>
      <c r="P53" s="11"/>
      <c r="Q53" s="11"/>
      <c r="R53" s="12"/>
      <c r="S53" s="12"/>
      <c r="T53" s="12"/>
      <c r="U53" s="12"/>
      <c r="V53" s="12"/>
      <c r="W53" s="12"/>
      <c r="X53" s="11"/>
      <c r="Y53" s="12"/>
      <c r="Z53" s="11"/>
      <c r="AA53" s="11"/>
    </row>
    <row r="54" spans="1:27" ht="17.25" customHeight="1" x14ac:dyDescent="0.25">
      <c r="A54" s="10">
        <v>45339</v>
      </c>
      <c r="B54" s="11">
        <v>2558</v>
      </c>
      <c r="C54" s="11" t="s">
        <v>48</v>
      </c>
      <c r="D54" s="11">
        <v>44</v>
      </c>
      <c r="E54" s="12">
        <v>0.2986111111111111</v>
      </c>
      <c r="F54" s="12">
        <v>0.27569444444444446</v>
      </c>
      <c r="G54" s="12">
        <v>0.375</v>
      </c>
      <c r="H54" s="12">
        <v>0.35625000000000001</v>
      </c>
      <c r="I54" s="12">
        <f t="shared" si="0"/>
        <v>8.0555555555555547E-2</v>
      </c>
      <c r="J54" s="11" t="s">
        <v>33</v>
      </c>
      <c r="K54" s="11"/>
      <c r="L54" s="11"/>
      <c r="M54" s="11"/>
      <c r="N54" s="12"/>
      <c r="O54" s="12"/>
      <c r="P54" s="11"/>
      <c r="Q54" s="11"/>
      <c r="R54" s="12"/>
      <c r="S54" s="12"/>
      <c r="T54" s="12"/>
      <c r="U54" s="12"/>
      <c r="V54" s="12"/>
      <c r="W54" s="12"/>
      <c r="X54" s="11"/>
      <c r="Y54" s="12"/>
      <c r="Z54" s="11"/>
      <c r="AA54" s="11"/>
    </row>
    <row r="55" spans="1:27" s="15" customFormat="1" ht="17.25" customHeight="1" x14ac:dyDescent="0.25">
      <c r="A55" s="18">
        <v>45340</v>
      </c>
      <c r="B55" s="14"/>
      <c r="C55" s="14"/>
      <c r="D55" s="14"/>
      <c r="E55" s="19"/>
      <c r="F55" s="19"/>
      <c r="G55" s="19"/>
      <c r="H55" s="19"/>
      <c r="I55" s="19">
        <f t="shared" si="0"/>
        <v>0</v>
      </c>
      <c r="J55" s="14"/>
      <c r="K55" s="14"/>
      <c r="L55" s="14"/>
      <c r="M55" s="14"/>
      <c r="N55" s="19"/>
      <c r="O55" s="19"/>
      <c r="P55" s="14"/>
      <c r="Q55" s="14"/>
      <c r="R55" s="19"/>
      <c r="S55" s="19"/>
      <c r="T55" s="19"/>
      <c r="U55" s="19"/>
      <c r="V55" s="19"/>
      <c r="W55" s="19"/>
      <c r="X55" s="14"/>
      <c r="Y55" s="19"/>
      <c r="Z55" s="14"/>
      <c r="AA55" s="14"/>
    </row>
    <row r="56" spans="1:27" ht="17.25" customHeight="1" x14ac:dyDescent="0.25">
      <c r="A56" s="10">
        <v>45341</v>
      </c>
      <c r="B56" s="11"/>
      <c r="C56" s="11"/>
      <c r="D56" s="11"/>
      <c r="E56" s="11"/>
      <c r="F56" s="11"/>
      <c r="G56" s="11"/>
      <c r="H56" s="11"/>
      <c r="I56" s="12">
        <f t="shared" si="0"/>
        <v>0</v>
      </c>
      <c r="J56" s="11"/>
      <c r="K56" s="11"/>
      <c r="L56" s="17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7.25" customHeight="1" x14ac:dyDescent="0.25">
      <c r="A57" s="10">
        <v>45342</v>
      </c>
      <c r="B57" s="11"/>
      <c r="C57" s="11"/>
      <c r="D57" s="11"/>
      <c r="E57" s="12"/>
      <c r="F57" s="12"/>
      <c r="G57" s="12"/>
      <c r="H57" s="12"/>
      <c r="I57" s="12">
        <f t="shared" si="0"/>
        <v>0</v>
      </c>
      <c r="J57" s="11"/>
      <c r="K57" s="11"/>
      <c r="L57" s="11"/>
      <c r="M57" s="11"/>
      <c r="N57" s="12"/>
      <c r="O57" s="12"/>
      <c r="P57" s="11"/>
      <c r="Q57" s="11"/>
      <c r="R57" s="12"/>
      <c r="S57" s="12"/>
      <c r="T57" s="12"/>
      <c r="U57" s="12"/>
      <c r="V57" s="12"/>
      <c r="W57" s="12"/>
      <c r="X57" s="11"/>
      <c r="Y57" s="12"/>
      <c r="Z57" s="11"/>
      <c r="AA57" s="11"/>
    </row>
    <row r="58" spans="1:27" ht="17.25" customHeight="1" x14ac:dyDescent="0.25">
      <c r="A58" s="10">
        <v>45343</v>
      </c>
      <c r="B58" s="11"/>
      <c r="C58" s="11"/>
      <c r="D58" s="11"/>
      <c r="E58" s="12"/>
      <c r="F58" s="12"/>
      <c r="G58" s="12"/>
      <c r="H58" s="12"/>
      <c r="I58" s="12">
        <f t="shared" si="0"/>
        <v>0</v>
      </c>
      <c r="J58" s="11"/>
      <c r="K58" s="11"/>
      <c r="L58" s="11"/>
      <c r="M58" s="11"/>
      <c r="N58" s="12"/>
      <c r="O58" s="12"/>
      <c r="P58" s="11"/>
      <c r="Q58" s="11"/>
      <c r="R58" s="12"/>
      <c r="S58" s="12"/>
      <c r="T58" s="12"/>
      <c r="U58" s="12"/>
      <c r="V58" s="12"/>
      <c r="W58" s="12"/>
      <c r="X58" s="11"/>
      <c r="Y58" s="12"/>
      <c r="Z58" s="11"/>
      <c r="AA58" s="11"/>
    </row>
    <row r="59" spans="1:27" ht="17.25" customHeight="1" x14ac:dyDescent="0.25">
      <c r="A59" s="10">
        <v>45344</v>
      </c>
      <c r="B59" s="11"/>
      <c r="C59" s="11"/>
      <c r="D59" s="11"/>
      <c r="E59" s="12"/>
      <c r="F59" s="12"/>
      <c r="G59" s="12"/>
      <c r="H59" s="12"/>
      <c r="I59" s="12">
        <f t="shared" si="0"/>
        <v>0</v>
      </c>
      <c r="J59" s="11"/>
      <c r="K59" s="11"/>
      <c r="L59" s="11"/>
      <c r="M59" s="11"/>
      <c r="N59" s="12"/>
      <c r="O59" s="12"/>
      <c r="P59" s="11"/>
      <c r="Q59" s="11"/>
      <c r="R59" s="12"/>
      <c r="S59" s="12"/>
      <c r="T59" s="12"/>
      <c r="U59" s="12"/>
      <c r="V59" s="12"/>
      <c r="W59" s="12"/>
      <c r="X59" s="11"/>
      <c r="Y59" s="12"/>
      <c r="Z59" s="11"/>
      <c r="AA59" s="11"/>
    </row>
    <row r="60" spans="1:27" ht="17.25" customHeight="1" x14ac:dyDescent="0.25">
      <c r="A60" s="10">
        <v>45345</v>
      </c>
      <c r="B60" s="11"/>
      <c r="C60" s="11"/>
      <c r="D60" s="11"/>
      <c r="E60" s="12"/>
      <c r="F60" s="12"/>
      <c r="G60" s="12"/>
      <c r="H60" s="12"/>
      <c r="I60" s="12">
        <f t="shared" si="0"/>
        <v>0</v>
      </c>
      <c r="J60" s="11"/>
      <c r="K60" s="11"/>
      <c r="L60" s="11"/>
      <c r="M60" s="11"/>
      <c r="N60" s="12"/>
      <c r="O60" s="12"/>
      <c r="P60" s="11"/>
      <c r="Q60" s="11"/>
      <c r="R60" s="12"/>
      <c r="S60" s="12"/>
      <c r="T60" s="12"/>
      <c r="U60" s="12"/>
      <c r="V60" s="12"/>
      <c r="W60" s="12"/>
      <c r="X60" s="11"/>
      <c r="Y60" s="12"/>
      <c r="Z60" s="11"/>
      <c r="AA60" s="11"/>
    </row>
    <row r="61" spans="1:27" ht="17.25" customHeight="1" x14ac:dyDescent="0.25">
      <c r="A61" s="10">
        <v>45346</v>
      </c>
      <c r="B61" s="11"/>
      <c r="C61" s="11"/>
      <c r="D61" s="11"/>
      <c r="E61" s="12"/>
      <c r="F61" s="12"/>
      <c r="G61" s="12"/>
      <c r="H61" s="12"/>
      <c r="I61" s="12">
        <f t="shared" si="0"/>
        <v>0</v>
      </c>
      <c r="J61" s="11"/>
      <c r="K61" s="11"/>
      <c r="L61" s="11"/>
      <c r="M61" s="11"/>
      <c r="N61" s="12"/>
      <c r="O61" s="12"/>
      <c r="P61" s="11"/>
      <c r="Q61" s="11"/>
      <c r="R61" s="12"/>
      <c r="S61" s="12"/>
      <c r="T61" s="12"/>
      <c r="U61" s="12"/>
      <c r="V61" s="12"/>
      <c r="W61" s="12"/>
      <c r="X61" s="12"/>
      <c r="Y61" s="12"/>
      <c r="Z61" s="11"/>
      <c r="AA61" s="11"/>
    </row>
    <row r="62" spans="1:27" s="15" customFormat="1" ht="17.25" customHeight="1" x14ac:dyDescent="0.25">
      <c r="A62" s="18">
        <v>45347</v>
      </c>
      <c r="B62" s="14"/>
      <c r="C62" s="14"/>
      <c r="D62" s="14"/>
      <c r="E62" s="19"/>
      <c r="F62" s="19"/>
      <c r="G62" s="19"/>
      <c r="H62" s="19"/>
      <c r="I62" s="19">
        <f t="shared" si="0"/>
        <v>0</v>
      </c>
      <c r="J62" s="14"/>
      <c r="K62" s="14"/>
      <c r="L62" s="14"/>
      <c r="M62" s="14"/>
      <c r="N62" s="19"/>
      <c r="O62" s="19"/>
      <c r="P62" s="14"/>
      <c r="Q62" s="14"/>
      <c r="R62" s="19"/>
      <c r="S62" s="14"/>
      <c r="T62" s="19"/>
      <c r="U62" s="19"/>
      <c r="V62" s="19"/>
      <c r="W62" s="19"/>
      <c r="X62" s="19"/>
      <c r="Y62" s="19"/>
      <c r="Z62" s="14"/>
      <c r="AA62" s="14"/>
    </row>
    <row r="63" spans="1:27" ht="17.25" customHeight="1" x14ac:dyDescent="0.25">
      <c r="A63" s="10">
        <v>45348</v>
      </c>
      <c r="B63" s="11"/>
      <c r="C63" s="11"/>
      <c r="D63" s="11"/>
      <c r="E63" s="12"/>
      <c r="F63" s="11"/>
      <c r="G63" s="12"/>
      <c r="H63" s="11"/>
      <c r="I63" s="12">
        <f t="shared" si="0"/>
        <v>0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7.25" customHeight="1" x14ac:dyDescent="0.25">
      <c r="A64" s="10">
        <v>45349</v>
      </c>
      <c r="B64" s="11">
        <v>1560</v>
      </c>
      <c r="C64" s="11" t="s">
        <v>38</v>
      </c>
      <c r="D64" s="11">
        <v>44</v>
      </c>
      <c r="E64" s="12">
        <v>0.2986111111111111</v>
      </c>
      <c r="F64" s="12">
        <v>0.28472222222222221</v>
      </c>
      <c r="G64" s="12">
        <v>0.3611111111111111</v>
      </c>
      <c r="H64" s="12">
        <v>0.3576388888888889</v>
      </c>
      <c r="I64" s="12">
        <f t="shared" si="0"/>
        <v>7.2916666666666685E-2</v>
      </c>
      <c r="J64" s="11" t="s">
        <v>33</v>
      </c>
      <c r="K64" s="11"/>
      <c r="L64" s="11"/>
      <c r="M64" s="11"/>
      <c r="N64" s="12"/>
      <c r="O64" s="12"/>
      <c r="P64" s="11"/>
      <c r="Q64" s="11"/>
      <c r="R64" s="12"/>
      <c r="S64" s="12"/>
      <c r="T64" s="12"/>
      <c r="U64" s="12"/>
      <c r="V64" s="12"/>
      <c r="W64" s="12"/>
      <c r="X64" s="12"/>
      <c r="Y64" s="12"/>
      <c r="Z64" s="11"/>
      <c r="AA64" s="11"/>
    </row>
    <row r="65" spans="1:27" ht="17.25" customHeight="1" x14ac:dyDescent="0.25">
      <c r="A65" s="10">
        <v>45350</v>
      </c>
      <c r="B65" s="11">
        <v>1560</v>
      </c>
      <c r="C65" s="11" t="s">
        <v>48</v>
      </c>
      <c r="D65" s="11">
        <v>44</v>
      </c>
      <c r="E65" s="12">
        <v>1.3888888888888888E-2</v>
      </c>
      <c r="F65" s="12">
        <v>2.1527777777777778E-2</v>
      </c>
      <c r="G65" s="12">
        <v>0.21180555555555555</v>
      </c>
      <c r="H65" s="12">
        <v>0.20902777777777778</v>
      </c>
      <c r="I65" s="12">
        <f t="shared" si="0"/>
        <v>0.1875</v>
      </c>
      <c r="J65" s="11" t="s">
        <v>33</v>
      </c>
      <c r="K65" s="11"/>
      <c r="L65" s="11"/>
      <c r="M65" s="11"/>
      <c r="N65" s="12"/>
      <c r="O65" s="12"/>
      <c r="P65" s="11"/>
      <c r="Q65" s="11"/>
      <c r="R65" s="12"/>
      <c r="S65" s="12"/>
      <c r="T65" s="12"/>
      <c r="U65" s="12"/>
      <c r="V65" s="12"/>
      <c r="W65" s="12"/>
      <c r="X65" s="12"/>
      <c r="Y65" s="12"/>
      <c r="Z65" s="11"/>
      <c r="AA65" s="11"/>
    </row>
    <row r="66" spans="1:27" ht="17.25" customHeight="1" x14ac:dyDescent="0.25">
      <c r="A66" s="10">
        <v>45351</v>
      </c>
      <c r="B66" s="11">
        <v>1560</v>
      </c>
      <c r="C66" s="11" t="s">
        <v>48</v>
      </c>
      <c r="D66" s="11">
        <v>44</v>
      </c>
      <c r="E66" s="12">
        <v>7.2916666666666671E-2</v>
      </c>
      <c r="F66" s="12">
        <v>0.20069444444444445</v>
      </c>
      <c r="G66" s="12">
        <v>0.3611111111111111</v>
      </c>
      <c r="H66" s="12">
        <v>0.34236111111111112</v>
      </c>
      <c r="I66" s="12">
        <f t="shared" si="0"/>
        <v>0.14166666666666666</v>
      </c>
      <c r="J66" s="11" t="s">
        <v>33</v>
      </c>
      <c r="K66" s="11"/>
      <c r="L66" s="11"/>
      <c r="M66" s="11"/>
      <c r="N66" s="12"/>
      <c r="O66" s="12"/>
      <c r="P66" s="11"/>
      <c r="Q66" s="11"/>
      <c r="R66" s="12"/>
      <c r="S66" s="12"/>
      <c r="T66" s="12"/>
      <c r="U66" s="12"/>
      <c r="V66" s="12"/>
      <c r="W66" s="12"/>
      <c r="X66" s="12"/>
      <c r="Y66" s="12"/>
      <c r="Z66" s="11"/>
      <c r="AA66" s="11"/>
    </row>
    <row r="67" spans="1:27" ht="17.25" customHeight="1" x14ac:dyDescent="0.25">
      <c r="A67" s="10">
        <v>45352</v>
      </c>
      <c r="B67" s="11" t="s">
        <v>317</v>
      </c>
      <c r="C67" s="11" t="s">
        <v>318</v>
      </c>
      <c r="D67" s="11">
        <v>44</v>
      </c>
      <c r="E67" s="12">
        <v>0.29166666666666669</v>
      </c>
      <c r="F67" s="12">
        <v>0.27708333333333335</v>
      </c>
      <c r="G67" s="12">
        <v>0.40277777777777779</v>
      </c>
      <c r="H67" s="12">
        <v>0.39444444444444443</v>
      </c>
      <c r="I67" s="12">
        <f t="shared" si="0"/>
        <v>0.11736111111111108</v>
      </c>
      <c r="J67" s="11" t="s">
        <v>33</v>
      </c>
      <c r="K67" s="11"/>
      <c r="L67" s="11"/>
      <c r="M67" s="11"/>
      <c r="N67" s="12"/>
      <c r="O67" s="12"/>
      <c r="P67" s="11"/>
      <c r="Q67" s="11"/>
      <c r="R67" s="12"/>
      <c r="S67" s="12"/>
      <c r="T67" s="12"/>
      <c r="U67" s="12"/>
      <c r="V67" s="12"/>
      <c r="W67" s="12"/>
      <c r="X67" s="12"/>
      <c r="Y67" s="12"/>
      <c r="Z67" s="11"/>
      <c r="AA67" s="11"/>
    </row>
    <row r="68" spans="1:27" ht="17.25" customHeight="1" x14ac:dyDescent="0.25">
      <c r="A68" s="10">
        <v>45353</v>
      </c>
      <c r="B68" s="11"/>
      <c r="C68" s="11"/>
      <c r="D68" s="11"/>
      <c r="E68" s="12"/>
      <c r="F68" s="12"/>
      <c r="G68" s="12"/>
      <c r="H68" s="12"/>
      <c r="I68" s="12">
        <f t="shared" si="0"/>
        <v>0</v>
      </c>
      <c r="J68" s="11"/>
      <c r="K68" s="11"/>
      <c r="L68" s="11"/>
      <c r="M68" s="11"/>
      <c r="N68" s="12"/>
      <c r="O68" s="12"/>
      <c r="P68" s="11"/>
      <c r="Q68" s="11"/>
      <c r="R68" s="12"/>
      <c r="S68" s="12"/>
      <c r="T68" s="12"/>
      <c r="U68" s="12"/>
      <c r="V68" s="12"/>
      <c r="W68" s="12"/>
      <c r="X68" s="12"/>
      <c r="Y68" s="12"/>
      <c r="Z68" s="11"/>
      <c r="AA68" s="11"/>
    </row>
    <row r="69" spans="1:27" ht="17.25" customHeight="1" x14ac:dyDescent="0.25">
      <c r="A69" s="10">
        <v>45354</v>
      </c>
      <c r="B69" s="11">
        <v>1560</v>
      </c>
      <c r="C69" s="11" t="s">
        <v>32</v>
      </c>
      <c r="D69" s="11">
        <v>43</v>
      </c>
      <c r="E69" s="12">
        <v>0.2986111111111111</v>
      </c>
      <c r="F69" s="12">
        <v>0.29166666666666669</v>
      </c>
      <c r="G69" s="12">
        <v>0.3611111111111111</v>
      </c>
      <c r="H69" s="12">
        <v>0.35416666666666669</v>
      </c>
      <c r="I69" s="12">
        <f t="shared" si="0"/>
        <v>6.25E-2</v>
      </c>
      <c r="J69" s="11" t="s">
        <v>33</v>
      </c>
      <c r="K69" s="11"/>
      <c r="L69" s="11"/>
      <c r="M69" s="11"/>
      <c r="N69" s="12"/>
      <c r="O69" s="12"/>
      <c r="P69" s="11"/>
      <c r="Q69" s="11"/>
      <c r="R69" s="12"/>
      <c r="S69" s="12"/>
      <c r="T69" s="12"/>
      <c r="U69" s="12"/>
      <c r="V69" s="12"/>
      <c r="W69" s="12"/>
      <c r="X69" s="12"/>
      <c r="Y69" s="12"/>
      <c r="Z69" s="11"/>
      <c r="AA69" s="11"/>
    </row>
    <row r="70" spans="1:27" ht="17.25" customHeight="1" x14ac:dyDescent="0.25">
      <c r="A70" s="10">
        <v>45355</v>
      </c>
      <c r="B70" s="11">
        <v>1560</v>
      </c>
      <c r="C70" s="11" t="s">
        <v>32</v>
      </c>
      <c r="D70" s="11">
        <v>43</v>
      </c>
      <c r="E70" s="12">
        <v>0.2986111111111111</v>
      </c>
      <c r="F70" s="12">
        <v>0.29166666666666669</v>
      </c>
      <c r="G70" s="12">
        <v>0.3611111111111111</v>
      </c>
      <c r="H70" s="12">
        <v>0.35555555555555557</v>
      </c>
      <c r="I70" s="12">
        <f t="shared" si="0"/>
        <v>6.3888888888888884E-2</v>
      </c>
      <c r="J70" s="11" t="s">
        <v>33</v>
      </c>
      <c r="K70" s="11"/>
      <c r="L70" s="11"/>
      <c r="M70" s="11"/>
      <c r="N70" s="12"/>
      <c r="O70" s="12"/>
      <c r="P70" s="11"/>
      <c r="Q70" s="11"/>
      <c r="R70" s="12"/>
      <c r="S70" s="12"/>
      <c r="T70" s="12"/>
      <c r="U70" s="12"/>
      <c r="V70" s="12"/>
      <c r="W70" s="12"/>
      <c r="X70" s="12"/>
      <c r="Y70" s="12"/>
      <c r="Z70" s="11"/>
      <c r="AA70" s="11"/>
    </row>
    <row r="71" spans="1:27" ht="17.25" customHeight="1" x14ac:dyDescent="0.25">
      <c r="A71" s="10">
        <v>45356</v>
      </c>
      <c r="B71" s="11">
        <v>1560</v>
      </c>
      <c r="C71" s="11" t="s">
        <v>48</v>
      </c>
      <c r="D71" s="11">
        <v>44</v>
      </c>
      <c r="E71" s="12">
        <v>0.2986111111111111</v>
      </c>
      <c r="F71" s="12">
        <v>0.29097222222222224</v>
      </c>
      <c r="G71" s="12">
        <v>0.3611111111111111</v>
      </c>
      <c r="H71" s="12">
        <v>0.34861111111111109</v>
      </c>
      <c r="I71" s="12">
        <f t="shared" si="0"/>
        <v>5.7638888888888851E-2</v>
      </c>
      <c r="J71" s="11" t="s">
        <v>33</v>
      </c>
      <c r="K71" s="11"/>
      <c r="L71" s="11"/>
      <c r="M71" s="11"/>
      <c r="N71" s="12"/>
      <c r="O71" s="12"/>
      <c r="P71" s="11"/>
      <c r="Q71" s="11"/>
      <c r="R71" s="12"/>
      <c r="S71" s="12"/>
      <c r="T71" s="12"/>
      <c r="U71" s="12"/>
      <c r="V71" s="12"/>
      <c r="W71" s="12"/>
      <c r="X71" s="11"/>
      <c r="Y71" s="12"/>
      <c r="Z71" s="11"/>
      <c r="AA71" s="11"/>
    </row>
    <row r="72" spans="1:27" ht="17.25" customHeight="1" x14ac:dyDescent="0.25">
      <c r="A72" s="10">
        <v>45357</v>
      </c>
      <c r="B72" s="11"/>
      <c r="C72" s="11"/>
      <c r="D72" s="11"/>
      <c r="E72" s="12"/>
      <c r="F72" s="12"/>
      <c r="G72" s="12"/>
      <c r="H72" s="12"/>
      <c r="I72" s="12">
        <f t="shared" ref="I72:I135" si="1">H72-F72</f>
        <v>0</v>
      </c>
      <c r="J72" s="11"/>
      <c r="K72" s="11"/>
      <c r="L72" s="11"/>
      <c r="M72" s="11"/>
      <c r="N72" s="12"/>
      <c r="O72" s="12"/>
      <c r="P72" s="11"/>
      <c r="Q72" s="11"/>
      <c r="R72" s="12"/>
      <c r="S72" s="12"/>
      <c r="T72" s="12"/>
      <c r="U72" s="12"/>
      <c r="V72" s="12"/>
      <c r="W72" s="12"/>
      <c r="X72" s="11"/>
      <c r="Y72" s="12"/>
      <c r="Z72" s="11"/>
      <c r="AA72" s="11"/>
    </row>
    <row r="73" spans="1:27" ht="17.25" customHeight="1" x14ac:dyDescent="0.25">
      <c r="A73" s="10">
        <v>45358</v>
      </c>
      <c r="B73" s="11">
        <v>1560</v>
      </c>
      <c r="C73" s="11" t="s">
        <v>32</v>
      </c>
      <c r="D73" s="11">
        <v>44</v>
      </c>
      <c r="E73" s="12">
        <v>0.2986111111111111</v>
      </c>
      <c r="F73" s="12">
        <v>0.29583333333333334</v>
      </c>
      <c r="G73" s="12">
        <v>0.3611111111111111</v>
      </c>
      <c r="H73" s="12">
        <v>0.35486111111111113</v>
      </c>
      <c r="I73" s="12">
        <f t="shared" si="1"/>
        <v>5.902777777777779E-2</v>
      </c>
      <c r="J73" s="11" t="s">
        <v>33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7.25" customHeight="1" x14ac:dyDescent="0.25">
      <c r="A74" s="10">
        <v>45359</v>
      </c>
      <c r="B74" s="11">
        <v>1560</v>
      </c>
      <c r="C74" s="11" t="s">
        <v>48</v>
      </c>
      <c r="D74" s="11">
        <v>44</v>
      </c>
      <c r="E74" s="12">
        <v>0.2986111111111111</v>
      </c>
      <c r="F74" s="12">
        <v>0.30972222222222223</v>
      </c>
      <c r="G74" s="12">
        <v>0.3611111111111111</v>
      </c>
      <c r="H74" s="12">
        <v>0.35902777777777778</v>
      </c>
      <c r="I74" s="12">
        <f t="shared" si="1"/>
        <v>4.9305555555555547E-2</v>
      </c>
      <c r="J74" s="11" t="s">
        <v>33</v>
      </c>
      <c r="K74" s="11"/>
      <c r="L74" s="11"/>
      <c r="M74" s="11"/>
      <c r="N74" s="12"/>
      <c r="O74" s="12"/>
      <c r="P74" s="11"/>
      <c r="Q74" s="11"/>
      <c r="R74" s="12"/>
      <c r="S74" s="12"/>
      <c r="T74" s="12"/>
      <c r="U74" s="12"/>
      <c r="V74" s="12"/>
      <c r="W74" s="12"/>
      <c r="X74" s="11"/>
      <c r="Y74" s="12"/>
      <c r="Z74" s="11"/>
      <c r="AA74" s="11"/>
    </row>
    <row r="75" spans="1:27" ht="17.25" customHeight="1" x14ac:dyDescent="0.25">
      <c r="A75" s="10">
        <v>45360</v>
      </c>
      <c r="B75" s="11">
        <v>2558</v>
      </c>
      <c r="C75" s="11" t="s">
        <v>39</v>
      </c>
      <c r="D75" s="11">
        <v>44</v>
      </c>
      <c r="E75" s="12">
        <v>0.2986111111111111</v>
      </c>
      <c r="F75" s="12">
        <v>0.2951388888888889</v>
      </c>
      <c r="G75" s="12">
        <v>0.375</v>
      </c>
      <c r="H75" s="12">
        <v>0.36041666666666666</v>
      </c>
      <c r="I75" s="12">
        <f t="shared" si="1"/>
        <v>6.5277777777777768E-2</v>
      </c>
      <c r="J75" s="11" t="s">
        <v>33</v>
      </c>
      <c r="K75" s="11"/>
      <c r="L75" s="11"/>
      <c r="M75" s="11"/>
      <c r="N75" s="12"/>
      <c r="O75" s="12"/>
      <c r="P75" s="11"/>
      <c r="Q75" s="11"/>
      <c r="R75" s="12"/>
      <c r="S75" s="12"/>
      <c r="T75" s="12"/>
      <c r="U75" s="12"/>
      <c r="V75" s="12"/>
      <c r="W75" s="12"/>
      <c r="X75" s="11"/>
      <c r="Y75" s="12"/>
      <c r="Z75" s="11"/>
      <c r="AA75" s="11"/>
    </row>
    <row r="76" spans="1:27" s="15" customFormat="1" ht="17.25" customHeight="1" x14ac:dyDescent="0.25">
      <c r="A76" s="18">
        <v>45361</v>
      </c>
      <c r="B76" s="14"/>
      <c r="C76" s="14"/>
      <c r="D76" s="14"/>
      <c r="E76" s="19"/>
      <c r="F76" s="19"/>
      <c r="G76" s="19"/>
      <c r="H76" s="19"/>
      <c r="I76" s="19">
        <f t="shared" si="1"/>
        <v>0</v>
      </c>
      <c r="J76" s="14"/>
      <c r="K76" s="14"/>
      <c r="L76" s="14"/>
      <c r="M76" s="14"/>
      <c r="N76" s="19"/>
      <c r="O76" s="19"/>
      <c r="P76" s="14"/>
      <c r="Q76" s="14"/>
      <c r="R76" s="19"/>
      <c r="S76" s="19"/>
      <c r="T76" s="19"/>
      <c r="U76" s="19"/>
      <c r="V76" s="19"/>
      <c r="W76" s="19"/>
      <c r="X76" s="14"/>
      <c r="Y76" s="19"/>
      <c r="Z76" s="14"/>
      <c r="AA76" s="14"/>
    </row>
    <row r="77" spans="1:27" ht="17.25" customHeight="1" x14ac:dyDescent="0.25">
      <c r="A77" s="10">
        <v>45362</v>
      </c>
      <c r="B77" s="11">
        <v>1560</v>
      </c>
      <c r="C77" s="11" t="s">
        <v>48</v>
      </c>
      <c r="D77" s="11">
        <v>44</v>
      </c>
      <c r="E77" s="12">
        <v>0.25694444444444442</v>
      </c>
      <c r="F77" s="12">
        <v>0.25277777777777777</v>
      </c>
      <c r="G77" s="12">
        <v>0.31944444444444442</v>
      </c>
      <c r="H77" s="12"/>
      <c r="I77" s="12">
        <f t="shared" si="1"/>
        <v>-0.25277777777777777</v>
      </c>
      <c r="J77" s="11"/>
      <c r="K77" s="11"/>
      <c r="L77" s="11"/>
      <c r="M77" s="11"/>
      <c r="N77" s="11"/>
      <c r="O77" s="11"/>
      <c r="P77" s="11"/>
      <c r="Q77" s="11"/>
      <c r="R77" s="12"/>
      <c r="S77" s="12"/>
      <c r="T77" s="12"/>
      <c r="U77" s="12"/>
      <c r="V77" s="12"/>
      <c r="W77" s="12"/>
      <c r="X77" s="11"/>
      <c r="Y77" s="12"/>
      <c r="Z77" s="11"/>
      <c r="AA77" s="11"/>
    </row>
    <row r="78" spans="1:27" ht="17.25" customHeight="1" x14ac:dyDescent="0.25">
      <c r="A78" s="10">
        <v>45363</v>
      </c>
      <c r="B78" s="11">
        <v>1560</v>
      </c>
      <c r="C78" s="11" t="s">
        <v>38</v>
      </c>
      <c r="D78" s="11">
        <v>44</v>
      </c>
      <c r="E78" s="12">
        <v>0.25694444444444442</v>
      </c>
      <c r="F78" s="12">
        <v>0.25347222222222221</v>
      </c>
      <c r="G78" s="12"/>
      <c r="H78" s="12"/>
      <c r="I78" s="12">
        <f t="shared" si="1"/>
        <v>-0.25347222222222221</v>
      </c>
      <c r="J78" s="11"/>
      <c r="K78" s="11"/>
      <c r="L78" s="11"/>
      <c r="M78" s="11"/>
      <c r="N78" s="11"/>
      <c r="O78" s="11"/>
      <c r="P78" s="11"/>
      <c r="Q78" s="11"/>
      <c r="R78" s="12"/>
      <c r="S78" s="12"/>
      <c r="T78" s="12"/>
      <c r="U78" s="12"/>
      <c r="V78" s="12"/>
      <c r="W78" s="12"/>
      <c r="X78" s="11"/>
      <c r="Y78" s="12"/>
      <c r="Z78" s="11"/>
      <c r="AA78" s="11"/>
    </row>
    <row r="79" spans="1:27" ht="17.25" customHeight="1" x14ac:dyDescent="0.25">
      <c r="A79" s="10">
        <v>45364</v>
      </c>
      <c r="B79" s="11">
        <v>1560</v>
      </c>
      <c r="C79" s="11" t="s">
        <v>48</v>
      </c>
      <c r="D79" s="11">
        <v>44</v>
      </c>
      <c r="E79" s="12">
        <v>0.25694444444444442</v>
      </c>
      <c r="F79" s="12">
        <v>0.33958333333333335</v>
      </c>
      <c r="G79" s="12">
        <v>0.31944444444444442</v>
      </c>
      <c r="H79" s="12">
        <v>0.39305555555555555</v>
      </c>
      <c r="I79" s="12">
        <f t="shared" si="1"/>
        <v>5.3472222222222199E-2</v>
      </c>
      <c r="J79" s="11" t="s">
        <v>319</v>
      </c>
      <c r="K79" s="11" t="s">
        <v>50</v>
      </c>
      <c r="L79" s="11" t="s">
        <v>308</v>
      </c>
      <c r="M79" s="11"/>
      <c r="N79" s="12"/>
      <c r="O79" s="12"/>
      <c r="P79" s="11"/>
      <c r="Q79" s="11"/>
      <c r="R79" s="12"/>
      <c r="S79" s="12"/>
      <c r="T79" s="12"/>
      <c r="U79" s="12"/>
      <c r="V79" s="12"/>
      <c r="W79" s="12"/>
      <c r="X79" s="11"/>
      <c r="Y79" s="12"/>
      <c r="Z79" s="11"/>
      <c r="AA79" s="11"/>
    </row>
    <row r="80" spans="1:27" ht="17.25" customHeight="1" x14ac:dyDescent="0.25">
      <c r="A80" s="10">
        <v>45365</v>
      </c>
      <c r="B80" s="11">
        <v>1560</v>
      </c>
      <c r="C80" s="11" t="s">
        <v>38</v>
      </c>
      <c r="D80" s="11">
        <v>43</v>
      </c>
      <c r="E80" s="12">
        <v>0.25694444444444442</v>
      </c>
      <c r="F80" s="12">
        <v>0.27986111111111112</v>
      </c>
      <c r="G80" s="12">
        <v>0.31944444444444442</v>
      </c>
      <c r="H80" s="12">
        <v>0.34791666666666665</v>
      </c>
      <c r="I80" s="12">
        <f t="shared" si="1"/>
        <v>6.8055555555555536E-2</v>
      </c>
      <c r="J80" s="11" t="s">
        <v>320</v>
      </c>
      <c r="K80" s="11" t="s">
        <v>321</v>
      </c>
      <c r="L80" s="11" t="s">
        <v>322</v>
      </c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7.25" customHeight="1" x14ac:dyDescent="0.25">
      <c r="A81" s="10">
        <v>45366</v>
      </c>
      <c r="B81" s="11">
        <v>1560</v>
      </c>
      <c r="C81" s="11" t="s">
        <v>39</v>
      </c>
      <c r="D81" s="11">
        <v>43</v>
      </c>
      <c r="E81" s="12">
        <v>0.25694444444444442</v>
      </c>
      <c r="F81" s="12">
        <v>0.37152777777777779</v>
      </c>
      <c r="G81" s="12">
        <v>0.31944444444444442</v>
      </c>
      <c r="H81" s="12">
        <v>0.47499999999999998</v>
      </c>
      <c r="I81" s="12">
        <f t="shared" si="1"/>
        <v>0.10347222222222219</v>
      </c>
      <c r="J81" s="10" t="s">
        <v>323</v>
      </c>
      <c r="K81" s="11" t="s">
        <v>321</v>
      </c>
      <c r="L81" s="11" t="s">
        <v>324</v>
      </c>
      <c r="M81" s="11"/>
      <c r="N81" s="12"/>
      <c r="O81" s="12"/>
      <c r="P81" s="11"/>
      <c r="Q81" s="11"/>
      <c r="R81" s="12"/>
      <c r="S81" s="12"/>
      <c r="T81" s="12"/>
      <c r="U81" s="12"/>
      <c r="V81" s="12"/>
      <c r="W81" s="12"/>
      <c r="X81" s="11"/>
      <c r="Y81" s="12"/>
      <c r="Z81" s="11"/>
      <c r="AA81" s="11"/>
    </row>
    <row r="82" spans="1:27" ht="17.25" customHeight="1" x14ac:dyDescent="0.25">
      <c r="A82" s="10">
        <v>45367</v>
      </c>
      <c r="B82" s="11">
        <v>2558</v>
      </c>
      <c r="C82" s="11" t="s">
        <v>48</v>
      </c>
      <c r="D82" s="11">
        <v>44</v>
      </c>
      <c r="E82" s="12">
        <v>0.25694444444444442</v>
      </c>
      <c r="F82" s="12">
        <v>0.29444444444444445</v>
      </c>
      <c r="G82" s="12">
        <v>0.33333333333333331</v>
      </c>
      <c r="H82" s="12">
        <v>0.36180555555555555</v>
      </c>
      <c r="I82" s="12">
        <f t="shared" si="1"/>
        <v>6.7361111111111094E-2</v>
      </c>
      <c r="J82" s="11" t="s">
        <v>325</v>
      </c>
      <c r="K82" s="11" t="s">
        <v>50</v>
      </c>
      <c r="L82" s="11" t="s">
        <v>308</v>
      </c>
      <c r="M82" s="11"/>
      <c r="N82" s="12"/>
      <c r="O82" s="12"/>
      <c r="P82" s="11"/>
      <c r="Q82" s="11"/>
      <c r="R82" s="12"/>
      <c r="S82" s="12"/>
      <c r="T82" s="12"/>
      <c r="U82" s="12"/>
      <c r="V82" s="12"/>
      <c r="W82" s="12"/>
      <c r="X82" s="11"/>
      <c r="Y82" s="12"/>
      <c r="Z82" s="11"/>
      <c r="AA82" s="11"/>
    </row>
    <row r="83" spans="1:27" s="15" customFormat="1" ht="17.25" customHeight="1" x14ac:dyDescent="0.25">
      <c r="A83" s="18">
        <v>45368</v>
      </c>
      <c r="B83" s="14"/>
      <c r="C83" s="14"/>
      <c r="D83" s="14"/>
      <c r="E83" s="19"/>
      <c r="F83" s="19"/>
      <c r="G83" s="19"/>
      <c r="H83" s="19"/>
      <c r="I83" s="19">
        <f t="shared" si="1"/>
        <v>0</v>
      </c>
      <c r="J83" s="16"/>
      <c r="K83" s="14"/>
      <c r="L83" s="14"/>
      <c r="M83" s="14"/>
      <c r="N83" s="19"/>
      <c r="O83" s="19"/>
      <c r="P83" s="14"/>
      <c r="Q83" s="14"/>
      <c r="R83" s="19"/>
      <c r="S83" s="19"/>
      <c r="T83" s="19"/>
      <c r="U83" s="19"/>
      <c r="V83" s="19"/>
      <c r="W83" s="19"/>
      <c r="X83" s="14"/>
      <c r="Y83" s="19"/>
      <c r="Z83" s="14"/>
      <c r="AA83" s="14"/>
    </row>
    <row r="84" spans="1:27" ht="17.25" customHeight="1" x14ac:dyDescent="0.25">
      <c r="A84" s="10">
        <v>45369</v>
      </c>
      <c r="B84" s="11">
        <v>1560</v>
      </c>
      <c r="C84" s="11" t="s">
        <v>48</v>
      </c>
      <c r="D84" s="11">
        <v>44</v>
      </c>
      <c r="E84" s="12">
        <v>0.25694444444444442</v>
      </c>
      <c r="F84" s="12">
        <v>0.24166666666666667</v>
      </c>
      <c r="G84" s="12">
        <v>0.31944444444444442</v>
      </c>
      <c r="H84" s="12">
        <v>0.31388888888888888</v>
      </c>
      <c r="I84" s="12">
        <f t="shared" si="1"/>
        <v>7.2222222222222215E-2</v>
      </c>
      <c r="J84" s="11" t="s">
        <v>33</v>
      </c>
      <c r="K84" s="11"/>
      <c r="L84" s="11"/>
      <c r="M84" s="11"/>
      <c r="N84" s="11"/>
      <c r="O84" s="11"/>
      <c r="P84" s="11"/>
      <c r="Q84" s="11"/>
      <c r="R84" s="12"/>
      <c r="S84" s="12"/>
      <c r="T84" s="12"/>
      <c r="U84" s="12"/>
      <c r="V84" s="12"/>
      <c r="W84" s="12"/>
      <c r="X84" s="11"/>
      <c r="Y84" s="12"/>
      <c r="Z84" s="11"/>
      <c r="AA84" s="11"/>
    </row>
    <row r="85" spans="1:27" ht="17.25" customHeight="1" x14ac:dyDescent="0.25">
      <c r="A85" s="10">
        <v>45370</v>
      </c>
      <c r="B85" s="11">
        <v>1560</v>
      </c>
      <c r="C85" s="11" t="s">
        <v>32</v>
      </c>
      <c r="D85" s="11">
        <v>44</v>
      </c>
      <c r="E85" s="12">
        <v>0.25694444444444442</v>
      </c>
      <c r="F85" s="12">
        <v>0.24097222222222223</v>
      </c>
      <c r="G85" s="12">
        <v>0.31944444444444442</v>
      </c>
      <c r="H85" s="12">
        <v>0.30277777777777776</v>
      </c>
      <c r="I85" s="12">
        <f t="shared" si="1"/>
        <v>6.180555555555553E-2</v>
      </c>
      <c r="J85" s="11" t="s">
        <v>33</v>
      </c>
      <c r="K85" s="11"/>
      <c r="L85" s="11"/>
      <c r="M85" s="11"/>
      <c r="N85" s="12"/>
      <c r="O85" s="12"/>
      <c r="P85" s="11"/>
      <c r="Q85" s="11"/>
      <c r="R85" s="12"/>
      <c r="S85" s="12"/>
      <c r="T85" s="12"/>
      <c r="U85" s="12"/>
      <c r="V85" s="12"/>
      <c r="W85" s="12"/>
      <c r="X85" s="11"/>
      <c r="Y85" s="12"/>
      <c r="Z85" s="11"/>
      <c r="AA85" s="11"/>
    </row>
    <row r="86" spans="1:27" ht="17.25" customHeight="1" x14ac:dyDescent="0.25">
      <c r="A86" s="10">
        <v>45371</v>
      </c>
      <c r="B86" s="11">
        <v>1560</v>
      </c>
      <c r="C86" s="11" t="s">
        <v>39</v>
      </c>
      <c r="D86" s="11">
        <v>44</v>
      </c>
      <c r="E86" s="12">
        <v>0.25694444444444442</v>
      </c>
      <c r="F86" s="12">
        <v>0.24513888888888888</v>
      </c>
      <c r="G86" s="12">
        <v>0.31944444444444442</v>
      </c>
      <c r="H86" s="12">
        <v>0.31944444444444442</v>
      </c>
      <c r="I86" s="12">
        <f t="shared" si="1"/>
        <v>7.4305555555555541E-2</v>
      </c>
      <c r="J86" s="11" t="s">
        <v>33</v>
      </c>
      <c r="K86" s="11"/>
      <c r="L86" s="11"/>
      <c r="M86" s="11"/>
      <c r="N86" s="12"/>
      <c r="O86" s="12"/>
      <c r="P86" s="11"/>
      <c r="Q86" s="11"/>
      <c r="R86" s="12"/>
      <c r="S86" s="12"/>
      <c r="T86" s="12"/>
      <c r="U86" s="12"/>
      <c r="V86" s="12"/>
      <c r="W86" s="12"/>
      <c r="X86" s="11"/>
      <c r="Y86" s="12"/>
      <c r="Z86" s="11"/>
      <c r="AA86" s="11"/>
    </row>
    <row r="87" spans="1:27" ht="17.25" customHeight="1" x14ac:dyDescent="0.25">
      <c r="A87" s="10">
        <v>45372</v>
      </c>
      <c r="B87" s="11">
        <v>1560</v>
      </c>
      <c r="C87" s="11" t="s">
        <v>38</v>
      </c>
      <c r="D87" s="11">
        <v>44</v>
      </c>
      <c r="E87" s="12">
        <v>0.25694444444444442</v>
      </c>
      <c r="F87" s="12">
        <v>0.24652777777777779</v>
      </c>
      <c r="G87" s="12">
        <v>0.31944444444444442</v>
      </c>
      <c r="H87" s="12">
        <v>0.31388888888888888</v>
      </c>
      <c r="I87" s="12">
        <f t="shared" si="1"/>
        <v>6.7361111111111094E-2</v>
      </c>
      <c r="J87" s="11" t="s">
        <v>33</v>
      </c>
      <c r="K87" s="11"/>
      <c r="L87" s="17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7.25" customHeight="1" x14ac:dyDescent="0.25">
      <c r="A88" s="10">
        <v>45373</v>
      </c>
      <c r="B88" s="11">
        <v>1560</v>
      </c>
      <c r="C88" s="11" t="s">
        <v>39</v>
      </c>
      <c r="D88" s="11">
        <v>44</v>
      </c>
      <c r="E88" s="12">
        <v>0.25694444444444442</v>
      </c>
      <c r="F88" s="12">
        <v>0.34444444444444444</v>
      </c>
      <c r="G88" s="12">
        <v>0.31944444444444442</v>
      </c>
      <c r="H88" s="12">
        <v>0.5131944444444444</v>
      </c>
      <c r="I88" s="12">
        <f t="shared" si="1"/>
        <v>0.16874999999999996</v>
      </c>
      <c r="J88" s="12">
        <v>0.19375000000000001</v>
      </c>
      <c r="K88" s="11" t="s">
        <v>82</v>
      </c>
      <c r="L88" s="11" t="s">
        <v>326</v>
      </c>
      <c r="M88" s="11"/>
      <c r="N88" s="12"/>
      <c r="O88" s="12"/>
      <c r="P88" s="11"/>
      <c r="Q88" s="11"/>
      <c r="R88" s="12"/>
      <c r="S88" s="12"/>
      <c r="T88" s="12"/>
      <c r="U88" s="12"/>
      <c r="V88" s="12"/>
      <c r="W88" s="12"/>
      <c r="X88" s="11"/>
      <c r="Y88" s="12"/>
      <c r="Z88" s="11"/>
      <c r="AA88" s="11"/>
    </row>
    <row r="89" spans="1:27" ht="17.25" customHeight="1" x14ac:dyDescent="0.25">
      <c r="A89" s="10">
        <v>45374</v>
      </c>
      <c r="B89" s="11">
        <v>2558</v>
      </c>
      <c r="C89" s="11"/>
      <c r="D89" s="11"/>
      <c r="E89" s="12"/>
      <c r="F89" s="12"/>
      <c r="G89" s="12"/>
      <c r="H89" s="12"/>
      <c r="I89" s="12">
        <f t="shared" si="1"/>
        <v>0</v>
      </c>
      <c r="J89" s="11"/>
      <c r="K89" s="11"/>
      <c r="L89" s="11"/>
      <c r="M89" s="11"/>
      <c r="N89" s="12"/>
      <c r="O89" s="12"/>
      <c r="P89" s="11"/>
      <c r="Q89" s="11"/>
      <c r="R89" s="12"/>
      <c r="S89" s="12"/>
      <c r="T89" s="12"/>
      <c r="U89" s="12"/>
      <c r="V89" s="12"/>
      <c r="W89" s="12"/>
      <c r="X89" s="11"/>
      <c r="Y89" s="12"/>
      <c r="Z89" s="11"/>
      <c r="AA89" s="11"/>
    </row>
    <row r="90" spans="1:27" s="15" customFormat="1" ht="17.25" customHeight="1" x14ac:dyDescent="0.25">
      <c r="A90" s="18">
        <v>45375</v>
      </c>
      <c r="B90" s="14"/>
      <c r="C90" s="14"/>
      <c r="D90" s="14"/>
      <c r="E90" s="19"/>
      <c r="F90" s="19"/>
      <c r="G90" s="19"/>
      <c r="H90" s="19"/>
      <c r="I90" s="19">
        <f t="shared" si="1"/>
        <v>0</v>
      </c>
      <c r="J90" s="14"/>
      <c r="K90" s="14"/>
      <c r="L90" s="14"/>
      <c r="M90" s="14"/>
      <c r="N90" s="19"/>
      <c r="O90" s="19"/>
      <c r="P90" s="14"/>
      <c r="Q90" s="14"/>
      <c r="R90" s="19"/>
      <c r="S90" s="19"/>
      <c r="T90" s="19"/>
      <c r="U90" s="19"/>
      <c r="V90" s="19"/>
      <c r="W90" s="19"/>
      <c r="X90" s="14"/>
      <c r="Y90" s="19"/>
      <c r="Z90" s="14"/>
      <c r="AA90" s="14"/>
    </row>
    <row r="91" spans="1:27" ht="17.25" customHeight="1" x14ac:dyDescent="0.25">
      <c r="A91" s="10">
        <v>45376</v>
      </c>
      <c r="B91" s="11"/>
      <c r="C91" s="11"/>
      <c r="D91" s="11"/>
      <c r="E91" s="12"/>
      <c r="F91" s="12"/>
      <c r="G91" s="12"/>
      <c r="H91" s="12"/>
      <c r="I91" s="12">
        <f t="shared" si="1"/>
        <v>0</v>
      </c>
      <c r="J91" s="11"/>
      <c r="K91" s="11"/>
      <c r="L91" s="11"/>
      <c r="M91" s="11"/>
      <c r="N91" s="12"/>
      <c r="O91" s="12"/>
      <c r="P91" s="11"/>
      <c r="Q91" s="11"/>
      <c r="R91" s="12"/>
      <c r="S91" s="12"/>
      <c r="T91" s="12"/>
      <c r="U91" s="12"/>
      <c r="V91" s="12"/>
      <c r="W91" s="12"/>
      <c r="X91" s="11"/>
      <c r="Y91" s="12"/>
      <c r="Z91" s="11"/>
      <c r="AA91" s="11"/>
    </row>
    <row r="92" spans="1:27" ht="17.25" customHeight="1" x14ac:dyDescent="0.25">
      <c r="A92" s="10">
        <v>45377</v>
      </c>
      <c r="B92" s="11"/>
      <c r="C92" s="11"/>
      <c r="D92" s="11"/>
      <c r="E92" s="12"/>
      <c r="F92" s="12"/>
      <c r="G92" s="12"/>
      <c r="H92" s="12"/>
      <c r="I92" s="12">
        <f t="shared" si="1"/>
        <v>0</v>
      </c>
      <c r="J92" s="11"/>
      <c r="K92" s="11"/>
      <c r="L92" s="11"/>
      <c r="M92" s="11"/>
      <c r="N92" s="12"/>
      <c r="O92" s="12"/>
      <c r="P92" s="11"/>
      <c r="Q92" s="11"/>
      <c r="R92" s="12"/>
      <c r="S92" s="12"/>
      <c r="T92" s="12"/>
      <c r="U92" s="12"/>
      <c r="V92" s="12"/>
      <c r="W92" s="12"/>
      <c r="X92" s="12"/>
      <c r="Y92" s="12"/>
      <c r="Z92" s="11"/>
      <c r="AA92" s="11"/>
    </row>
    <row r="93" spans="1:27" ht="17.25" customHeight="1" x14ac:dyDescent="0.25">
      <c r="A93" s="10">
        <v>45378</v>
      </c>
      <c r="B93" s="11">
        <v>1560</v>
      </c>
      <c r="C93" s="11" t="s">
        <v>38</v>
      </c>
      <c r="D93" s="11">
        <v>44</v>
      </c>
      <c r="E93" s="12">
        <v>0.25694444444444442</v>
      </c>
      <c r="F93" s="12">
        <v>0.26458333333333334</v>
      </c>
      <c r="G93" s="12">
        <v>0.31944444444444442</v>
      </c>
      <c r="H93" s="12">
        <v>0.3215277777777778</v>
      </c>
      <c r="I93" s="12">
        <f t="shared" si="1"/>
        <v>5.6944444444444464E-2</v>
      </c>
      <c r="J93" s="11" t="s">
        <v>327</v>
      </c>
      <c r="K93" s="11" t="s">
        <v>50</v>
      </c>
      <c r="L93" s="11" t="s">
        <v>308</v>
      </c>
      <c r="M93" s="11"/>
      <c r="N93" s="12"/>
      <c r="O93" s="12"/>
      <c r="P93" s="11"/>
      <c r="Q93" s="11"/>
      <c r="R93" s="12"/>
      <c r="S93" s="11"/>
      <c r="T93" s="12"/>
      <c r="U93" s="12"/>
      <c r="V93" s="12"/>
      <c r="W93" s="12"/>
      <c r="X93" s="12"/>
      <c r="Y93" s="12"/>
      <c r="Z93" s="11"/>
      <c r="AA93" s="11"/>
    </row>
    <row r="94" spans="1:27" ht="17.25" customHeight="1" x14ac:dyDescent="0.25">
      <c r="A94" s="10">
        <v>45379</v>
      </c>
      <c r="B94" s="11">
        <v>1560</v>
      </c>
      <c r="C94" s="11" t="s">
        <v>32</v>
      </c>
      <c r="D94" s="11">
        <v>44</v>
      </c>
      <c r="E94" s="12">
        <v>0.25694444444444442</v>
      </c>
      <c r="F94" s="12">
        <v>0.29305555555555557</v>
      </c>
      <c r="G94" s="12">
        <v>0.31944444444444442</v>
      </c>
      <c r="H94" s="12">
        <v>0.35416666666666669</v>
      </c>
      <c r="I94" s="12">
        <f t="shared" si="1"/>
        <v>6.1111111111111116E-2</v>
      </c>
      <c r="J94" s="11" t="s">
        <v>328</v>
      </c>
      <c r="K94" s="11" t="s">
        <v>50</v>
      </c>
      <c r="L94" s="11" t="s">
        <v>308</v>
      </c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7.25" customHeight="1" x14ac:dyDescent="0.25">
      <c r="A95" s="10">
        <v>45380</v>
      </c>
      <c r="B95" s="11">
        <v>1560</v>
      </c>
      <c r="C95" s="11" t="s">
        <v>38</v>
      </c>
      <c r="D95" s="11">
        <v>44</v>
      </c>
      <c r="E95" s="12">
        <v>0.25694444444444442</v>
      </c>
      <c r="F95" s="12">
        <v>0.25555555555555554</v>
      </c>
      <c r="G95" s="12">
        <v>0.31944444444444442</v>
      </c>
      <c r="H95" s="12">
        <v>0.31944444444444442</v>
      </c>
      <c r="I95" s="12">
        <f t="shared" si="1"/>
        <v>6.3888888888888884E-2</v>
      </c>
      <c r="J95" s="11" t="s">
        <v>33</v>
      </c>
      <c r="K95" s="11"/>
      <c r="L95" s="11"/>
      <c r="M95" s="11"/>
      <c r="N95" s="12"/>
      <c r="O95" s="12"/>
      <c r="P95" s="11"/>
      <c r="Q95" s="11"/>
      <c r="R95" s="12"/>
      <c r="S95" s="12"/>
      <c r="T95" s="12"/>
      <c r="U95" s="12"/>
      <c r="V95" s="12"/>
      <c r="W95" s="12"/>
      <c r="X95" s="12"/>
      <c r="Y95" s="12"/>
      <c r="Z95" s="11"/>
      <c r="AA95" s="11"/>
    </row>
    <row r="96" spans="1:27" ht="17.25" customHeight="1" x14ac:dyDescent="0.25">
      <c r="A96" s="10">
        <v>45381</v>
      </c>
      <c r="B96" s="11">
        <v>2558</v>
      </c>
      <c r="C96" s="11" t="s">
        <v>39</v>
      </c>
      <c r="D96" s="11">
        <v>43</v>
      </c>
      <c r="E96" s="12">
        <v>0.25694444444444442</v>
      </c>
      <c r="F96" s="12">
        <v>0.26319444444444445</v>
      </c>
      <c r="G96" s="12">
        <v>0.33333333333333331</v>
      </c>
      <c r="H96" s="12">
        <v>0.33333333333333331</v>
      </c>
      <c r="I96" s="12">
        <f t="shared" si="1"/>
        <v>7.0138888888888862E-2</v>
      </c>
      <c r="J96" s="11" t="s">
        <v>33</v>
      </c>
      <c r="K96" s="11"/>
      <c r="L96" s="11"/>
      <c r="M96" s="11"/>
      <c r="N96" s="12"/>
      <c r="O96" s="12"/>
      <c r="P96" s="11"/>
      <c r="Q96" s="11"/>
      <c r="R96" s="12"/>
      <c r="S96" s="12"/>
      <c r="T96" s="12"/>
      <c r="U96" s="12"/>
      <c r="V96" s="12"/>
      <c r="W96" s="12"/>
      <c r="X96" s="12"/>
      <c r="Y96" s="12"/>
      <c r="Z96" s="11"/>
      <c r="AA96" s="11"/>
    </row>
    <row r="97" spans="1:27" s="58" customFormat="1" ht="17.25" customHeight="1" x14ac:dyDescent="0.25">
      <c r="A97" s="55">
        <v>45382</v>
      </c>
      <c r="B97" s="56"/>
      <c r="C97" s="56"/>
      <c r="D97" s="56"/>
      <c r="E97" s="57"/>
      <c r="F97" s="57"/>
      <c r="G97" s="57"/>
      <c r="H97" s="57"/>
      <c r="I97" s="57">
        <f t="shared" si="1"/>
        <v>0</v>
      </c>
      <c r="J97" s="56"/>
      <c r="K97" s="56"/>
      <c r="L97" s="56"/>
      <c r="M97" s="56"/>
      <c r="N97" s="57"/>
      <c r="O97" s="57"/>
      <c r="P97" s="56"/>
      <c r="Q97" s="56"/>
      <c r="R97" s="57"/>
      <c r="S97" s="57"/>
      <c r="T97" s="57"/>
      <c r="U97" s="57"/>
      <c r="V97" s="57"/>
      <c r="W97" s="57"/>
      <c r="X97" s="57"/>
      <c r="Y97" s="57"/>
      <c r="Z97" s="56"/>
      <c r="AA97" s="56"/>
    </row>
    <row r="98" spans="1:27" ht="17.25" customHeight="1" x14ac:dyDescent="0.25">
      <c r="A98" s="10">
        <v>45383</v>
      </c>
      <c r="B98" s="11">
        <v>1560</v>
      </c>
      <c r="C98" s="11" t="s">
        <v>38</v>
      </c>
      <c r="D98" s="11">
        <v>44</v>
      </c>
      <c r="E98" s="12">
        <v>0.25694444444444442</v>
      </c>
      <c r="F98" s="12">
        <v>0.2590277777777778</v>
      </c>
      <c r="G98" s="12">
        <v>0.31944444444444442</v>
      </c>
      <c r="H98" s="12">
        <v>0.31944444444444442</v>
      </c>
      <c r="I98" s="12">
        <f t="shared" si="1"/>
        <v>6.0416666666666619E-2</v>
      </c>
      <c r="J98" s="11" t="s">
        <v>33</v>
      </c>
      <c r="K98" s="11"/>
      <c r="L98" s="11"/>
      <c r="M98" s="11"/>
      <c r="N98" s="12"/>
      <c r="O98" s="12"/>
      <c r="P98" s="11"/>
      <c r="Q98" s="11"/>
      <c r="R98" s="12"/>
      <c r="S98" s="12"/>
      <c r="T98" s="12"/>
      <c r="U98" s="12"/>
      <c r="V98" s="12"/>
      <c r="W98" s="12"/>
      <c r="X98" s="12"/>
      <c r="Y98" s="12"/>
      <c r="Z98" s="11"/>
      <c r="AA98" s="11"/>
    </row>
    <row r="99" spans="1:27" ht="17.25" customHeight="1" x14ac:dyDescent="0.25">
      <c r="A99" s="10">
        <v>45384</v>
      </c>
      <c r="B99" s="11">
        <v>1560</v>
      </c>
      <c r="C99" s="11" t="s">
        <v>39</v>
      </c>
      <c r="D99" s="11">
        <v>44</v>
      </c>
      <c r="E99" s="12">
        <v>0.27430555555555558</v>
      </c>
      <c r="F99" s="12">
        <v>0.28055555555555556</v>
      </c>
      <c r="G99" s="12">
        <v>0.33680555555555558</v>
      </c>
      <c r="H99" s="12">
        <v>0.33333333333333331</v>
      </c>
      <c r="I99" s="12">
        <f t="shared" si="1"/>
        <v>5.2777777777777757E-2</v>
      </c>
      <c r="J99" s="11" t="s">
        <v>33</v>
      </c>
      <c r="K99" s="11"/>
      <c r="L99" s="11"/>
      <c r="M99" s="11"/>
      <c r="N99" s="12"/>
      <c r="O99" s="12"/>
      <c r="P99" s="11"/>
      <c r="Q99" s="11"/>
      <c r="R99" s="12"/>
      <c r="S99" s="12"/>
      <c r="T99" s="12"/>
      <c r="U99" s="12"/>
      <c r="V99" s="12"/>
      <c r="W99" s="12"/>
      <c r="X99" s="12"/>
      <c r="Y99" s="12"/>
      <c r="Z99" s="11"/>
      <c r="AA99" s="11"/>
    </row>
    <row r="100" spans="1:27" ht="17.25" customHeight="1" x14ac:dyDescent="0.25">
      <c r="A100" s="10">
        <v>45385</v>
      </c>
      <c r="B100" s="11"/>
      <c r="C100" s="11"/>
      <c r="D100" s="11"/>
      <c r="E100" s="12"/>
      <c r="F100" s="12"/>
      <c r="G100" s="12"/>
      <c r="H100" s="12"/>
      <c r="I100" s="12">
        <f t="shared" si="1"/>
        <v>0</v>
      </c>
      <c r="J100" s="11"/>
      <c r="K100" s="11"/>
      <c r="L100" s="11"/>
      <c r="M100" s="11"/>
      <c r="N100" s="12"/>
      <c r="O100" s="12"/>
      <c r="P100" s="11"/>
      <c r="Q100" s="11"/>
      <c r="R100" s="12"/>
      <c r="S100" s="12"/>
      <c r="T100" s="12"/>
      <c r="U100" s="12"/>
      <c r="V100" s="12"/>
      <c r="W100" s="12"/>
      <c r="X100" s="12"/>
      <c r="Y100" s="12"/>
      <c r="Z100" s="11"/>
      <c r="AA100" s="11"/>
    </row>
    <row r="101" spans="1:27" ht="17.25" customHeight="1" x14ac:dyDescent="0.25">
      <c r="A101" s="10">
        <v>45386</v>
      </c>
      <c r="B101" s="11"/>
      <c r="C101" s="11"/>
      <c r="D101" s="11"/>
      <c r="E101" s="12"/>
      <c r="F101" s="12"/>
      <c r="G101" s="12"/>
      <c r="H101" s="12"/>
      <c r="I101" s="12">
        <f t="shared" si="1"/>
        <v>0</v>
      </c>
      <c r="J101" s="11"/>
      <c r="K101" s="11"/>
      <c r="L101" s="11"/>
      <c r="M101" s="11"/>
      <c r="N101" s="12"/>
      <c r="O101" s="12"/>
      <c r="P101" s="11"/>
      <c r="Q101" s="11"/>
      <c r="R101" s="12"/>
      <c r="S101" s="12"/>
      <c r="T101" s="12"/>
      <c r="U101" s="12"/>
      <c r="V101" s="12"/>
      <c r="W101" s="12"/>
      <c r="X101" s="12"/>
      <c r="Y101" s="12"/>
      <c r="Z101" s="11"/>
      <c r="AA101" s="11"/>
    </row>
    <row r="102" spans="1:27" ht="17.25" customHeight="1" x14ac:dyDescent="0.25">
      <c r="A102" s="10">
        <v>45387</v>
      </c>
      <c r="B102" s="11">
        <v>1560</v>
      </c>
      <c r="C102" s="11" t="s">
        <v>32</v>
      </c>
      <c r="D102" s="11">
        <v>44</v>
      </c>
      <c r="E102" s="12">
        <v>0.25694444444444442</v>
      </c>
      <c r="F102" s="12">
        <v>0.26805555555555555</v>
      </c>
      <c r="G102" s="12">
        <v>0.31944444444444442</v>
      </c>
      <c r="H102" s="12">
        <v>0.32222222222222224</v>
      </c>
      <c r="I102" s="12">
        <f t="shared" si="1"/>
        <v>5.4166666666666696E-2</v>
      </c>
      <c r="J102" s="11" t="s">
        <v>329</v>
      </c>
      <c r="K102" s="11" t="s">
        <v>50</v>
      </c>
      <c r="L102" s="11" t="s">
        <v>308</v>
      </c>
      <c r="M102" s="11"/>
      <c r="N102" s="12"/>
      <c r="O102" s="12"/>
      <c r="P102" s="11"/>
      <c r="Q102" s="11"/>
      <c r="R102" s="12"/>
      <c r="S102" s="12"/>
      <c r="T102" s="12"/>
      <c r="U102" s="12"/>
      <c r="V102" s="12"/>
      <c r="W102" s="12"/>
      <c r="X102" s="11"/>
      <c r="Y102" s="12"/>
      <c r="Z102" s="11"/>
      <c r="AA102" s="11"/>
    </row>
    <row r="103" spans="1:27" ht="17.25" customHeight="1" x14ac:dyDescent="0.25">
      <c r="A103" s="10">
        <v>45388</v>
      </c>
      <c r="B103" s="11">
        <v>2558</v>
      </c>
      <c r="C103" s="11" t="s">
        <v>48</v>
      </c>
      <c r="D103" s="11">
        <v>44</v>
      </c>
      <c r="E103" s="12">
        <v>0.25694444444444442</v>
      </c>
      <c r="F103" s="12">
        <v>0.25069444444444444</v>
      </c>
      <c r="G103" s="12">
        <v>0.33333333333333331</v>
      </c>
      <c r="H103" s="12">
        <v>0.3263888888888889</v>
      </c>
      <c r="I103" s="12">
        <f t="shared" si="1"/>
        <v>7.5694444444444453E-2</v>
      </c>
      <c r="J103" s="11" t="s">
        <v>33</v>
      </c>
      <c r="K103" s="11"/>
      <c r="L103" s="11"/>
      <c r="M103" s="11"/>
      <c r="N103" s="12"/>
      <c r="O103" s="12"/>
      <c r="P103" s="11"/>
      <c r="Q103" s="11"/>
      <c r="R103" s="12"/>
      <c r="S103" s="12"/>
      <c r="T103" s="12"/>
      <c r="U103" s="12"/>
      <c r="V103" s="12"/>
      <c r="W103" s="12"/>
      <c r="X103" s="11"/>
      <c r="Y103" s="12"/>
      <c r="Z103" s="11"/>
      <c r="AA103" s="11"/>
    </row>
    <row r="104" spans="1:27" s="15" customFormat="1" ht="17.25" customHeight="1" x14ac:dyDescent="0.25">
      <c r="A104" s="18">
        <v>45389</v>
      </c>
      <c r="B104" s="14"/>
      <c r="C104" s="14"/>
      <c r="D104" s="14"/>
      <c r="E104" s="19"/>
      <c r="F104" s="19"/>
      <c r="G104" s="19"/>
      <c r="H104" s="19"/>
      <c r="I104" s="19">
        <f t="shared" si="1"/>
        <v>0</v>
      </c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7.25" customHeight="1" x14ac:dyDescent="0.25">
      <c r="A105" s="10">
        <v>45390</v>
      </c>
      <c r="B105" s="11">
        <v>1560</v>
      </c>
      <c r="C105" s="11" t="s">
        <v>38</v>
      </c>
      <c r="D105" s="11">
        <v>43</v>
      </c>
      <c r="E105" s="12">
        <v>0.21527777777777779</v>
      </c>
      <c r="F105" s="12">
        <v>0.21249999999999999</v>
      </c>
      <c r="G105" s="12">
        <v>0.27777777777777779</v>
      </c>
      <c r="H105" s="12">
        <v>0.28541666666666665</v>
      </c>
      <c r="I105" s="12">
        <f t="shared" si="1"/>
        <v>7.2916666666666657E-2</v>
      </c>
      <c r="J105" s="11" t="s">
        <v>330</v>
      </c>
      <c r="K105" s="11">
        <v>48</v>
      </c>
      <c r="L105" s="11" t="s">
        <v>331</v>
      </c>
      <c r="M105" s="11"/>
      <c r="N105" s="12"/>
      <c r="O105" s="12"/>
      <c r="P105" s="11"/>
      <c r="Q105" s="11"/>
      <c r="R105" s="12"/>
      <c r="S105" s="12"/>
      <c r="T105" s="12"/>
      <c r="U105" s="12"/>
      <c r="V105" s="12"/>
      <c r="W105" s="12"/>
      <c r="X105" s="11"/>
      <c r="Y105" s="12"/>
      <c r="Z105" s="11"/>
      <c r="AA105" s="11"/>
    </row>
    <row r="106" spans="1:27" ht="17.25" customHeight="1" x14ac:dyDescent="0.25">
      <c r="A106" s="10">
        <v>45391</v>
      </c>
      <c r="B106" s="11">
        <v>1560</v>
      </c>
      <c r="C106" s="11" t="s">
        <v>48</v>
      </c>
      <c r="D106" s="11">
        <v>44</v>
      </c>
      <c r="E106" s="12">
        <v>0.2326388888888889</v>
      </c>
      <c r="F106" s="12">
        <v>0.26180555555555557</v>
      </c>
      <c r="G106" s="12">
        <v>0.2951388888888889</v>
      </c>
      <c r="H106" s="12">
        <v>0.31944444444444442</v>
      </c>
      <c r="I106" s="12">
        <f t="shared" si="1"/>
        <v>5.7638888888888851E-2</v>
      </c>
      <c r="J106" s="11" t="s">
        <v>332</v>
      </c>
      <c r="K106" s="11" t="s">
        <v>50</v>
      </c>
      <c r="L106" s="11" t="s">
        <v>308</v>
      </c>
      <c r="M106" s="11"/>
      <c r="N106" s="12"/>
      <c r="O106" s="12"/>
      <c r="P106" s="11"/>
      <c r="Q106" s="11"/>
      <c r="R106" s="12"/>
      <c r="S106" s="12"/>
      <c r="T106" s="12"/>
      <c r="U106" s="12"/>
      <c r="V106" s="12"/>
      <c r="W106" s="12"/>
      <c r="X106" s="11"/>
      <c r="Y106" s="12"/>
      <c r="Z106" s="11"/>
      <c r="AA106" s="11"/>
    </row>
    <row r="107" spans="1:27" ht="17.25" customHeight="1" x14ac:dyDescent="0.25">
      <c r="A107" s="10">
        <v>45392</v>
      </c>
      <c r="B107" s="11">
        <v>1560</v>
      </c>
      <c r="C107" s="11" t="s">
        <v>38</v>
      </c>
      <c r="D107" s="11">
        <v>43</v>
      </c>
      <c r="E107" s="12">
        <v>0.2326388888888889</v>
      </c>
      <c r="F107" s="12">
        <v>0.36458333333333331</v>
      </c>
      <c r="G107" s="12">
        <v>0.2951388888888889</v>
      </c>
      <c r="H107" s="12">
        <v>0.42986111111111114</v>
      </c>
      <c r="I107" s="12">
        <f t="shared" si="1"/>
        <v>6.5277777777777823E-2</v>
      </c>
      <c r="J107" s="11" t="s">
        <v>333</v>
      </c>
      <c r="K107" s="11" t="s">
        <v>334</v>
      </c>
      <c r="L107" s="11" t="s">
        <v>335</v>
      </c>
      <c r="M107" s="11"/>
      <c r="N107" s="12"/>
      <c r="O107" s="12"/>
      <c r="P107" s="11"/>
      <c r="Q107" s="11"/>
      <c r="R107" s="12"/>
      <c r="S107" s="12"/>
      <c r="T107" s="12"/>
      <c r="U107" s="12"/>
      <c r="V107" s="12"/>
      <c r="W107" s="12"/>
      <c r="X107" s="11"/>
      <c r="Y107" s="12"/>
      <c r="Z107" s="11"/>
      <c r="AA107" s="11"/>
    </row>
    <row r="108" spans="1:27" ht="17.25" customHeight="1" x14ac:dyDescent="0.25">
      <c r="A108" s="10">
        <v>45393</v>
      </c>
      <c r="B108" s="11">
        <v>1560</v>
      </c>
      <c r="C108" s="11" t="s">
        <v>48</v>
      </c>
      <c r="D108" s="11">
        <v>43</v>
      </c>
      <c r="E108" s="12">
        <v>0.2326388888888889</v>
      </c>
      <c r="F108" s="12">
        <v>0.5131944444444444</v>
      </c>
      <c r="G108" s="12">
        <v>0.2951388888888889</v>
      </c>
      <c r="H108" s="12">
        <v>0.57152777777777775</v>
      </c>
      <c r="I108" s="12">
        <f t="shared" si="1"/>
        <v>5.8333333333333348E-2</v>
      </c>
      <c r="J108" s="11" t="s">
        <v>336</v>
      </c>
      <c r="K108" s="11" t="s">
        <v>82</v>
      </c>
      <c r="L108" s="11" t="s">
        <v>308</v>
      </c>
      <c r="M108" s="11"/>
      <c r="N108" s="11"/>
      <c r="O108" s="11"/>
      <c r="P108" s="11"/>
      <c r="Q108" s="11"/>
      <c r="R108" s="12"/>
      <c r="S108" s="12"/>
      <c r="T108" s="12"/>
      <c r="U108" s="12"/>
      <c r="V108" s="12"/>
      <c r="W108" s="12"/>
      <c r="X108" s="11"/>
      <c r="Y108" s="12"/>
      <c r="Z108" s="11"/>
      <c r="AA108" s="11"/>
    </row>
    <row r="109" spans="1:27" ht="17.25" customHeight="1" x14ac:dyDescent="0.25">
      <c r="A109" s="10">
        <v>45394</v>
      </c>
      <c r="B109" s="11">
        <v>1560</v>
      </c>
      <c r="C109" s="11" t="s">
        <v>38</v>
      </c>
      <c r="D109" s="11">
        <v>44</v>
      </c>
      <c r="E109" s="12">
        <v>0.21527777777777779</v>
      </c>
      <c r="F109" s="12">
        <v>0.22222222222222221</v>
      </c>
      <c r="G109" s="12">
        <v>0.27777777777777779</v>
      </c>
      <c r="H109" s="12">
        <v>0.27777777777777779</v>
      </c>
      <c r="I109" s="12">
        <f t="shared" si="1"/>
        <v>5.555555555555558E-2</v>
      </c>
      <c r="J109" s="11" t="s">
        <v>33</v>
      </c>
      <c r="K109" s="11"/>
      <c r="L109" s="11"/>
      <c r="M109" s="11"/>
      <c r="N109" s="11"/>
      <c r="O109" s="11"/>
      <c r="P109" s="11"/>
      <c r="Q109" s="11"/>
      <c r="R109" s="12"/>
      <c r="S109" s="12"/>
      <c r="T109" s="12"/>
      <c r="U109" s="12"/>
      <c r="V109" s="12"/>
      <c r="W109" s="12"/>
      <c r="X109" s="11"/>
      <c r="Y109" s="12"/>
      <c r="Z109" s="11"/>
      <c r="AA109" s="11"/>
    </row>
    <row r="110" spans="1:27" ht="17.25" customHeight="1" x14ac:dyDescent="0.25">
      <c r="A110" s="10">
        <v>45395</v>
      </c>
      <c r="B110" s="11">
        <v>2558</v>
      </c>
      <c r="C110" s="11" t="s">
        <v>48</v>
      </c>
      <c r="D110" s="11">
        <v>44</v>
      </c>
      <c r="E110" s="12">
        <v>0.21527777777777779</v>
      </c>
      <c r="F110" s="12">
        <v>0.21319444444444444</v>
      </c>
      <c r="G110" s="12">
        <v>0.29166666666666669</v>
      </c>
      <c r="H110" s="12">
        <v>0.28125</v>
      </c>
      <c r="I110" s="12">
        <f t="shared" si="1"/>
        <v>6.8055555555555564E-2</v>
      </c>
      <c r="J110" s="11" t="s">
        <v>33</v>
      </c>
      <c r="K110" s="11"/>
      <c r="L110" s="11"/>
      <c r="M110" s="11"/>
      <c r="N110" s="12"/>
      <c r="O110" s="12"/>
      <c r="P110" s="11"/>
      <c r="Q110" s="11"/>
      <c r="R110" s="12"/>
      <c r="S110" s="12"/>
      <c r="T110" s="12"/>
      <c r="U110" s="12"/>
      <c r="V110" s="12"/>
      <c r="W110" s="12"/>
      <c r="X110" s="11"/>
      <c r="Y110" s="12"/>
      <c r="Z110" s="11"/>
      <c r="AA110" s="11"/>
    </row>
    <row r="111" spans="1:27" s="15" customFormat="1" ht="17.25" customHeight="1" x14ac:dyDescent="0.25">
      <c r="A111" s="18">
        <v>45396</v>
      </c>
      <c r="B111" s="14"/>
      <c r="C111" s="14"/>
      <c r="D111" s="14"/>
      <c r="E111" s="14"/>
      <c r="F111" s="14"/>
      <c r="G111" s="14"/>
      <c r="H111" s="14"/>
      <c r="I111" s="19">
        <f t="shared" si="1"/>
        <v>0</v>
      </c>
      <c r="J111" s="14"/>
      <c r="K111" s="14"/>
      <c r="L111" s="14" t="s">
        <v>337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7.25" customHeight="1" x14ac:dyDescent="0.25">
      <c r="A112" s="10">
        <v>45397</v>
      </c>
      <c r="B112" s="11">
        <v>1560</v>
      </c>
      <c r="C112" s="11" t="s">
        <v>32</v>
      </c>
      <c r="D112" s="11">
        <v>43</v>
      </c>
      <c r="E112" s="12">
        <v>0.21527777777777779</v>
      </c>
      <c r="F112" s="12">
        <v>0.21736111111111112</v>
      </c>
      <c r="G112" s="12">
        <v>0.27777777777777779</v>
      </c>
      <c r="H112" s="12">
        <v>0.2673611111111111</v>
      </c>
      <c r="I112" s="12">
        <f t="shared" si="1"/>
        <v>4.9999999999999989E-2</v>
      </c>
      <c r="J112" s="10" t="s">
        <v>33</v>
      </c>
      <c r="K112" s="11"/>
      <c r="L112" s="11"/>
      <c r="M112" s="11"/>
      <c r="N112" s="12"/>
      <c r="O112" s="12"/>
      <c r="P112" s="11"/>
      <c r="Q112" s="11"/>
      <c r="R112" s="12"/>
      <c r="S112" s="12"/>
      <c r="T112" s="12"/>
      <c r="U112" s="12"/>
      <c r="V112" s="12"/>
      <c r="W112" s="12"/>
      <c r="X112" s="11"/>
      <c r="Y112" s="12"/>
      <c r="Z112" s="11"/>
      <c r="AA112" s="11"/>
    </row>
    <row r="113" spans="1:27" ht="17.25" customHeight="1" x14ac:dyDescent="0.25">
      <c r="A113" s="10">
        <v>45398</v>
      </c>
      <c r="B113" s="11">
        <v>1560</v>
      </c>
      <c r="C113" s="11" t="s">
        <v>38</v>
      </c>
      <c r="D113" s="11">
        <v>43</v>
      </c>
      <c r="E113" s="12">
        <v>0.21527777777777779</v>
      </c>
      <c r="F113" s="12">
        <v>0.22847222222222222</v>
      </c>
      <c r="G113" s="12">
        <v>0.27777777777777779</v>
      </c>
      <c r="H113" s="12">
        <v>0.28333333333333333</v>
      </c>
      <c r="I113" s="12">
        <f t="shared" si="1"/>
        <v>5.486111111111111E-2</v>
      </c>
      <c r="J113" s="11" t="s">
        <v>307</v>
      </c>
      <c r="K113" s="11">
        <v>21</v>
      </c>
      <c r="L113" s="11" t="s">
        <v>338</v>
      </c>
      <c r="M113" s="11"/>
      <c r="N113" s="12"/>
      <c r="O113" s="12"/>
      <c r="P113" s="11"/>
      <c r="Q113" s="11"/>
      <c r="R113" s="12"/>
      <c r="S113" s="12"/>
      <c r="T113" s="12"/>
      <c r="U113" s="12"/>
      <c r="V113" s="12"/>
      <c r="W113" s="12"/>
      <c r="X113" s="11"/>
      <c r="Y113" s="12"/>
      <c r="Z113" s="11"/>
      <c r="AA113" s="11"/>
    </row>
    <row r="114" spans="1:27" ht="17.25" customHeight="1" x14ac:dyDescent="0.25">
      <c r="A114" s="10">
        <v>45399</v>
      </c>
      <c r="B114" s="11">
        <v>1560</v>
      </c>
      <c r="C114" s="11" t="s">
        <v>48</v>
      </c>
      <c r="D114" s="11">
        <v>43</v>
      </c>
      <c r="E114" s="12">
        <v>0.21527777777777779</v>
      </c>
      <c r="F114" s="12">
        <v>0.22361111111111112</v>
      </c>
      <c r="G114" s="12">
        <v>0.27777777777777779</v>
      </c>
      <c r="H114" s="12">
        <v>0.27152777777777776</v>
      </c>
      <c r="I114" s="12">
        <f t="shared" si="1"/>
        <v>4.7916666666666635E-2</v>
      </c>
      <c r="J114" s="17" t="s">
        <v>33</v>
      </c>
      <c r="K114" s="11"/>
      <c r="L114" s="11"/>
      <c r="M114" s="11"/>
      <c r="N114" s="12"/>
      <c r="O114" s="12"/>
      <c r="P114" s="11"/>
      <c r="Q114" s="11"/>
      <c r="R114" s="12"/>
      <c r="S114" s="12"/>
      <c r="T114" s="12"/>
      <c r="U114" s="12"/>
      <c r="V114" s="12"/>
      <c r="W114" s="12"/>
      <c r="X114" s="11"/>
      <c r="Y114" s="12"/>
      <c r="Z114" s="11"/>
      <c r="AA114" s="11"/>
    </row>
    <row r="115" spans="1:27" ht="17.25" customHeight="1" x14ac:dyDescent="0.25">
      <c r="A115" s="10">
        <v>45400</v>
      </c>
      <c r="B115" s="11">
        <v>1560</v>
      </c>
      <c r="C115" s="11" t="s">
        <v>38</v>
      </c>
      <c r="D115" s="11">
        <v>43</v>
      </c>
      <c r="E115" s="12">
        <v>0.21527777777777779</v>
      </c>
      <c r="F115" s="12">
        <v>0.2326388888888889</v>
      </c>
      <c r="G115" s="12">
        <v>0.27777777777777779</v>
      </c>
      <c r="H115" s="12">
        <v>0.29305555555555557</v>
      </c>
      <c r="I115" s="12">
        <f t="shared" si="1"/>
        <v>6.0416666666666674E-2</v>
      </c>
      <c r="J115" s="11" t="s">
        <v>33</v>
      </c>
      <c r="K115" s="11"/>
      <c r="L115" s="11"/>
      <c r="M115" s="11"/>
      <c r="N115" s="11"/>
      <c r="O115" s="11"/>
      <c r="P115" s="11"/>
      <c r="Q115" s="11"/>
      <c r="R115" s="12"/>
      <c r="S115" s="12"/>
      <c r="T115" s="12"/>
      <c r="U115" s="12"/>
      <c r="V115" s="12"/>
      <c r="W115" s="12"/>
      <c r="X115" s="11"/>
      <c r="Y115" s="12"/>
      <c r="Z115" s="11"/>
      <c r="AA115" s="11"/>
    </row>
    <row r="116" spans="1:27" ht="17.25" customHeight="1" x14ac:dyDescent="0.25">
      <c r="A116" s="10">
        <v>45401</v>
      </c>
      <c r="B116" s="11">
        <v>1560</v>
      </c>
      <c r="C116" s="11" t="s">
        <v>35</v>
      </c>
      <c r="D116" s="11">
        <v>44</v>
      </c>
      <c r="E116" s="12">
        <v>0.21527777777777779</v>
      </c>
      <c r="F116" s="12">
        <v>0.23402777777777778</v>
      </c>
      <c r="G116" s="12">
        <v>0.27777777777777779</v>
      </c>
      <c r="H116" s="12">
        <v>0.29930555555555555</v>
      </c>
      <c r="I116" s="12">
        <f t="shared" si="1"/>
        <v>6.5277777777777768E-2</v>
      </c>
      <c r="J116" s="11" t="s">
        <v>309</v>
      </c>
      <c r="K116" s="11" t="s">
        <v>50</v>
      </c>
      <c r="L116" s="11" t="s">
        <v>308</v>
      </c>
      <c r="M116" s="11"/>
      <c r="N116" s="12"/>
      <c r="O116" s="12"/>
      <c r="P116" s="11"/>
      <c r="Q116" s="11"/>
      <c r="R116" s="12"/>
      <c r="S116" s="12"/>
      <c r="T116" s="12"/>
      <c r="U116" s="12"/>
      <c r="V116" s="12"/>
      <c r="W116" s="12"/>
      <c r="X116" s="11"/>
      <c r="Y116" s="12"/>
      <c r="Z116" s="11"/>
      <c r="AA116" s="11"/>
    </row>
    <row r="117" spans="1:27" ht="17.25" customHeight="1" x14ac:dyDescent="0.25">
      <c r="A117" s="10">
        <v>45402</v>
      </c>
      <c r="B117" s="11">
        <v>2558</v>
      </c>
      <c r="C117" s="11" t="s">
        <v>38</v>
      </c>
      <c r="D117" s="11">
        <v>43</v>
      </c>
      <c r="E117" s="12">
        <v>0.21527777777777779</v>
      </c>
      <c r="F117" s="12">
        <v>0.21805555555555556</v>
      </c>
      <c r="G117" s="12">
        <v>0.29166666666666669</v>
      </c>
      <c r="H117" s="12">
        <v>0.28125</v>
      </c>
      <c r="I117" s="12">
        <f t="shared" si="1"/>
        <v>6.3194444444444442E-2</v>
      </c>
      <c r="J117" s="11" t="s">
        <v>33</v>
      </c>
      <c r="K117" s="11"/>
      <c r="L117" s="11"/>
      <c r="M117" s="11"/>
      <c r="N117" s="12"/>
      <c r="O117" s="12"/>
      <c r="P117" s="11"/>
      <c r="Q117" s="11"/>
      <c r="R117" s="12"/>
      <c r="S117" s="12"/>
      <c r="T117" s="12"/>
      <c r="U117" s="12"/>
      <c r="V117" s="12"/>
      <c r="W117" s="12"/>
      <c r="X117" s="11"/>
      <c r="Y117" s="12"/>
      <c r="Z117" s="11"/>
      <c r="AA117" s="11"/>
    </row>
    <row r="118" spans="1:27" s="24" customFormat="1" ht="17.25" customHeight="1" x14ac:dyDescent="0.25">
      <c r="A118" s="20">
        <v>45403</v>
      </c>
      <c r="B118" s="21"/>
      <c r="C118" s="21"/>
      <c r="D118" s="21"/>
      <c r="E118" s="21"/>
      <c r="F118" s="21"/>
      <c r="G118" s="21"/>
      <c r="H118" s="21"/>
      <c r="I118" s="22">
        <f t="shared" si="1"/>
        <v>0</v>
      </c>
      <c r="J118" s="21"/>
      <c r="K118" s="21"/>
      <c r="L118" s="23" t="s">
        <v>337</v>
      </c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ht="17.25" customHeight="1" x14ac:dyDescent="0.25">
      <c r="A119" s="10">
        <v>45404</v>
      </c>
      <c r="B119" s="11">
        <v>1560</v>
      </c>
      <c r="C119" s="11" t="s">
        <v>48</v>
      </c>
      <c r="D119" s="11">
        <v>44</v>
      </c>
      <c r="E119" s="12">
        <v>0.21527777777777779</v>
      </c>
      <c r="F119" s="12">
        <v>0.28125</v>
      </c>
      <c r="G119" s="12">
        <v>0.27777777777777779</v>
      </c>
      <c r="H119" s="12">
        <v>0.32361111111111113</v>
      </c>
      <c r="I119" s="12">
        <f t="shared" si="1"/>
        <v>4.2361111111111127E-2</v>
      </c>
      <c r="J119" s="11" t="s">
        <v>339</v>
      </c>
      <c r="K119" s="11" t="s">
        <v>50</v>
      </c>
      <c r="L119" s="11" t="s">
        <v>308</v>
      </c>
      <c r="M119" s="11"/>
      <c r="N119" s="12"/>
      <c r="O119" s="12"/>
      <c r="P119" s="11"/>
      <c r="Q119" s="11"/>
      <c r="R119" s="12"/>
      <c r="S119" s="12"/>
      <c r="T119" s="12"/>
      <c r="U119" s="12"/>
      <c r="V119" s="12"/>
      <c r="W119" s="12"/>
      <c r="X119" s="11"/>
      <c r="Y119" s="12"/>
      <c r="Z119" s="11"/>
      <c r="AA119" s="11"/>
    </row>
    <row r="120" spans="1:27" ht="17.25" customHeight="1" x14ac:dyDescent="0.25">
      <c r="A120" s="10">
        <v>45405</v>
      </c>
      <c r="B120" s="11">
        <v>1560</v>
      </c>
      <c r="C120" s="11" t="s">
        <v>32</v>
      </c>
      <c r="D120" s="11">
        <v>44</v>
      </c>
      <c r="E120" s="12">
        <v>0.21527777777777779</v>
      </c>
      <c r="F120" s="12">
        <v>0.41249999999999998</v>
      </c>
      <c r="G120" s="12">
        <v>0.27777777777777779</v>
      </c>
      <c r="H120" s="12">
        <v>0.46458333333333335</v>
      </c>
      <c r="I120" s="12">
        <f t="shared" si="1"/>
        <v>5.208333333333337E-2</v>
      </c>
      <c r="J120" s="11" t="s">
        <v>340</v>
      </c>
      <c r="K120" s="11" t="s">
        <v>50</v>
      </c>
      <c r="L120" s="11" t="s">
        <v>308</v>
      </c>
      <c r="M120" s="11"/>
      <c r="N120" s="12"/>
      <c r="O120" s="12"/>
      <c r="P120" s="11"/>
      <c r="Q120" s="11"/>
      <c r="R120" s="12"/>
      <c r="S120" s="12"/>
      <c r="T120" s="12"/>
      <c r="U120" s="12"/>
      <c r="V120" s="12"/>
      <c r="W120" s="12"/>
      <c r="X120" s="11"/>
      <c r="Y120" s="12"/>
      <c r="Z120" s="11"/>
      <c r="AA120" s="11"/>
    </row>
    <row r="121" spans="1:27" ht="17.25" customHeight="1" x14ac:dyDescent="0.25">
      <c r="A121" s="10">
        <v>45406</v>
      </c>
      <c r="B121" s="11">
        <v>1560</v>
      </c>
      <c r="C121" s="11" t="s">
        <v>35</v>
      </c>
      <c r="D121" s="11">
        <v>44</v>
      </c>
      <c r="E121" s="12">
        <v>0.21527777777777779</v>
      </c>
      <c r="F121" s="12">
        <v>0.23680555555555555</v>
      </c>
      <c r="G121" s="12">
        <v>0.27777777777777779</v>
      </c>
      <c r="H121" s="12">
        <v>0.28888888888888886</v>
      </c>
      <c r="I121" s="12">
        <f t="shared" si="1"/>
        <v>5.2083333333333315E-2</v>
      </c>
      <c r="J121" s="11" t="s">
        <v>341</v>
      </c>
      <c r="K121" s="11" t="s">
        <v>50</v>
      </c>
      <c r="L121" s="11" t="s">
        <v>308</v>
      </c>
      <c r="M121" s="11"/>
      <c r="N121" s="12"/>
      <c r="O121" s="12"/>
      <c r="P121" s="11"/>
      <c r="Q121" s="11"/>
      <c r="R121" s="12"/>
      <c r="S121" s="12"/>
      <c r="T121" s="12"/>
      <c r="U121" s="12"/>
      <c r="V121" s="12"/>
      <c r="W121" s="12"/>
      <c r="X121" s="11"/>
      <c r="Y121" s="12"/>
      <c r="Z121" s="11"/>
      <c r="AA121" s="11"/>
    </row>
    <row r="122" spans="1:27" ht="17.25" customHeight="1" x14ac:dyDescent="0.25">
      <c r="A122" s="10">
        <v>45407</v>
      </c>
      <c r="B122" s="11">
        <v>1560</v>
      </c>
      <c r="C122" s="11" t="s">
        <v>32</v>
      </c>
      <c r="D122" s="11">
        <v>44</v>
      </c>
      <c r="E122" s="12">
        <v>0.21527777777777779</v>
      </c>
      <c r="F122" s="12">
        <v>0.22777777777777777</v>
      </c>
      <c r="G122" s="12">
        <v>0.27777777777777779</v>
      </c>
      <c r="H122" s="12">
        <v>0.28611111111111109</v>
      </c>
      <c r="I122" s="12">
        <f t="shared" si="1"/>
        <v>5.833333333333332E-2</v>
      </c>
      <c r="J122" s="11" t="s">
        <v>342</v>
      </c>
      <c r="K122" s="11" t="s">
        <v>50</v>
      </c>
      <c r="L122" s="11" t="s">
        <v>308</v>
      </c>
      <c r="M122" s="11"/>
      <c r="N122" s="12"/>
      <c r="O122" s="12"/>
      <c r="P122" s="11"/>
      <c r="Q122" s="11"/>
      <c r="R122" s="12"/>
      <c r="S122" s="12"/>
      <c r="T122" s="12"/>
      <c r="U122" s="12"/>
      <c r="V122" s="12"/>
      <c r="W122" s="12"/>
      <c r="X122" s="11"/>
      <c r="Y122" s="12"/>
      <c r="Z122" s="11"/>
      <c r="AA122" s="11"/>
    </row>
    <row r="123" spans="1:27" ht="17.25" customHeight="1" x14ac:dyDescent="0.25">
      <c r="A123" s="10">
        <v>45408</v>
      </c>
      <c r="B123" s="11">
        <v>1560</v>
      </c>
      <c r="C123" s="11" t="s">
        <v>35</v>
      </c>
      <c r="D123" s="11">
        <v>44</v>
      </c>
      <c r="E123" s="12">
        <v>0.21527777777777779</v>
      </c>
      <c r="F123" s="12">
        <v>0.23958333333333334</v>
      </c>
      <c r="G123" s="12">
        <v>0.27777777777777779</v>
      </c>
      <c r="H123" s="12">
        <v>0.28541666666666665</v>
      </c>
      <c r="I123" s="12">
        <f t="shared" si="1"/>
        <v>4.5833333333333309E-2</v>
      </c>
      <c r="J123" s="11" t="s">
        <v>330</v>
      </c>
      <c r="K123" s="11" t="s">
        <v>50</v>
      </c>
      <c r="L123" s="11" t="s">
        <v>308</v>
      </c>
      <c r="M123" s="11"/>
      <c r="N123" s="12"/>
      <c r="O123" s="12"/>
      <c r="P123" s="11"/>
      <c r="Q123" s="11"/>
      <c r="R123" s="12"/>
      <c r="S123" s="12"/>
      <c r="T123" s="12"/>
      <c r="U123" s="12"/>
      <c r="V123" s="12"/>
      <c r="W123" s="12"/>
      <c r="X123" s="12"/>
      <c r="Y123" s="12"/>
      <c r="Z123" s="11"/>
      <c r="AA123" s="11"/>
    </row>
    <row r="124" spans="1:27" ht="17.25" customHeight="1" x14ac:dyDescent="0.25">
      <c r="A124" s="10">
        <v>45409</v>
      </c>
      <c r="B124" s="11" t="s">
        <v>343</v>
      </c>
      <c r="C124" s="11"/>
      <c r="D124" s="11"/>
      <c r="E124" s="12"/>
      <c r="F124" s="12"/>
      <c r="G124" s="12"/>
      <c r="H124" s="12"/>
      <c r="I124" s="12">
        <f t="shared" si="1"/>
        <v>0</v>
      </c>
      <c r="J124" s="11"/>
      <c r="K124" s="11"/>
      <c r="L124" s="11" t="s">
        <v>344</v>
      </c>
      <c r="M124" s="11"/>
      <c r="N124" s="12"/>
      <c r="O124" s="12"/>
      <c r="P124" s="11"/>
      <c r="Q124" s="11"/>
      <c r="R124" s="12"/>
      <c r="S124" s="11"/>
      <c r="T124" s="12"/>
      <c r="U124" s="12"/>
      <c r="V124" s="12"/>
      <c r="W124" s="12"/>
      <c r="X124" s="12"/>
      <c r="Y124" s="12"/>
      <c r="Z124" s="11"/>
      <c r="AA124" s="11"/>
    </row>
    <row r="125" spans="1:27" s="15" customFormat="1" ht="17.25" customHeight="1" x14ac:dyDescent="0.25">
      <c r="A125" s="18">
        <v>45410</v>
      </c>
      <c r="B125" s="14"/>
      <c r="C125" s="14"/>
      <c r="D125" s="14"/>
      <c r="E125" s="19"/>
      <c r="F125" s="14"/>
      <c r="G125" s="19"/>
      <c r="H125" s="14"/>
      <c r="I125" s="19">
        <f t="shared" si="1"/>
        <v>0</v>
      </c>
      <c r="J125" s="14"/>
      <c r="K125" s="14"/>
      <c r="L125" s="14" t="s">
        <v>337</v>
      </c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7.25" customHeight="1" x14ac:dyDescent="0.25">
      <c r="A126" s="10">
        <v>45411</v>
      </c>
      <c r="B126" s="11">
        <v>1560</v>
      </c>
      <c r="C126" s="11" t="s">
        <v>35</v>
      </c>
      <c r="D126" s="11">
        <v>45</v>
      </c>
      <c r="E126" s="12">
        <v>0.21527777777777779</v>
      </c>
      <c r="F126" s="12">
        <v>0.33958333333333335</v>
      </c>
      <c r="G126" s="12">
        <v>0.27777777777777779</v>
      </c>
      <c r="H126" s="12">
        <v>0.43888888888888888</v>
      </c>
      <c r="I126" s="12">
        <f t="shared" si="1"/>
        <v>9.9305555555555536E-2</v>
      </c>
      <c r="J126" s="11" t="s">
        <v>345</v>
      </c>
      <c r="K126" s="11" t="s">
        <v>346</v>
      </c>
      <c r="L126" s="11" t="s">
        <v>347</v>
      </c>
      <c r="M126" s="11"/>
      <c r="N126" s="12"/>
      <c r="O126" s="12"/>
      <c r="P126" s="11"/>
      <c r="Q126" s="11"/>
      <c r="R126" s="12"/>
      <c r="S126" s="12"/>
      <c r="T126" s="12"/>
      <c r="U126" s="12"/>
      <c r="V126" s="12"/>
      <c r="W126" s="12"/>
      <c r="X126" s="12"/>
      <c r="Y126" s="12"/>
      <c r="Z126" s="11"/>
      <c r="AA126" s="11"/>
    </row>
    <row r="127" spans="1:27" ht="17.25" customHeight="1" x14ac:dyDescent="0.25">
      <c r="A127" s="10">
        <v>45412</v>
      </c>
      <c r="B127" s="11">
        <v>1560</v>
      </c>
      <c r="C127" s="11" t="s">
        <v>32</v>
      </c>
      <c r="D127" s="11">
        <v>44</v>
      </c>
      <c r="E127" s="12">
        <v>0.21527777777777779</v>
      </c>
      <c r="F127" s="12">
        <v>0.3263888888888889</v>
      </c>
      <c r="G127" s="12">
        <v>0.27777777777777779</v>
      </c>
      <c r="H127" s="12">
        <v>0.37708333333333333</v>
      </c>
      <c r="I127" s="12">
        <f t="shared" si="1"/>
        <v>5.0694444444444431E-2</v>
      </c>
      <c r="J127" s="11" t="s">
        <v>348</v>
      </c>
      <c r="K127" s="11" t="s">
        <v>82</v>
      </c>
      <c r="L127" s="11" t="s">
        <v>308</v>
      </c>
      <c r="M127" s="11"/>
      <c r="N127" s="12"/>
      <c r="O127" s="12"/>
      <c r="P127" s="11"/>
      <c r="Q127" s="11"/>
      <c r="R127" s="12"/>
      <c r="S127" s="12"/>
      <c r="T127" s="12"/>
      <c r="U127" s="12"/>
      <c r="V127" s="12"/>
      <c r="W127" s="12"/>
      <c r="X127" s="12"/>
      <c r="Y127" s="12"/>
      <c r="Z127" s="11"/>
      <c r="AA127" s="11"/>
    </row>
    <row r="128" spans="1:27" ht="17.25" customHeight="1" x14ac:dyDescent="0.25">
      <c r="A128" s="10">
        <v>45413</v>
      </c>
      <c r="B128" s="11"/>
      <c r="C128" s="11"/>
      <c r="D128" s="11"/>
      <c r="E128" s="12"/>
      <c r="F128" s="12"/>
      <c r="G128" s="12"/>
      <c r="H128" s="12"/>
      <c r="I128" s="12">
        <f t="shared" si="1"/>
        <v>0</v>
      </c>
      <c r="J128" s="11"/>
      <c r="K128" s="11"/>
      <c r="L128" s="11"/>
      <c r="M128" s="11"/>
      <c r="N128" s="12"/>
      <c r="O128" s="12"/>
      <c r="P128" s="11"/>
      <c r="Q128" s="11"/>
      <c r="R128" s="12"/>
      <c r="S128" s="12"/>
      <c r="T128" s="12"/>
      <c r="U128" s="12"/>
      <c r="V128" s="12"/>
      <c r="W128" s="12"/>
      <c r="X128" s="12"/>
      <c r="Y128" s="12"/>
      <c r="Z128" s="11"/>
      <c r="AA128" s="11"/>
    </row>
    <row r="129" spans="1:27" ht="17.25" customHeight="1" x14ac:dyDescent="0.25">
      <c r="A129" s="10">
        <v>45414</v>
      </c>
      <c r="B129" s="11">
        <v>1560</v>
      </c>
      <c r="C129" s="11" t="s">
        <v>32</v>
      </c>
      <c r="D129" s="11">
        <v>44</v>
      </c>
      <c r="E129" s="12">
        <v>0.21527777777777779</v>
      </c>
      <c r="F129" s="12">
        <v>0.21805555555555556</v>
      </c>
      <c r="G129" s="12">
        <v>0.27777777777777779</v>
      </c>
      <c r="H129" s="12">
        <v>0.34652777777777777</v>
      </c>
      <c r="I129" s="12">
        <f t="shared" si="1"/>
        <v>0.12847222222222221</v>
      </c>
      <c r="J129" s="11" t="s">
        <v>349</v>
      </c>
      <c r="K129" s="11">
        <v>89</v>
      </c>
      <c r="L129" s="11" t="s">
        <v>350</v>
      </c>
      <c r="M129" s="11"/>
      <c r="N129" s="12"/>
      <c r="O129" s="12"/>
      <c r="P129" s="11"/>
      <c r="Q129" s="11"/>
      <c r="R129" s="12"/>
      <c r="S129" s="12"/>
      <c r="T129" s="12"/>
      <c r="U129" s="12"/>
      <c r="V129" s="12"/>
      <c r="W129" s="12"/>
      <c r="X129" s="12"/>
      <c r="Y129" s="12"/>
      <c r="Z129" s="11"/>
      <c r="AA129" s="11"/>
    </row>
    <row r="130" spans="1:27" ht="17.25" customHeight="1" x14ac:dyDescent="0.25">
      <c r="A130" s="10">
        <v>45415</v>
      </c>
      <c r="B130" s="11">
        <v>1560</v>
      </c>
      <c r="C130" s="11" t="s">
        <v>38</v>
      </c>
      <c r="D130" s="11">
        <v>43</v>
      </c>
      <c r="E130" s="12">
        <v>0.21527777777777779</v>
      </c>
      <c r="F130" s="12">
        <v>0.22013888888888888</v>
      </c>
      <c r="G130" s="12">
        <v>0.27777777777777779</v>
      </c>
      <c r="H130" s="12">
        <v>0.27986111111111112</v>
      </c>
      <c r="I130" s="12">
        <f t="shared" si="1"/>
        <v>5.9722222222222232E-2</v>
      </c>
      <c r="J130" s="11" t="s">
        <v>33</v>
      </c>
      <c r="K130" s="11"/>
      <c r="L130" s="11"/>
      <c r="M130" s="11"/>
      <c r="N130" s="12"/>
      <c r="O130" s="12"/>
      <c r="P130" s="11"/>
      <c r="Q130" s="11"/>
      <c r="R130" s="12"/>
      <c r="S130" s="12"/>
      <c r="T130" s="12"/>
      <c r="U130" s="12"/>
      <c r="V130" s="12"/>
      <c r="W130" s="12"/>
      <c r="X130" s="12"/>
      <c r="Y130" s="12"/>
      <c r="Z130" s="11"/>
      <c r="AA130" s="11"/>
    </row>
    <row r="131" spans="1:27" ht="17.25" customHeight="1" x14ac:dyDescent="0.25">
      <c r="A131" s="10">
        <v>45416</v>
      </c>
      <c r="B131" s="11">
        <v>2558</v>
      </c>
      <c r="C131" s="11" t="s">
        <v>35</v>
      </c>
      <c r="D131" s="11">
        <v>44</v>
      </c>
      <c r="E131" s="12">
        <v>0.21527777777777779</v>
      </c>
      <c r="F131" s="12">
        <v>0.24583333333333332</v>
      </c>
      <c r="G131" s="12">
        <v>0.29166666666666669</v>
      </c>
      <c r="H131" s="12">
        <v>0.31111111111111112</v>
      </c>
      <c r="I131" s="12">
        <f t="shared" si="1"/>
        <v>6.5277777777777796E-2</v>
      </c>
      <c r="J131" s="11" t="s">
        <v>351</v>
      </c>
      <c r="K131" s="11" t="s">
        <v>352</v>
      </c>
      <c r="L131" s="11" t="s">
        <v>353</v>
      </c>
      <c r="M131" s="11"/>
      <c r="N131" s="12"/>
      <c r="O131" s="12"/>
      <c r="P131" s="11"/>
      <c r="Q131" s="11"/>
      <c r="R131" s="12"/>
      <c r="S131" s="12"/>
      <c r="T131" s="12"/>
      <c r="U131" s="12"/>
      <c r="V131" s="12"/>
      <c r="W131" s="12"/>
      <c r="X131" s="12"/>
      <c r="Y131" s="12"/>
      <c r="Z131" s="11"/>
      <c r="AA131" s="11"/>
    </row>
    <row r="132" spans="1:27" s="15" customFormat="1" ht="17.25" customHeight="1" x14ac:dyDescent="0.25">
      <c r="A132" s="18">
        <v>45417</v>
      </c>
      <c r="B132" s="14"/>
      <c r="C132" s="14"/>
      <c r="D132" s="14"/>
      <c r="E132" s="19"/>
      <c r="F132" s="19"/>
      <c r="G132" s="19"/>
      <c r="H132" s="19"/>
      <c r="I132" s="19">
        <f t="shared" si="1"/>
        <v>0</v>
      </c>
      <c r="J132" s="14"/>
      <c r="K132" s="14"/>
      <c r="L132" s="14"/>
      <c r="M132" s="14"/>
      <c r="N132" s="19"/>
      <c r="O132" s="19"/>
      <c r="P132" s="14"/>
      <c r="Q132" s="14"/>
      <c r="R132" s="19"/>
      <c r="S132" s="19"/>
      <c r="T132" s="19"/>
      <c r="U132" s="19"/>
      <c r="V132" s="19"/>
      <c r="W132" s="19"/>
      <c r="X132" s="19"/>
      <c r="Y132" s="19"/>
      <c r="Z132" s="14"/>
      <c r="AA132" s="14"/>
    </row>
    <row r="133" spans="1:27" ht="17.25" customHeight="1" x14ac:dyDescent="0.25">
      <c r="A133" s="10">
        <v>45418</v>
      </c>
      <c r="B133" s="11">
        <v>1560</v>
      </c>
      <c r="C133" s="11" t="s">
        <v>35</v>
      </c>
      <c r="D133" s="11">
        <v>44</v>
      </c>
      <c r="E133" s="12"/>
      <c r="F133" s="12"/>
      <c r="G133" s="12"/>
      <c r="H133" s="12"/>
      <c r="I133" s="12">
        <f t="shared" si="1"/>
        <v>0</v>
      </c>
      <c r="J133" s="11"/>
      <c r="K133" s="11"/>
      <c r="L133" s="11"/>
      <c r="M133" s="11"/>
      <c r="N133" s="12"/>
      <c r="O133" s="12"/>
      <c r="P133" s="11"/>
      <c r="Q133" s="11"/>
      <c r="R133" s="12"/>
      <c r="S133" s="12"/>
      <c r="T133" s="12"/>
      <c r="U133" s="12"/>
      <c r="V133" s="12"/>
      <c r="W133" s="12"/>
      <c r="X133" s="11"/>
      <c r="Y133" s="12"/>
      <c r="Z133" s="11"/>
      <c r="AA133" s="11"/>
    </row>
    <row r="134" spans="1:27" ht="17.25" customHeight="1" x14ac:dyDescent="0.25">
      <c r="A134" s="10">
        <v>45419</v>
      </c>
      <c r="B134" s="11">
        <v>1560</v>
      </c>
      <c r="C134" s="11" t="s">
        <v>38</v>
      </c>
      <c r="D134" s="11">
        <v>44</v>
      </c>
      <c r="E134" s="12">
        <v>0.21527777777777779</v>
      </c>
      <c r="F134" s="12">
        <v>0.2361111111111111</v>
      </c>
      <c r="G134" s="12">
        <v>0.27777777777777779</v>
      </c>
      <c r="H134" s="12">
        <v>0.28680555555555554</v>
      </c>
      <c r="I134" s="12">
        <f t="shared" si="1"/>
        <v>5.0694444444444431E-2</v>
      </c>
      <c r="J134" s="11">
        <v>13</v>
      </c>
      <c r="K134" s="11" t="s">
        <v>50</v>
      </c>
      <c r="L134" s="11" t="s">
        <v>308</v>
      </c>
      <c r="M134" s="11"/>
      <c r="N134" s="12"/>
      <c r="O134" s="12"/>
      <c r="P134" s="11"/>
      <c r="Q134" s="11"/>
      <c r="R134" s="12"/>
      <c r="S134" s="12"/>
      <c r="T134" s="12"/>
      <c r="U134" s="12"/>
      <c r="V134" s="12"/>
      <c r="W134" s="12"/>
      <c r="X134" s="11"/>
      <c r="Y134" s="12"/>
      <c r="Z134" s="11"/>
      <c r="AA134" s="11"/>
    </row>
    <row r="135" spans="1:27" ht="17.25" customHeight="1" x14ac:dyDescent="0.25">
      <c r="A135" s="10">
        <v>45420</v>
      </c>
      <c r="B135" s="11"/>
      <c r="C135" s="11"/>
      <c r="D135" s="11"/>
      <c r="E135" s="12"/>
      <c r="F135" s="12"/>
      <c r="G135" s="12"/>
      <c r="H135" s="12"/>
      <c r="I135" s="12">
        <f t="shared" si="1"/>
        <v>0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7.25" customHeight="1" x14ac:dyDescent="0.25">
      <c r="A136" s="10">
        <v>45421</v>
      </c>
      <c r="B136" s="11"/>
      <c r="C136" s="11"/>
      <c r="D136" s="11"/>
      <c r="E136" s="12"/>
      <c r="F136" s="12"/>
      <c r="G136" s="12"/>
      <c r="H136" s="12"/>
      <c r="I136" s="12">
        <f t="shared" ref="I136:I199" si="2">H136-F136</f>
        <v>0</v>
      </c>
      <c r="J136" s="11"/>
      <c r="K136" s="11"/>
      <c r="L136" s="11"/>
      <c r="M136" s="11"/>
      <c r="N136" s="12"/>
      <c r="O136" s="12"/>
      <c r="P136" s="11"/>
      <c r="Q136" s="11"/>
      <c r="R136" s="12"/>
      <c r="S136" s="12"/>
      <c r="T136" s="12"/>
      <c r="U136" s="12"/>
      <c r="V136" s="12"/>
      <c r="W136" s="12"/>
      <c r="X136" s="11"/>
      <c r="Y136" s="12"/>
      <c r="Z136" s="11"/>
      <c r="AA136" s="11"/>
    </row>
    <row r="137" spans="1:27" ht="17.25" customHeight="1" x14ac:dyDescent="0.25">
      <c r="A137" s="10">
        <v>45422</v>
      </c>
      <c r="B137" s="11">
        <v>1560</v>
      </c>
      <c r="C137" s="11" t="s">
        <v>35</v>
      </c>
      <c r="D137" s="11">
        <v>42</v>
      </c>
      <c r="E137" s="12">
        <v>0.99652777777777779</v>
      </c>
      <c r="F137" s="12">
        <v>0.98541666666666672</v>
      </c>
      <c r="G137" s="12">
        <v>0.27777777777777779</v>
      </c>
      <c r="H137" s="12">
        <v>0.27569444444444446</v>
      </c>
      <c r="I137" s="12" t="s">
        <v>354</v>
      </c>
      <c r="J137" s="11" t="s">
        <v>33</v>
      </c>
      <c r="K137" s="11"/>
      <c r="L137" s="11" t="s">
        <v>355</v>
      </c>
      <c r="M137" s="11"/>
      <c r="N137" s="12"/>
      <c r="O137" s="12"/>
      <c r="P137" s="11"/>
      <c r="Q137" s="11"/>
      <c r="R137" s="12"/>
      <c r="S137" s="12"/>
      <c r="T137" s="12"/>
      <c r="U137" s="12"/>
      <c r="V137" s="12"/>
      <c r="W137" s="12"/>
      <c r="X137" s="11"/>
      <c r="Y137" s="12"/>
      <c r="Z137" s="11"/>
      <c r="AA137" s="11"/>
    </row>
    <row r="138" spans="1:27" ht="17.25" customHeight="1" x14ac:dyDescent="0.25">
      <c r="A138" s="10">
        <v>45423</v>
      </c>
      <c r="B138" s="11">
        <v>2558</v>
      </c>
      <c r="C138" s="11" t="s">
        <v>35</v>
      </c>
      <c r="D138" s="11">
        <v>44</v>
      </c>
      <c r="E138" s="12">
        <v>0.21527777777777779</v>
      </c>
      <c r="F138" s="12">
        <v>0.34444444444444444</v>
      </c>
      <c r="G138" s="12">
        <v>0.29166666666666669</v>
      </c>
      <c r="H138" s="12">
        <v>0.39305555555555555</v>
      </c>
      <c r="I138" s="12">
        <f t="shared" si="2"/>
        <v>4.8611111111111105E-2</v>
      </c>
      <c r="J138" s="11" t="s">
        <v>356</v>
      </c>
      <c r="K138" s="11" t="s">
        <v>50</v>
      </c>
      <c r="L138" s="11" t="s">
        <v>308</v>
      </c>
      <c r="M138" s="11"/>
      <c r="N138" s="12"/>
      <c r="O138" s="12"/>
      <c r="P138" s="11"/>
      <c r="Q138" s="11"/>
      <c r="R138" s="12"/>
      <c r="S138" s="12"/>
      <c r="T138" s="12"/>
      <c r="U138" s="12"/>
      <c r="V138" s="12"/>
      <c r="W138" s="12"/>
      <c r="X138" s="11"/>
      <c r="Y138" s="12"/>
      <c r="Z138" s="11"/>
      <c r="AA138" s="11"/>
    </row>
    <row r="139" spans="1:27" s="15" customFormat="1" ht="17.25" customHeight="1" x14ac:dyDescent="0.25">
      <c r="A139" s="18">
        <v>45424</v>
      </c>
      <c r="B139" s="14"/>
      <c r="C139" s="14"/>
      <c r="D139" s="14"/>
      <c r="E139" s="19"/>
      <c r="F139" s="19"/>
      <c r="G139" s="19"/>
      <c r="H139" s="19"/>
      <c r="I139" s="19">
        <f t="shared" si="2"/>
        <v>0</v>
      </c>
      <c r="J139" s="14"/>
      <c r="K139" s="14"/>
      <c r="L139" s="14"/>
      <c r="M139" s="14"/>
      <c r="N139" s="14"/>
      <c r="O139" s="14"/>
      <c r="P139" s="14"/>
      <c r="Q139" s="14"/>
      <c r="R139" s="19"/>
      <c r="S139" s="19"/>
      <c r="T139" s="19"/>
      <c r="U139" s="19"/>
      <c r="V139" s="19"/>
      <c r="W139" s="19"/>
      <c r="X139" s="14"/>
      <c r="Y139" s="19"/>
      <c r="Z139" s="14"/>
      <c r="AA139" s="14"/>
    </row>
    <row r="140" spans="1:27" ht="17.25" customHeight="1" x14ac:dyDescent="0.25">
      <c r="A140" s="10">
        <v>45425</v>
      </c>
      <c r="B140" s="11">
        <v>1560</v>
      </c>
      <c r="C140" s="11" t="s">
        <v>35</v>
      </c>
      <c r="D140" s="11">
        <v>44</v>
      </c>
      <c r="E140" s="12">
        <v>0.21527777777777779</v>
      </c>
      <c r="F140" s="12">
        <v>0.23819444444444443</v>
      </c>
      <c r="G140" s="12">
        <v>0.27777777777777779</v>
      </c>
      <c r="H140" s="12">
        <v>0.29236111111111113</v>
      </c>
      <c r="I140" s="12">
        <f t="shared" si="2"/>
        <v>5.4166666666666696E-2</v>
      </c>
      <c r="J140" s="11" t="s">
        <v>357</v>
      </c>
      <c r="K140" s="11" t="s">
        <v>50</v>
      </c>
      <c r="L140" s="11" t="s">
        <v>308</v>
      </c>
      <c r="M140" s="11"/>
      <c r="N140" s="11"/>
      <c r="O140" s="11"/>
      <c r="P140" s="11"/>
      <c r="Q140" s="11"/>
      <c r="R140" s="12"/>
      <c r="S140" s="12"/>
      <c r="T140" s="12"/>
      <c r="U140" s="12"/>
      <c r="V140" s="12"/>
      <c r="W140" s="12"/>
      <c r="X140" s="11"/>
      <c r="Y140" s="12"/>
      <c r="Z140" s="11"/>
      <c r="AA140" s="11"/>
    </row>
    <row r="141" spans="1:27" ht="17.25" customHeight="1" x14ac:dyDescent="0.25">
      <c r="A141" s="10">
        <v>45426</v>
      </c>
      <c r="B141" s="11">
        <v>1560</v>
      </c>
      <c r="C141" s="11" t="s">
        <v>38</v>
      </c>
      <c r="D141" s="11">
        <v>44</v>
      </c>
      <c r="E141" s="12">
        <v>0.21527777777777779</v>
      </c>
      <c r="F141" s="12">
        <v>0.23194444444444445</v>
      </c>
      <c r="G141" s="12">
        <v>0.27777777777777779</v>
      </c>
      <c r="H141" s="12">
        <v>0.27430555555555558</v>
      </c>
      <c r="I141" s="12">
        <f t="shared" si="2"/>
        <v>4.2361111111111127E-2</v>
      </c>
      <c r="J141" s="11" t="s">
        <v>33</v>
      </c>
      <c r="K141" s="11"/>
      <c r="L141" s="11"/>
      <c r="M141" s="11"/>
      <c r="N141" s="12"/>
      <c r="O141" s="12"/>
      <c r="P141" s="11"/>
      <c r="Q141" s="11"/>
      <c r="R141" s="12"/>
      <c r="S141" s="12"/>
      <c r="T141" s="12"/>
      <c r="U141" s="12"/>
      <c r="V141" s="12"/>
      <c r="W141" s="12"/>
      <c r="X141" s="11"/>
      <c r="Y141" s="12"/>
      <c r="Z141" s="11"/>
      <c r="AA141" s="11"/>
    </row>
    <row r="142" spans="1:27" ht="17.25" customHeight="1" x14ac:dyDescent="0.25">
      <c r="A142" s="10">
        <v>45427</v>
      </c>
      <c r="B142" s="11"/>
      <c r="C142" s="11"/>
      <c r="D142" s="11"/>
      <c r="E142" s="11"/>
      <c r="F142" s="11"/>
      <c r="G142" s="11"/>
      <c r="H142" s="11"/>
      <c r="I142" s="12">
        <f t="shared" si="2"/>
        <v>0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7.25" customHeight="1" x14ac:dyDescent="0.25">
      <c r="A143" s="10">
        <v>45428</v>
      </c>
      <c r="B143" s="11">
        <v>1560</v>
      </c>
      <c r="C143" s="11" t="s">
        <v>38</v>
      </c>
      <c r="D143" s="11">
        <v>44</v>
      </c>
      <c r="E143" s="12">
        <v>0.21527777777777779</v>
      </c>
      <c r="F143" s="12">
        <v>0.22916666666666666</v>
      </c>
      <c r="G143" s="12">
        <v>0.27777777777777779</v>
      </c>
      <c r="H143" s="12">
        <v>0.28819444444444442</v>
      </c>
      <c r="I143" s="12">
        <f t="shared" si="2"/>
        <v>5.9027777777777762E-2</v>
      </c>
      <c r="J143" s="10" t="s">
        <v>358</v>
      </c>
      <c r="K143" s="11" t="s">
        <v>50</v>
      </c>
      <c r="L143" s="11" t="s">
        <v>308</v>
      </c>
      <c r="M143" s="11"/>
      <c r="N143" s="12"/>
      <c r="O143" s="12"/>
      <c r="P143" s="11"/>
      <c r="Q143" s="11"/>
      <c r="R143" s="12"/>
      <c r="S143" s="12"/>
      <c r="T143" s="12"/>
      <c r="U143" s="12"/>
      <c r="V143" s="12"/>
      <c r="W143" s="12"/>
      <c r="X143" s="11"/>
      <c r="Y143" s="12"/>
      <c r="Z143" s="11"/>
      <c r="AA143" s="11"/>
    </row>
    <row r="144" spans="1:27" ht="17.25" customHeight="1" x14ac:dyDescent="0.25">
      <c r="A144" s="10">
        <v>45429</v>
      </c>
      <c r="B144" s="11">
        <v>1560</v>
      </c>
      <c r="C144" s="11" t="s">
        <v>38</v>
      </c>
      <c r="D144" s="11">
        <v>44</v>
      </c>
      <c r="E144" s="12">
        <v>0.21527777777777779</v>
      </c>
      <c r="F144" s="12">
        <v>0.33958333333333335</v>
      </c>
      <c r="G144" s="12">
        <v>0.27777777777777779</v>
      </c>
      <c r="H144" s="12">
        <v>0.3972222222222222</v>
      </c>
      <c r="I144" s="12">
        <f t="shared" si="2"/>
        <v>5.7638888888888851E-2</v>
      </c>
      <c r="J144" s="11" t="s">
        <v>359</v>
      </c>
      <c r="K144" s="11" t="s">
        <v>50</v>
      </c>
      <c r="L144" s="11" t="s">
        <v>308</v>
      </c>
      <c r="M144" s="11"/>
      <c r="N144" s="12"/>
      <c r="O144" s="12"/>
      <c r="P144" s="11"/>
      <c r="Q144" s="11"/>
      <c r="R144" s="12"/>
      <c r="S144" s="12"/>
      <c r="T144" s="12"/>
      <c r="U144" s="12"/>
      <c r="V144" s="12"/>
      <c r="W144" s="12"/>
      <c r="X144" s="11"/>
      <c r="Y144" s="12"/>
      <c r="Z144" s="11"/>
      <c r="AA144" s="11"/>
    </row>
    <row r="145" spans="1:27" ht="17.25" customHeight="1" x14ac:dyDescent="0.25">
      <c r="A145" s="10">
        <v>45430</v>
      </c>
      <c r="B145" s="11">
        <v>2558</v>
      </c>
      <c r="C145" s="11" t="s">
        <v>35</v>
      </c>
      <c r="D145" s="11">
        <v>44</v>
      </c>
      <c r="E145" s="12">
        <v>0.21527777777777779</v>
      </c>
      <c r="F145" s="12">
        <v>0.21944444444444444</v>
      </c>
      <c r="G145" s="12">
        <v>0.29166666666666669</v>
      </c>
      <c r="H145" s="12">
        <v>0.29097222222222224</v>
      </c>
      <c r="I145" s="12">
        <f t="shared" si="2"/>
        <v>7.1527777777777801E-2</v>
      </c>
      <c r="J145" s="17" t="s">
        <v>33</v>
      </c>
      <c r="K145" s="11"/>
      <c r="L145" s="11"/>
      <c r="M145" s="11"/>
      <c r="N145" s="12"/>
      <c r="O145" s="12"/>
      <c r="P145" s="11"/>
      <c r="Q145" s="11"/>
      <c r="R145" s="12"/>
      <c r="S145" s="12"/>
      <c r="T145" s="12"/>
      <c r="U145" s="12"/>
      <c r="V145" s="12"/>
      <c r="W145" s="12"/>
      <c r="X145" s="11"/>
      <c r="Y145" s="12"/>
      <c r="Z145" s="11"/>
      <c r="AA145" s="11"/>
    </row>
    <row r="146" spans="1:27" s="15" customFormat="1" ht="17.25" customHeight="1" x14ac:dyDescent="0.25">
      <c r="A146" s="18">
        <v>45431</v>
      </c>
      <c r="B146" s="14"/>
      <c r="C146" s="14"/>
      <c r="D146" s="14"/>
      <c r="E146" s="19"/>
      <c r="F146" s="19"/>
      <c r="G146" s="19"/>
      <c r="H146" s="19"/>
      <c r="I146" s="12">
        <f t="shared" si="2"/>
        <v>0</v>
      </c>
      <c r="J146" s="14"/>
      <c r="K146" s="14"/>
      <c r="L146" s="14"/>
      <c r="M146" s="14"/>
      <c r="N146" s="14"/>
      <c r="O146" s="14"/>
      <c r="P146" s="14"/>
      <c r="Q146" s="14"/>
      <c r="R146" s="19"/>
      <c r="S146" s="19"/>
      <c r="T146" s="19"/>
      <c r="U146" s="19"/>
      <c r="V146" s="19"/>
      <c r="W146" s="19"/>
      <c r="X146" s="14"/>
      <c r="Y146" s="19"/>
      <c r="Z146" s="14"/>
      <c r="AA146" s="14"/>
    </row>
    <row r="147" spans="1:27" ht="17.25" customHeight="1" x14ac:dyDescent="0.25">
      <c r="A147" s="10">
        <v>45432</v>
      </c>
      <c r="B147" s="11">
        <v>1560</v>
      </c>
      <c r="C147" s="11" t="s">
        <v>35</v>
      </c>
      <c r="D147" s="11">
        <v>43</v>
      </c>
      <c r="E147" s="12">
        <v>0.21527777777777779</v>
      </c>
      <c r="F147" s="12">
        <v>0.22847222222222222</v>
      </c>
      <c r="G147" s="12">
        <v>0.27777777777777779</v>
      </c>
      <c r="H147" s="12">
        <v>0.2902777777777778</v>
      </c>
      <c r="I147" s="12">
        <f t="shared" si="2"/>
        <v>6.1805555555555586E-2</v>
      </c>
      <c r="J147" s="11" t="s">
        <v>360</v>
      </c>
      <c r="K147" s="11" t="s">
        <v>361</v>
      </c>
      <c r="L147" s="11" t="s">
        <v>362</v>
      </c>
      <c r="M147" s="11"/>
      <c r="N147" s="12"/>
      <c r="O147" s="12"/>
      <c r="P147" s="11"/>
      <c r="Q147" s="11"/>
      <c r="R147" s="12"/>
      <c r="S147" s="12"/>
      <c r="T147" s="12"/>
      <c r="U147" s="12"/>
      <c r="V147" s="12"/>
      <c r="W147" s="12"/>
      <c r="X147" s="11"/>
      <c r="Y147" s="12"/>
      <c r="Z147" s="11"/>
      <c r="AA147" s="11"/>
    </row>
    <row r="148" spans="1:27" ht="17.25" customHeight="1" x14ac:dyDescent="0.25">
      <c r="A148" s="10">
        <v>45433</v>
      </c>
      <c r="B148" s="11">
        <v>1560</v>
      </c>
      <c r="C148" s="11" t="s">
        <v>38</v>
      </c>
      <c r="D148" s="11">
        <v>44</v>
      </c>
      <c r="E148" s="12">
        <v>0.21527777777777779</v>
      </c>
      <c r="F148" s="12">
        <v>0.23125000000000001</v>
      </c>
      <c r="G148" s="12">
        <v>0.27777777777777779</v>
      </c>
      <c r="H148" s="12">
        <v>0.30486111111111114</v>
      </c>
      <c r="I148" s="12">
        <f t="shared" si="2"/>
        <v>7.3611111111111127E-2</v>
      </c>
      <c r="J148" s="11" t="s">
        <v>363</v>
      </c>
      <c r="K148" s="11" t="s">
        <v>364</v>
      </c>
      <c r="L148" s="11" t="s">
        <v>365</v>
      </c>
      <c r="M148" s="11"/>
      <c r="N148" s="12"/>
      <c r="O148" s="12"/>
      <c r="P148" s="11"/>
      <c r="Q148" s="11"/>
      <c r="R148" s="12"/>
      <c r="S148" s="12"/>
      <c r="T148" s="12"/>
      <c r="U148" s="12"/>
      <c r="V148" s="12"/>
      <c r="W148" s="12"/>
      <c r="X148" s="11"/>
      <c r="Y148" s="12"/>
      <c r="Z148" s="11"/>
      <c r="AA148" s="11"/>
    </row>
    <row r="149" spans="1:27" ht="17.25" customHeight="1" x14ac:dyDescent="0.25">
      <c r="A149" s="10">
        <v>45434</v>
      </c>
      <c r="B149" s="11"/>
      <c r="C149" s="11"/>
      <c r="D149" s="11"/>
      <c r="E149" s="11"/>
      <c r="F149" s="11"/>
      <c r="G149" s="11"/>
      <c r="H149" s="11"/>
      <c r="I149" s="12">
        <f t="shared" si="2"/>
        <v>0</v>
      </c>
      <c r="J149" s="11"/>
      <c r="K149" s="11"/>
      <c r="L149" s="17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7.25" customHeight="1" x14ac:dyDescent="0.25">
      <c r="A150" s="10">
        <v>45435</v>
      </c>
      <c r="B150" s="11">
        <v>1560</v>
      </c>
      <c r="C150" s="11" t="s">
        <v>38</v>
      </c>
      <c r="D150" s="11">
        <v>44</v>
      </c>
      <c r="E150" s="12">
        <v>0.21527777777777779</v>
      </c>
      <c r="F150" s="12">
        <v>0.2</v>
      </c>
      <c r="G150" s="12">
        <v>0.27777777777777779</v>
      </c>
      <c r="H150" s="12">
        <v>0.26458333333333334</v>
      </c>
      <c r="I150" s="12">
        <f t="shared" si="2"/>
        <v>6.4583333333333326E-2</v>
      </c>
      <c r="J150" s="11" t="s">
        <v>33</v>
      </c>
      <c r="K150" s="11"/>
      <c r="L150" s="11"/>
      <c r="M150" s="11"/>
      <c r="N150" s="12"/>
      <c r="O150" s="12"/>
      <c r="P150" s="11"/>
      <c r="Q150" s="11"/>
      <c r="R150" s="12"/>
      <c r="S150" s="12"/>
      <c r="T150" s="12"/>
      <c r="U150" s="12"/>
      <c r="V150" s="12"/>
      <c r="W150" s="12"/>
      <c r="X150" s="11"/>
      <c r="Y150" s="12"/>
      <c r="Z150" s="11"/>
      <c r="AA150" s="11"/>
    </row>
    <row r="151" spans="1:27" ht="17.25" customHeight="1" x14ac:dyDescent="0.25">
      <c r="A151" s="10">
        <v>45436</v>
      </c>
      <c r="B151" s="11">
        <v>1560</v>
      </c>
      <c r="C151" s="11" t="s">
        <v>35</v>
      </c>
      <c r="D151" s="11">
        <v>44</v>
      </c>
      <c r="E151" s="12">
        <v>0.21527777777777779</v>
      </c>
      <c r="F151" s="12">
        <v>0.26458333333333334</v>
      </c>
      <c r="G151" s="12">
        <v>0.27777777777777779</v>
      </c>
      <c r="H151" s="12">
        <v>0.31041666666666667</v>
      </c>
      <c r="I151" s="12">
        <f t="shared" si="2"/>
        <v>4.5833333333333337E-2</v>
      </c>
      <c r="J151" s="11" t="s">
        <v>366</v>
      </c>
      <c r="K151" s="11" t="s">
        <v>82</v>
      </c>
      <c r="L151" s="11" t="s">
        <v>308</v>
      </c>
      <c r="M151" s="11"/>
      <c r="N151" s="12"/>
      <c r="O151" s="12"/>
      <c r="P151" s="11"/>
      <c r="Q151" s="11"/>
      <c r="R151" s="12"/>
      <c r="S151" s="12"/>
      <c r="T151" s="12"/>
      <c r="U151" s="12"/>
      <c r="V151" s="12"/>
      <c r="W151" s="12"/>
      <c r="X151" s="11"/>
      <c r="Y151" s="12"/>
      <c r="Z151" s="11"/>
      <c r="AA151" s="11"/>
    </row>
    <row r="152" spans="1:27" ht="17.25" customHeight="1" x14ac:dyDescent="0.25">
      <c r="A152" s="10">
        <v>45437</v>
      </c>
      <c r="B152" s="11">
        <v>2558</v>
      </c>
      <c r="C152" s="11" t="s">
        <v>38</v>
      </c>
      <c r="D152" s="11">
        <v>44</v>
      </c>
      <c r="E152" s="12">
        <v>0.21527777777777779</v>
      </c>
      <c r="F152" s="12">
        <v>0.20277777777777778</v>
      </c>
      <c r="G152" s="12">
        <v>0.29166666666666669</v>
      </c>
      <c r="H152" s="12">
        <v>0.26805555555555555</v>
      </c>
      <c r="I152" s="12">
        <f t="shared" si="2"/>
        <v>6.5277777777777768E-2</v>
      </c>
      <c r="J152" s="11" t="s">
        <v>33</v>
      </c>
      <c r="K152" s="11"/>
      <c r="L152" s="11"/>
      <c r="M152" s="11"/>
      <c r="N152" s="12"/>
      <c r="O152" s="12"/>
      <c r="P152" s="11"/>
      <c r="Q152" s="11"/>
      <c r="R152" s="12"/>
      <c r="S152" s="12"/>
      <c r="T152" s="12"/>
      <c r="U152" s="12"/>
      <c r="V152" s="12"/>
      <c r="W152" s="12"/>
      <c r="X152" s="11"/>
      <c r="Y152" s="12"/>
      <c r="Z152" s="11"/>
      <c r="AA152" s="11"/>
    </row>
    <row r="153" spans="1:27" s="15" customFormat="1" ht="17.25" customHeight="1" x14ac:dyDescent="0.25">
      <c r="A153" s="18">
        <v>45438</v>
      </c>
      <c r="B153" s="14"/>
      <c r="C153" s="14"/>
      <c r="D153" s="14"/>
      <c r="E153" s="19"/>
      <c r="F153" s="19"/>
      <c r="G153" s="19"/>
      <c r="H153" s="19"/>
      <c r="I153" s="19">
        <f t="shared" si="2"/>
        <v>0</v>
      </c>
      <c r="J153" s="14"/>
      <c r="K153" s="14"/>
      <c r="L153" s="14"/>
      <c r="M153" s="14"/>
      <c r="N153" s="19"/>
      <c r="O153" s="19"/>
      <c r="P153" s="14"/>
      <c r="Q153" s="14"/>
      <c r="R153" s="19"/>
      <c r="S153" s="19"/>
      <c r="T153" s="19"/>
      <c r="U153" s="19"/>
      <c r="V153" s="19"/>
      <c r="W153" s="19"/>
      <c r="X153" s="14"/>
      <c r="Y153" s="19"/>
      <c r="Z153" s="14"/>
      <c r="AA153" s="14"/>
    </row>
    <row r="154" spans="1:27" ht="17.25" customHeight="1" x14ac:dyDescent="0.25">
      <c r="A154" s="10">
        <v>45439</v>
      </c>
      <c r="B154" s="11"/>
      <c r="C154" s="11"/>
      <c r="D154" s="11"/>
      <c r="E154" s="12"/>
      <c r="F154" s="12"/>
      <c r="G154" s="12"/>
      <c r="H154" s="12"/>
      <c r="I154" s="12">
        <f t="shared" si="2"/>
        <v>0</v>
      </c>
      <c r="J154" s="11"/>
      <c r="K154" s="11"/>
      <c r="L154" s="11"/>
      <c r="M154" s="11"/>
      <c r="N154" s="12"/>
      <c r="O154" s="12"/>
      <c r="P154" s="11"/>
      <c r="Q154" s="11"/>
      <c r="R154" s="12"/>
      <c r="S154" s="12"/>
      <c r="T154" s="12"/>
      <c r="U154" s="12"/>
      <c r="V154" s="12"/>
      <c r="W154" s="12"/>
      <c r="X154" s="12"/>
      <c r="Y154" s="12"/>
      <c r="Z154" s="11"/>
      <c r="AA154" s="11"/>
    </row>
    <row r="155" spans="1:27" ht="17.25" customHeight="1" x14ac:dyDescent="0.25">
      <c r="A155" s="10">
        <v>45440</v>
      </c>
      <c r="B155" s="11"/>
      <c r="C155" s="11"/>
      <c r="D155" s="11"/>
      <c r="E155" s="12"/>
      <c r="F155" s="12"/>
      <c r="G155" s="12"/>
      <c r="H155" s="12"/>
      <c r="I155" s="12">
        <f t="shared" si="2"/>
        <v>0</v>
      </c>
      <c r="J155" s="11"/>
      <c r="K155" s="11"/>
      <c r="L155" s="11"/>
      <c r="M155" s="11"/>
      <c r="N155" s="12"/>
      <c r="O155" s="12"/>
      <c r="P155" s="11"/>
      <c r="Q155" s="11"/>
      <c r="R155" s="12"/>
      <c r="S155" s="11"/>
      <c r="T155" s="12"/>
      <c r="U155" s="12"/>
      <c r="V155" s="12"/>
      <c r="W155" s="12"/>
      <c r="X155" s="12"/>
      <c r="Y155" s="12"/>
      <c r="Z155" s="11"/>
      <c r="AA155" s="11"/>
    </row>
    <row r="156" spans="1:27" ht="17.25" customHeight="1" x14ac:dyDescent="0.25">
      <c r="A156" s="10">
        <v>45441</v>
      </c>
      <c r="B156" s="11">
        <v>1560</v>
      </c>
      <c r="C156" s="11" t="s">
        <v>38</v>
      </c>
      <c r="D156" s="11">
        <v>44</v>
      </c>
      <c r="E156" s="12">
        <v>0.21527777777777779</v>
      </c>
      <c r="F156" s="12">
        <v>0.20277777777777778</v>
      </c>
      <c r="G156" s="12">
        <v>0.27777777777777779</v>
      </c>
      <c r="H156" s="12">
        <v>0.27777777777777779</v>
      </c>
      <c r="I156" s="12">
        <f t="shared" si="2"/>
        <v>7.5000000000000011E-2</v>
      </c>
      <c r="J156" s="11" t="s">
        <v>33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7.25" customHeight="1" x14ac:dyDescent="0.25">
      <c r="A157" s="10">
        <v>45442</v>
      </c>
      <c r="B157" s="11">
        <v>1560</v>
      </c>
      <c r="C157" s="11" t="s">
        <v>35</v>
      </c>
      <c r="D157" s="11">
        <v>44</v>
      </c>
      <c r="E157" s="12">
        <v>0.21527777777777779</v>
      </c>
      <c r="F157" s="12">
        <v>0.22430555555555556</v>
      </c>
      <c r="G157" s="12">
        <v>0.27777777777777779</v>
      </c>
      <c r="H157" s="12">
        <v>0.27083333333333331</v>
      </c>
      <c r="I157" s="12">
        <f t="shared" si="2"/>
        <v>4.6527777777777751E-2</v>
      </c>
      <c r="J157" s="11" t="s">
        <v>33</v>
      </c>
      <c r="K157" s="11"/>
      <c r="L157" s="11"/>
      <c r="M157" s="11"/>
      <c r="N157" s="12"/>
      <c r="O157" s="12"/>
      <c r="P157" s="11"/>
      <c r="Q157" s="11"/>
      <c r="R157" s="12"/>
      <c r="S157" s="12"/>
      <c r="T157" s="12"/>
      <c r="U157" s="12"/>
      <c r="V157" s="12"/>
      <c r="W157" s="12"/>
      <c r="X157" s="12"/>
      <c r="Y157" s="12"/>
      <c r="Z157" s="11"/>
      <c r="AA157" s="11"/>
    </row>
    <row r="158" spans="1:27" ht="17.25" customHeight="1" x14ac:dyDescent="0.25">
      <c r="A158" s="10">
        <v>45443</v>
      </c>
      <c r="B158" s="11">
        <v>1560</v>
      </c>
      <c r="C158" s="11" t="s">
        <v>48</v>
      </c>
      <c r="D158" s="11">
        <v>45</v>
      </c>
      <c r="E158" s="12">
        <v>0.21527777777777779</v>
      </c>
      <c r="F158" s="12">
        <v>0.20624999999999999</v>
      </c>
      <c r="G158" s="12">
        <v>0.27777777777777779</v>
      </c>
      <c r="H158" s="12">
        <v>0.29375000000000001</v>
      </c>
      <c r="I158" s="12">
        <f t="shared" si="2"/>
        <v>8.7500000000000022E-2</v>
      </c>
      <c r="J158" s="11" t="s">
        <v>367</v>
      </c>
      <c r="K158" s="11" t="s">
        <v>368</v>
      </c>
      <c r="L158" s="11" t="s">
        <v>369</v>
      </c>
      <c r="M158" s="11"/>
      <c r="N158" s="12"/>
      <c r="O158" s="12"/>
      <c r="P158" s="11"/>
      <c r="Q158" s="11"/>
      <c r="R158" s="12"/>
      <c r="S158" s="12"/>
      <c r="T158" s="12"/>
      <c r="U158" s="12"/>
      <c r="V158" s="12"/>
      <c r="W158" s="12"/>
      <c r="X158" s="12"/>
      <c r="Y158" s="12"/>
      <c r="Z158" s="11"/>
      <c r="AA158" s="11"/>
    </row>
    <row r="159" spans="1:27" ht="17.25" customHeight="1" x14ac:dyDescent="0.25">
      <c r="A159" s="10">
        <v>45444</v>
      </c>
      <c r="B159" s="11">
        <v>2558</v>
      </c>
      <c r="C159" s="11" t="s">
        <v>32</v>
      </c>
      <c r="D159" s="11">
        <v>45</v>
      </c>
      <c r="E159" s="12">
        <v>0.21527777777777779</v>
      </c>
      <c r="F159" s="12">
        <v>0.2638888888888889</v>
      </c>
      <c r="G159" s="12">
        <v>0.29166666666666669</v>
      </c>
      <c r="H159" s="12">
        <v>0.31597222222222221</v>
      </c>
      <c r="I159" s="12">
        <f t="shared" si="2"/>
        <v>5.2083333333333315E-2</v>
      </c>
      <c r="J159" s="11" t="s">
        <v>370</v>
      </c>
      <c r="K159" s="11" t="s">
        <v>50</v>
      </c>
      <c r="L159" s="11" t="s">
        <v>308</v>
      </c>
      <c r="M159" s="11"/>
      <c r="N159" s="12"/>
      <c r="O159" s="12"/>
      <c r="P159" s="11"/>
      <c r="Q159" s="11"/>
      <c r="R159" s="12"/>
      <c r="S159" s="12"/>
      <c r="T159" s="12"/>
      <c r="U159" s="12"/>
      <c r="V159" s="12"/>
      <c r="W159" s="12"/>
      <c r="X159" s="12"/>
      <c r="Y159" s="12"/>
      <c r="Z159" s="11"/>
      <c r="AA159" s="11"/>
    </row>
    <row r="160" spans="1:27" s="15" customFormat="1" ht="17.25" customHeight="1" x14ac:dyDescent="0.25">
      <c r="A160" s="18">
        <v>45445</v>
      </c>
      <c r="B160" s="14"/>
      <c r="C160" s="14"/>
      <c r="D160" s="14"/>
      <c r="E160" s="19"/>
      <c r="F160" s="19"/>
      <c r="G160" s="19"/>
      <c r="H160" s="19"/>
      <c r="I160" s="19">
        <f t="shared" si="2"/>
        <v>0</v>
      </c>
      <c r="J160" s="14"/>
      <c r="K160" s="14"/>
      <c r="L160" s="14"/>
      <c r="M160" s="14"/>
      <c r="N160" s="19"/>
      <c r="O160" s="19"/>
      <c r="P160" s="14"/>
      <c r="Q160" s="14"/>
      <c r="R160" s="19"/>
      <c r="S160" s="19"/>
      <c r="T160" s="19"/>
      <c r="U160" s="19"/>
      <c r="V160" s="19"/>
      <c r="W160" s="19"/>
      <c r="X160" s="19"/>
      <c r="Y160" s="19"/>
      <c r="Z160" s="14"/>
      <c r="AA160" s="14"/>
    </row>
    <row r="161" spans="1:27" s="54" customFormat="1" ht="17.25" customHeight="1" x14ac:dyDescent="0.25">
      <c r="A161" s="51">
        <v>45446</v>
      </c>
      <c r="B161" s="52" t="s">
        <v>371</v>
      </c>
      <c r="C161" s="52"/>
      <c r="D161" s="52"/>
      <c r="E161" s="53"/>
      <c r="F161" s="53"/>
      <c r="G161" s="53"/>
      <c r="H161" s="53"/>
      <c r="I161" s="53">
        <f t="shared" si="2"/>
        <v>0</v>
      </c>
      <c r="J161" s="52"/>
      <c r="K161" s="52"/>
      <c r="L161" s="52" t="s">
        <v>372</v>
      </c>
      <c r="M161" s="52"/>
      <c r="N161" s="53"/>
      <c r="O161" s="53"/>
      <c r="P161" s="52"/>
      <c r="Q161" s="52"/>
      <c r="R161" s="53"/>
      <c r="S161" s="53"/>
      <c r="T161" s="53"/>
      <c r="U161" s="53"/>
      <c r="V161" s="53"/>
      <c r="W161" s="53"/>
      <c r="X161" s="53"/>
      <c r="Y161" s="53"/>
      <c r="Z161" s="52"/>
      <c r="AA161" s="52"/>
    </row>
    <row r="162" spans="1:27" ht="17.25" customHeight="1" x14ac:dyDescent="0.25">
      <c r="A162" s="10">
        <v>45447</v>
      </c>
      <c r="B162" s="11"/>
      <c r="C162" s="11"/>
      <c r="D162" s="11"/>
      <c r="E162" s="12"/>
      <c r="F162" s="12"/>
      <c r="G162" s="12"/>
      <c r="H162" s="12"/>
      <c r="I162" s="12">
        <f t="shared" si="2"/>
        <v>0</v>
      </c>
      <c r="J162" s="11"/>
      <c r="K162" s="11"/>
      <c r="L162" s="11"/>
      <c r="M162" s="11"/>
      <c r="N162" s="12"/>
      <c r="O162" s="12"/>
      <c r="P162" s="11"/>
      <c r="Q162" s="11"/>
      <c r="R162" s="12"/>
      <c r="S162" s="12"/>
      <c r="T162" s="12"/>
      <c r="U162" s="12"/>
      <c r="V162" s="12"/>
      <c r="W162" s="12"/>
      <c r="X162" s="12"/>
      <c r="Y162" s="12"/>
      <c r="Z162" s="11"/>
      <c r="AA162" s="11"/>
    </row>
    <row r="163" spans="1:27" ht="17.25" customHeight="1" x14ac:dyDescent="0.25">
      <c r="A163" s="10">
        <v>45448</v>
      </c>
      <c r="B163" s="11">
        <v>1560</v>
      </c>
      <c r="C163" s="11" t="s">
        <v>32</v>
      </c>
      <c r="D163" s="11">
        <v>44</v>
      </c>
      <c r="E163" s="12">
        <v>0.21527777777777779</v>
      </c>
      <c r="F163" s="12">
        <v>0.27708333333333335</v>
      </c>
      <c r="G163" s="12">
        <v>0.31944444444444442</v>
      </c>
      <c r="H163" s="12">
        <v>0.34444444444444444</v>
      </c>
      <c r="I163" s="12">
        <f t="shared" si="2"/>
        <v>6.7361111111111094E-2</v>
      </c>
      <c r="J163" s="11" t="s">
        <v>373</v>
      </c>
      <c r="K163" s="11" t="s">
        <v>50</v>
      </c>
      <c r="L163" s="11" t="s">
        <v>308</v>
      </c>
      <c r="M163" s="11"/>
      <c r="N163" s="12"/>
      <c r="O163" s="12"/>
      <c r="P163" s="11"/>
      <c r="Q163" s="11"/>
      <c r="R163" s="12"/>
      <c r="S163" s="12"/>
      <c r="T163" s="12"/>
      <c r="U163" s="12"/>
      <c r="V163" s="12"/>
      <c r="W163" s="12"/>
      <c r="X163" s="12"/>
      <c r="Y163" s="12"/>
      <c r="Z163" s="11"/>
      <c r="AA163" s="11"/>
    </row>
    <row r="164" spans="1:27" ht="17.25" customHeight="1" x14ac:dyDescent="0.25">
      <c r="A164" s="10">
        <v>45449</v>
      </c>
      <c r="B164" s="11">
        <v>1560</v>
      </c>
      <c r="C164" s="11" t="s">
        <v>35</v>
      </c>
      <c r="D164" s="11">
        <v>44</v>
      </c>
      <c r="E164" s="12">
        <v>0.21527777777777779</v>
      </c>
      <c r="F164" s="12">
        <v>0.25416666666666665</v>
      </c>
      <c r="G164" s="12">
        <v>0.27777777777777779</v>
      </c>
      <c r="H164" s="12">
        <v>0.31111111111111112</v>
      </c>
      <c r="I164" s="12">
        <f t="shared" si="2"/>
        <v>5.6944444444444464E-2</v>
      </c>
      <c r="J164" s="11" t="s">
        <v>374</v>
      </c>
      <c r="K164" s="11" t="s">
        <v>50</v>
      </c>
      <c r="L164" s="11" t="s">
        <v>308</v>
      </c>
      <c r="M164" s="11"/>
      <c r="N164" s="12"/>
      <c r="O164" s="12"/>
      <c r="P164" s="11"/>
      <c r="Q164" s="11"/>
      <c r="R164" s="12"/>
      <c r="S164" s="12"/>
      <c r="T164" s="12"/>
      <c r="U164" s="12"/>
      <c r="V164" s="12"/>
      <c r="W164" s="12"/>
      <c r="X164" s="11"/>
      <c r="Y164" s="12"/>
      <c r="Z164" s="11"/>
      <c r="AA164" s="11"/>
    </row>
    <row r="165" spans="1:27" ht="17.25" customHeight="1" x14ac:dyDescent="0.25">
      <c r="A165" s="10">
        <v>45450</v>
      </c>
      <c r="B165" s="11">
        <v>1560</v>
      </c>
      <c r="C165" s="11" t="s">
        <v>32</v>
      </c>
      <c r="D165" s="11">
        <v>44</v>
      </c>
      <c r="E165" s="12">
        <v>0.21527777777777779</v>
      </c>
      <c r="F165" s="12">
        <v>0.22430555555555556</v>
      </c>
      <c r="G165" s="12">
        <v>0.27777777777777779</v>
      </c>
      <c r="H165" s="12">
        <v>0.27777777777777779</v>
      </c>
      <c r="I165" s="12">
        <f t="shared" si="2"/>
        <v>5.3472222222222227E-2</v>
      </c>
      <c r="J165" s="11" t="s">
        <v>33</v>
      </c>
      <c r="K165" s="11"/>
      <c r="L165" s="11"/>
      <c r="M165" s="11"/>
      <c r="N165" s="12"/>
      <c r="O165" s="12"/>
      <c r="P165" s="11"/>
      <c r="Q165" s="11"/>
      <c r="R165" s="12"/>
      <c r="S165" s="12"/>
      <c r="T165" s="12"/>
      <c r="U165" s="12"/>
      <c r="V165" s="12"/>
      <c r="W165" s="12"/>
      <c r="X165" s="11"/>
      <c r="Y165" s="12"/>
      <c r="Z165" s="11"/>
      <c r="AA165" s="11"/>
    </row>
    <row r="166" spans="1:27" ht="17.25" customHeight="1" x14ac:dyDescent="0.25">
      <c r="A166" s="10">
        <v>45451</v>
      </c>
      <c r="B166" s="11">
        <v>2558</v>
      </c>
      <c r="C166" s="11" t="s">
        <v>35</v>
      </c>
      <c r="D166" s="11">
        <v>44</v>
      </c>
      <c r="E166" s="12">
        <v>0.21527777777777779</v>
      </c>
      <c r="F166" s="12">
        <v>0.27916666666666667</v>
      </c>
      <c r="G166" s="12">
        <v>0.29166666666666669</v>
      </c>
      <c r="H166" s="12">
        <v>0.36180555555555555</v>
      </c>
      <c r="I166" s="12">
        <f t="shared" si="2"/>
        <v>8.2638888888888873E-2</v>
      </c>
      <c r="J166" s="11" t="s">
        <v>375</v>
      </c>
      <c r="K166" s="11" t="s">
        <v>376</v>
      </c>
      <c r="L166" s="11" t="s">
        <v>377</v>
      </c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s="15" customFormat="1" ht="17.25" customHeight="1" x14ac:dyDescent="0.25">
      <c r="A167" s="18">
        <v>45452</v>
      </c>
      <c r="B167" s="14"/>
      <c r="C167" s="14"/>
      <c r="D167" s="14"/>
      <c r="E167" s="19"/>
      <c r="F167" s="19"/>
      <c r="G167" s="19"/>
      <c r="H167" s="19"/>
      <c r="I167" s="19">
        <f t="shared" si="2"/>
        <v>0</v>
      </c>
      <c r="J167" s="14"/>
      <c r="K167" s="14"/>
      <c r="L167" s="14"/>
      <c r="M167" s="14"/>
      <c r="N167" s="19"/>
      <c r="O167" s="19"/>
      <c r="P167" s="14"/>
      <c r="Q167" s="14"/>
      <c r="R167" s="19"/>
      <c r="S167" s="19"/>
      <c r="T167" s="19"/>
      <c r="U167" s="19"/>
      <c r="V167" s="19"/>
      <c r="W167" s="19"/>
      <c r="X167" s="14"/>
      <c r="Y167" s="19"/>
      <c r="Z167" s="14"/>
      <c r="AA167" s="14"/>
    </row>
    <row r="168" spans="1:27" ht="17.25" customHeight="1" x14ac:dyDescent="0.25">
      <c r="A168" s="10">
        <v>45453</v>
      </c>
      <c r="B168" s="11">
        <v>1560</v>
      </c>
      <c r="C168" s="11" t="s">
        <v>35</v>
      </c>
      <c r="D168" s="11">
        <v>44</v>
      </c>
      <c r="E168" s="12">
        <v>0.21527777777777779</v>
      </c>
      <c r="F168" s="12">
        <v>0.22500000000000001</v>
      </c>
      <c r="G168" s="12">
        <v>0.27777777777777779</v>
      </c>
      <c r="H168" s="12">
        <v>0.27361111111111114</v>
      </c>
      <c r="I168" s="12">
        <f t="shared" si="2"/>
        <v>4.8611111111111133E-2</v>
      </c>
      <c r="J168" s="11" t="s">
        <v>33</v>
      </c>
      <c r="K168" s="11"/>
      <c r="L168" s="11"/>
      <c r="M168" s="11"/>
      <c r="N168" s="12"/>
      <c r="O168" s="12"/>
      <c r="P168" s="11"/>
      <c r="Q168" s="11"/>
      <c r="R168" s="12"/>
      <c r="S168" s="12"/>
      <c r="T168" s="12"/>
      <c r="U168" s="12"/>
      <c r="V168" s="12"/>
      <c r="W168" s="12"/>
      <c r="X168" s="11"/>
      <c r="Y168" s="12"/>
      <c r="Z168" s="11"/>
      <c r="AA168" s="11"/>
    </row>
    <row r="169" spans="1:27" ht="17.25" customHeight="1" x14ac:dyDescent="0.25">
      <c r="A169" s="10">
        <v>45454</v>
      </c>
      <c r="B169" s="11">
        <v>1560</v>
      </c>
      <c r="C169" s="11" t="s">
        <v>39</v>
      </c>
      <c r="D169" s="11">
        <v>44</v>
      </c>
      <c r="E169" s="12">
        <v>0.21527777777777779</v>
      </c>
      <c r="F169" s="12">
        <v>0.25208333333333333</v>
      </c>
      <c r="G169" s="12">
        <v>0.27777777777777779</v>
      </c>
      <c r="H169" s="12">
        <v>0.30902777777777779</v>
      </c>
      <c r="I169" s="12">
        <f t="shared" si="2"/>
        <v>5.6944444444444464E-2</v>
      </c>
      <c r="J169" s="11" t="s">
        <v>378</v>
      </c>
      <c r="K169" s="11" t="s">
        <v>50</v>
      </c>
      <c r="L169" s="11" t="s">
        <v>308</v>
      </c>
      <c r="M169" s="11"/>
      <c r="N169" s="12"/>
      <c r="O169" s="12"/>
      <c r="P169" s="11"/>
      <c r="Q169" s="11"/>
      <c r="R169" s="12"/>
      <c r="S169" s="12"/>
      <c r="T169" s="12"/>
      <c r="U169" s="12"/>
      <c r="V169" s="12"/>
      <c r="W169" s="12"/>
      <c r="X169" s="11"/>
      <c r="Y169" s="12"/>
      <c r="Z169" s="11"/>
      <c r="AA169" s="11"/>
    </row>
    <row r="170" spans="1:27" ht="17.25" customHeight="1" x14ac:dyDescent="0.25">
      <c r="A170" s="10">
        <v>45455</v>
      </c>
      <c r="B170" s="11">
        <v>1560</v>
      </c>
      <c r="C170" s="11" t="s">
        <v>35</v>
      </c>
      <c r="D170" s="11">
        <v>44</v>
      </c>
      <c r="E170" s="12">
        <v>0.21527777777777779</v>
      </c>
      <c r="F170" s="12">
        <v>0.27986111111111112</v>
      </c>
      <c r="G170" s="12">
        <v>0.27777777777777779</v>
      </c>
      <c r="H170" s="12">
        <v>0.33750000000000002</v>
      </c>
      <c r="I170" s="12">
        <f t="shared" si="2"/>
        <v>5.7638888888888906E-2</v>
      </c>
      <c r="J170" s="11" t="s">
        <v>379</v>
      </c>
      <c r="K170" s="11" t="s">
        <v>50</v>
      </c>
      <c r="L170" s="11" t="s">
        <v>308</v>
      </c>
      <c r="M170" s="11"/>
      <c r="N170" s="11"/>
      <c r="O170" s="11"/>
      <c r="P170" s="11"/>
      <c r="Q170" s="11"/>
      <c r="R170" s="12"/>
      <c r="S170" s="12"/>
      <c r="T170" s="12"/>
      <c r="U170" s="12"/>
      <c r="V170" s="12"/>
      <c r="W170" s="12"/>
      <c r="X170" s="11"/>
      <c r="Y170" s="12"/>
      <c r="Z170" s="11"/>
      <c r="AA170" s="11"/>
    </row>
    <row r="171" spans="1:27" s="13" customFormat="1" ht="17.25" customHeight="1" x14ac:dyDescent="0.25">
      <c r="A171" s="10">
        <v>45456</v>
      </c>
      <c r="B171" s="11">
        <v>1560</v>
      </c>
      <c r="C171" s="11" t="s">
        <v>39</v>
      </c>
      <c r="D171" s="11">
        <v>44</v>
      </c>
      <c r="E171" s="12">
        <v>0.21527777777777779</v>
      </c>
      <c r="F171" s="12">
        <v>0.57291666666666663</v>
      </c>
      <c r="G171" s="12">
        <v>0.27777777777777779</v>
      </c>
      <c r="H171" s="12">
        <v>0.64236111111111116</v>
      </c>
      <c r="I171" s="12">
        <f t="shared" si="2"/>
        <v>6.9444444444444531E-2</v>
      </c>
      <c r="J171" s="11" t="s">
        <v>380</v>
      </c>
      <c r="K171" s="11" t="s">
        <v>50</v>
      </c>
      <c r="L171" s="11" t="s">
        <v>308</v>
      </c>
      <c r="M171" s="11"/>
      <c r="N171" s="11"/>
      <c r="O171" s="11"/>
      <c r="P171" s="11"/>
      <c r="Q171" s="11"/>
      <c r="R171" s="12"/>
      <c r="S171" s="12"/>
      <c r="T171" s="12"/>
      <c r="U171" s="12"/>
      <c r="V171" s="12"/>
      <c r="W171" s="12"/>
      <c r="X171" s="11"/>
      <c r="Y171" s="12"/>
      <c r="Z171" s="11"/>
      <c r="AA171" s="11"/>
    </row>
    <row r="172" spans="1:27" ht="17.25" customHeight="1" x14ac:dyDescent="0.25">
      <c r="A172" s="10">
        <v>45457</v>
      </c>
      <c r="B172" s="11">
        <v>1560</v>
      </c>
      <c r="C172" s="11" t="s">
        <v>35</v>
      </c>
      <c r="D172" s="11">
        <v>44</v>
      </c>
      <c r="E172" s="12">
        <v>0.21527777777777779</v>
      </c>
      <c r="F172" s="12">
        <v>0.24305555555555555</v>
      </c>
      <c r="G172" s="12">
        <v>0.27777777777777779</v>
      </c>
      <c r="H172" s="12">
        <v>0.30833333333333335</v>
      </c>
      <c r="I172" s="12">
        <f t="shared" si="2"/>
        <v>6.5277777777777796E-2</v>
      </c>
      <c r="J172" s="11" t="s">
        <v>381</v>
      </c>
      <c r="K172" s="11" t="s">
        <v>382</v>
      </c>
      <c r="L172" s="11" t="s">
        <v>383</v>
      </c>
      <c r="M172" s="11"/>
      <c r="N172" s="12"/>
      <c r="O172" s="12"/>
      <c r="P172" s="11"/>
      <c r="Q172" s="11"/>
      <c r="R172" s="12"/>
      <c r="S172" s="12"/>
      <c r="T172" s="12"/>
      <c r="U172" s="12"/>
      <c r="V172" s="12"/>
      <c r="W172" s="12"/>
      <c r="X172" s="11"/>
      <c r="Y172" s="12"/>
      <c r="Z172" s="11"/>
      <c r="AA172" s="11"/>
    </row>
    <row r="173" spans="1:27" s="54" customFormat="1" ht="17.25" customHeight="1" x14ac:dyDescent="0.25">
      <c r="A173" s="51">
        <v>45458</v>
      </c>
      <c r="B173" s="52"/>
      <c r="C173" s="52"/>
      <c r="D173" s="52"/>
      <c r="E173" s="52"/>
      <c r="F173" s="52"/>
      <c r="G173" s="52"/>
      <c r="H173" s="52"/>
      <c r="I173" s="53">
        <f t="shared" si="2"/>
        <v>0</v>
      </c>
      <c r="J173" s="52"/>
      <c r="K173" s="52"/>
      <c r="L173" s="52" t="s">
        <v>384</v>
      </c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</row>
    <row r="174" spans="1:27" s="15" customFormat="1" ht="17.25" customHeight="1" x14ac:dyDescent="0.25">
      <c r="A174" s="18">
        <v>45459</v>
      </c>
      <c r="B174" s="14">
        <v>2558</v>
      </c>
      <c r="C174" s="14" t="s">
        <v>35</v>
      </c>
      <c r="D174" s="14">
        <v>44</v>
      </c>
      <c r="E174" s="19">
        <v>0.21527777777777779</v>
      </c>
      <c r="F174" s="19">
        <v>0.23472222222222222</v>
      </c>
      <c r="G174" s="19">
        <v>0.29166666666666669</v>
      </c>
      <c r="H174" s="19">
        <v>0.30208333333333331</v>
      </c>
      <c r="I174" s="19">
        <f t="shared" si="2"/>
        <v>6.7361111111111094E-2</v>
      </c>
      <c r="J174" s="18" t="s">
        <v>358</v>
      </c>
      <c r="K174" s="14" t="s">
        <v>50</v>
      </c>
      <c r="L174" s="14" t="s">
        <v>308</v>
      </c>
      <c r="M174" s="14"/>
      <c r="N174" s="19"/>
      <c r="O174" s="19"/>
      <c r="P174" s="14"/>
      <c r="Q174" s="14"/>
      <c r="R174" s="19"/>
      <c r="S174" s="19"/>
      <c r="T174" s="19"/>
      <c r="U174" s="19"/>
      <c r="V174" s="19"/>
      <c r="W174" s="19"/>
      <c r="X174" s="14"/>
      <c r="Y174" s="19"/>
      <c r="Z174" s="14"/>
      <c r="AA174" s="14"/>
    </row>
    <row r="175" spans="1:27" ht="17.25" customHeight="1" x14ac:dyDescent="0.25">
      <c r="A175" s="10">
        <v>45460</v>
      </c>
      <c r="B175" s="11">
        <v>1560</v>
      </c>
      <c r="C175" s="11" t="s">
        <v>38</v>
      </c>
      <c r="D175" s="11">
        <v>44</v>
      </c>
      <c r="E175" s="12">
        <v>0.21527777777777779</v>
      </c>
      <c r="F175" s="12">
        <v>0.29097222222222224</v>
      </c>
      <c r="G175" s="12">
        <v>0.27777777777777779</v>
      </c>
      <c r="H175" s="12">
        <v>0.36041666666666666</v>
      </c>
      <c r="I175" s="12">
        <f t="shared" si="2"/>
        <v>6.944444444444442E-2</v>
      </c>
      <c r="J175" s="11" t="s">
        <v>385</v>
      </c>
      <c r="K175" s="11" t="s">
        <v>386</v>
      </c>
      <c r="L175" s="11" t="s">
        <v>377</v>
      </c>
      <c r="M175" s="11"/>
      <c r="N175" s="12"/>
      <c r="O175" s="12"/>
      <c r="P175" s="11"/>
      <c r="Q175" s="11"/>
      <c r="R175" s="12"/>
      <c r="S175" s="12"/>
      <c r="T175" s="12"/>
      <c r="U175" s="12"/>
      <c r="V175" s="12"/>
      <c r="W175" s="12"/>
      <c r="X175" s="11"/>
      <c r="Y175" s="12"/>
      <c r="Z175" s="11"/>
      <c r="AA175" s="11"/>
    </row>
    <row r="176" spans="1:27" ht="17.25" customHeight="1" x14ac:dyDescent="0.25">
      <c r="A176" s="10">
        <v>45461</v>
      </c>
      <c r="B176" s="11">
        <v>1560</v>
      </c>
      <c r="C176" s="11" t="s">
        <v>35</v>
      </c>
      <c r="D176" s="11">
        <v>44</v>
      </c>
      <c r="E176" s="12">
        <v>0.21527777777777779</v>
      </c>
      <c r="F176" s="12">
        <v>0.32708333333333334</v>
      </c>
      <c r="G176" s="12">
        <v>0.27777777777777779</v>
      </c>
      <c r="H176" s="12">
        <v>0.43958333333333333</v>
      </c>
      <c r="I176" s="12">
        <f t="shared" si="2"/>
        <v>0.11249999999999999</v>
      </c>
      <c r="J176" s="17" t="s">
        <v>387</v>
      </c>
      <c r="K176" s="11" t="s">
        <v>388</v>
      </c>
      <c r="L176" s="11" t="s">
        <v>389</v>
      </c>
      <c r="M176" s="11"/>
      <c r="N176" s="12"/>
      <c r="O176" s="12"/>
      <c r="P176" s="11"/>
      <c r="Q176" s="11"/>
      <c r="R176" s="12"/>
      <c r="S176" s="12"/>
      <c r="T176" s="12"/>
      <c r="U176" s="12"/>
      <c r="V176" s="12"/>
      <c r="W176" s="12"/>
      <c r="X176" s="11"/>
      <c r="Y176" s="12"/>
      <c r="Z176" s="11"/>
      <c r="AA176" s="11"/>
    </row>
    <row r="177" spans="1:27" ht="17.25" customHeight="1" x14ac:dyDescent="0.25">
      <c r="A177" s="10">
        <v>45462</v>
      </c>
      <c r="B177" s="11">
        <v>1560</v>
      </c>
      <c r="C177" s="11" t="s">
        <v>38</v>
      </c>
      <c r="D177" s="11">
        <v>44</v>
      </c>
      <c r="E177" s="12">
        <v>0.21527777777777779</v>
      </c>
      <c r="F177" s="12">
        <v>0.27152777777777776</v>
      </c>
      <c r="G177" s="12">
        <v>0.31944444444444442</v>
      </c>
      <c r="H177" s="12">
        <v>0.32708333333333334</v>
      </c>
      <c r="I177" s="12">
        <f t="shared" si="2"/>
        <v>5.555555555555558E-2</v>
      </c>
      <c r="J177" s="11" t="s">
        <v>390</v>
      </c>
      <c r="K177" s="11" t="s">
        <v>50</v>
      </c>
      <c r="L177" s="11" t="s">
        <v>308</v>
      </c>
      <c r="M177" s="11"/>
      <c r="N177" s="11"/>
      <c r="O177" s="11"/>
      <c r="P177" s="11"/>
      <c r="Q177" s="11"/>
      <c r="R177" s="12"/>
      <c r="S177" s="12"/>
      <c r="T177" s="12"/>
      <c r="U177" s="12"/>
      <c r="V177" s="12"/>
      <c r="W177" s="12"/>
      <c r="X177" s="11"/>
      <c r="Y177" s="12"/>
      <c r="Z177" s="11"/>
      <c r="AA177" s="11"/>
    </row>
    <row r="178" spans="1:27" ht="17.25" customHeight="1" x14ac:dyDescent="0.25">
      <c r="A178" s="10">
        <v>45463</v>
      </c>
      <c r="B178" s="11">
        <v>1560</v>
      </c>
      <c r="C178" s="11" t="s">
        <v>35</v>
      </c>
      <c r="D178" s="11">
        <v>44</v>
      </c>
      <c r="E178" s="12">
        <v>0.21527777777777779</v>
      </c>
      <c r="F178" s="12">
        <v>0.20694444444444443</v>
      </c>
      <c r="G178" s="12">
        <v>0.27777777777777779</v>
      </c>
      <c r="H178" s="12">
        <v>0.26250000000000001</v>
      </c>
      <c r="I178" s="12">
        <f t="shared" si="2"/>
        <v>5.555555555555558E-2</v>
      </c>
      <c r="J178" s="11" t="s">
        <v>33</v>
      </c>
      <c r="K178" s="11"/>
      <c r="L178" s="11"/>
      <c r="M178" s="11"/>
      <c r="N178" s="12"/>
      <c r="O178" s="12"/>
      <c r="P178" s="11"/>
      <c r="Q178" s="11"/>
      <c r="R178" s="12"/>
      <c r="S178" s="12"/>
      <c r="T178" s="12"/>
      <c r="U178" s="12"/>
      <c r="V178" s="12"/>
      <c r="W178" s="12"/>
      <c r="X178" s="11"/>
      <c r="Y178" s="12"/>
      <c r="Z178" s="11"/>
      <c r="AA178" s="11"/>
    </row>
    <row r="179" spans="1:27" ht="17.25" customHeight="1" x14ac:dyDescent="0.25">
      <c r="A179" s="10">
        <v>45464</v>
      </c>
      <c r="B179" s="11">
        <v>1560</v>
      </c>
      <c r="C179" s="11" t="s">
        <v>38</v>
      </c>
      <c r="D179" s="11">
        <v>44</v>
      </c>
      <c r="E179" s="12">
        <v>0.21527777777777779</v>
      </c>
      <c r="F179" s="12">
        <v>0.22361111111111112</v>
      </c>
      <c r="G179" s="12">
        <v>0.27777777777777779</v>
      </c>
      <c r="H179" s="12">
        <v>0.29236111111111113</v>
      </c>
      <c r="I179" s="12">
        <f t="shared" si="2"/>
        <v>6.8750000000000006E-2</v>
      </c>
      <c r="J179" s="11" t="s">
        <v>391</v>
      </c>
      <c r="K179" s="11" t="s">
        <v>392</v>
      </c>
      <c r="L179" s="11" t="s">
        <v>393</v>
      </c>
      <c r="M179" s="11"/>
      <c r="N179" s="12"/>
      <c r="O179" s="12"/>
      <c r="P179" s="11"/>
      <c r="Q179" s="11"/>
      <c r="R179" s="12"/>
      <c r="S179" s="12"/>
      <c r="T179" s="12"/>
      <c r="U179" s="12"/>
      <c r="V179" s="12"/>
      <c r="W179" s="12"/>
      <c r="X179" s="11"/>
      <c r="Y179" s="12"/>
      <c r="Z179" s="11"/>
      <c r="AA179" s="11"/>
    </row>
    <row r="180" spans="1:27" ht="17.25" customHeight="1" x14ac:dyDescent="0.25">
      <c r="A180" s="10">
        <v>45465</v>
      </c>
      <c r="B180" s="11">
        <v>2558</v>
      </c>
      <c r="C180" s="11" t="s">
        <v>35</v>
      </c>
      <c r="D180" s="11">
        <v>44</v>
      </c>
      <c r="E180" s="12">
        <v>0.21527777777777779</v>
      </c>
      <c r="F180" s="12">
        <v>0.21597222222222223</v>
      </c>
      <c r="G180" s="12">
        <v>0.29166666666666669</v>
      </c>
      <c r="H180" s="12">
        <v>0.28055555555555556</v>
      </c>
      <c r="I180" s="12">
        <f t="shared" si="2"/>
        <v>6.4583333333333326E-2</v>
      </c>
      <c r="J180" s="11" t="s">
        <v>33</v>
      </c>
      <c r="K180" s="11"/>
      <c r="L180" s="17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s="15" customFormat="1" ht="17.25" customHeight="1" x14ac:dyDescent="0.25">
      <c r="A181" s="18">
        <v>45466</v>
      </c>
      <c r="B181" s="14"/>
      <c r="C181" s="14"/>
      <c r="D181" s="14"/>
      <c r="E181" s="19"/>
      <c r="F181" s="19"/>
      <c r="G181" s="19"/>
      <c r="H181" s="19"/>
      <c r="I181" s="19">
        <f t="shared" si="2"/>
        <v>0</v>
      </c>
      <c r="J181" s="14"/>
      <c r="K181" s="14"/>
      <c r="L181" s="14"/>
      <c r="M181" s="14"/>
      <c r="N181" s="19"/>
      <c r="O181" s="19"/>
      <c r="P181" s="14"/>
      <c r="Q181" s="14"/>
      <c r="R181" s="19"/>
      <c r="S181" s="19"/>
      <c r="T181" s="19"/>
      <c r="U181" s="19"/>
      <c r="V181" s="19"/>
      <c r="W181" s="19"/>
      <c r="X181" s="14"/>
      <c r="Y181" s="19"/>
      <c r="Z181" s="14"/>
      <c r="AA181" s="14"/>
    </row>
    <row r="182" spans="1:27" ht="17.25" customHeight="1" x14ac:dyDescent="0.25">
      <c r="A182" s="10">
        <v>45467</v>
      </c>
      <c r="B182" s="11">
        <v>1560</v>
      </c>
      <c r="C182" s="11" t="s">
        <v>38</v>
      </c>
      <c r="D182" s="11">
        <v>44</v>
      </c>
      <c r="E182" s="12">
        <v>0.21527777777777779</v>
      </c>
      <c r="F182" s="12">
        <v>0.22291666666666668</v>
      </c>
      <c r="G182" s="12">
        <v>0.27777777777777779</v>
      </c>
      <c r="H182" s="12">
        <v>0.28055555555555556</v>
      </c>
      <c r="I182" s="12">
        <f t="shared" si="2"/>
        <v>5.7638888888888878E-2</v>
      </c>
      <c r="J182" s="11" t="s">
        <v>33</v>
      </c>
      <c r="K182" s="11"/>
      <c r="L182" s="11"/>
      <c r="M182" s="11"/>
      <c r="N182" s="12"/>
      <c r="O182" s="12"/>
      <c r="P182" s="11"/>
      <c r="Q182" s="11"/>
      <c r="R182" s="12"/>
      <c r="S182" s="12"/>
      <c r="T182" s="12"/>
      <c r="U182" s="12"/>
      <c r="V182" s="12"/>
      <c r="W182" s="12"/>
      <c r="X182" s="11"/>
      <c r="Y182" s="12"/>
      <c r="Z182" s="11"/>
      <c r="AA182" s="11"/>
    </row>
    <row r="183" spans="1:27" ht="17.25" customHeight="1" x14ac:dyDescent="0.25">
      <c r="A183" s="10">
        <v>45468</v>
      </c>
      <c r="B183" s="11">
        <v>1560</v>
      </c>
      <c r="C183" s="11" t="s">
        <v>35</v>
      </c>
      <c r="D183" s="11">
        <v>44</v>
      </c>
      <c r="E183" s="12">
        <v>0.21527777777777779</v>
      </c>
      <c r="F183" s="12">
        <v>0.30416666666666664</v>
      </c>
      <c r="G183" s="12">
        <v>0.27777777777777779</v>
      </c>
      <c r="H183" s="12">
        <v>0.36666666666666664</v>
      </c>
      <c r="I183" s="12">
        <f t="shared" si="2"/>
        <v>6.25E-2</v>
      </c>
      <c r="J183" s="11" t="s">
        <v>394</v>
      </c>
      <c r="K183" s="11" t="s">
        <v>395</v>
      </c>
      <c r="L183" s="11" t="s">
        <v>396</v>
      </c>
      <c r="M183" s="11"/>
      <c r="N183" s="12"/>
      <c r="O183" s="12"/>
      <c r="P183" s="11"/>
      <c r="Q183" s="11"/>
      <c r="R183" s="12"/>
      <c r="S183" s="12"/>
      <c r="T183" s="12"/>
      <c r="U183" s="12"/>
      <c r="V183" s="12"/>
      <c r="W183" s="12"/>
      <c r="X183" s="11"/>
      <c r="Y183" s="12"/>
      <c r="Z183" s="11"/>
      <c r="AA183" s="11"/>
    </row>
    <row r="184" spans="1:27" ht="17.25" customHeight="1" x14ac:dyDescent="0.25">
      <c r="A184" s="10">
        <v>45469</v>
      </c>
      <c r="B184" s="11">
        <v>1560</v>
      </c>
      <c r="C184" s="11" t="s">
        <v>38</v>
      </c>
      <c r="D184" s="11">
        <v>44</v>
      </c>
      <c r="E184" s="12">
        <v>0.21527777777777779</v>
      </c>
      <c r="F184" s="12">
        <v>0.27986111111111112</v>
      </c>
      <c r="G184" s="12">
        <v>0.27777777777777779</v>
      </c>
      <c r="H184" s="12">
        <v>0.35</v>
      </c>
      <c r="I184" s="12">
        <f t="shared" si="2"/>
        <v>7.0138888888888862E-2</v>
      </c>
      <c r="J184" s="11" t="s">
        <v>397</v>
      </c>
      <c r="K184" s="11"/>
      <c r="L184" s="11" t="s">
        <v>398</v>
      </c>
      <c r="M184" s="11"/>
      <c r="N184" s="12"/>
      <c r="O184" s="12"/>
      <c r="P184" s="11"/>
      <c r="Q184" s="11"/>
      <c r="R184" s="12"/>
      <c r="S184" s="12"/>
      <c r="T184" s="12"/>
      <c r="U184" s="12"/>
      <c r="V184" s="12"/>
      <c r="W184" s="12"/>
      <c r="X184" s="11"/>
      <c r="Y184" s="12"/>
      <c r="Z184" s="11"/>
      <c r="AA184" s="11"/>
    </row>
    <row r="185" spans="1:27" ht="17.25" customHeight="1" x14ac:dyDescent="0.25">
      <c r="A185" s="10">
        <v>45470</v>
      </c>
      <c r="B185" s="11">
        <v>1560</v>
      </c>
      <c r="C185" s="11" t="s">
        <v>39</v>
      </c>
      <c r="D185" s="11">
        <v>44</v>
      </c>
      <c r="E185" s="12">
        <v>0.21527777777777779</v>
      </c>
      <c r="F185" s="12">
        <v>0.23402777777777778</v>
      </c>
      <c r="G185" s="12">
        <v>0.27777777777777779</v>
      </c>
      <c r="H185" s="12">
        <v>0.30486111111111114</v>
      </c>
      <c r="I185" s="12">
        <f t="shared" si="2"/>
        <v>7.0833333333333359E-2</v>
      </c>
      <c r="J185" s="11" t="s">
        <v>399</v>
      </c>
      <c r="K185" s="11" t="s">
        <v>400</v>
      </c>
      <c r="L185" s="11" t="s">
        <v>401</v>
      </c>
      <c r="M185" s="11"/>
      <c r="N185" s="12"/>
      <c r="O185" s="12"/>
      <c r="P185" s="11"/>
      <c r="Q185" s="11"/>
      <c r="R185" s="12"/>
      <c r="S185" s="12"/>
      <c r="T185" s="12"/>
      <c r="U185" s="12"/>
      <c r="V185" s="12"/>
      <c r="W185" s="12"/>
      <c r="X185" s="12"/>
      <c r="Y185" s="12"/>
      <c r="Z185" s="11"/>
      <c r="AA185" s="11"/>
    </row>
    <row r="186" spans="1:27" ht="17.25" customHeight="1" x14ac:dyDescent="0.25">
      <c r="A186" s="10">
        <v>45471</v>
      </c>
      <c r="B186" s="11">
        <v>1560</v>
      </c>
      <c r="C186" s="11" t="s">
        <v>35</v>
      </c>
      <c r="D186" s="11">
        <v>44</v>
      </c>
      <c r="E186" s="12">
        <v>0.21527777777777779</v>
      </c>
      <c r="F186" s="12">
        <v>0.28055555555555556</v>
      </c>
      <c r="G186" s="12">
        <v>0.27777777777777779</v>
      </c>
      <c r="H186" s="12">
        <v>0.3347222222222222</v>
      </c>
      <c r="I186" s="12">
        <f t="shared" si="2"/>
        <v>5.4166666666666641E-2</v>
      </c>
      <c r="J186" s="11" t="s">
        <v>402</v>
      </c>
      <c r="K186" s="11" t="s">
        <v>50</v>
      </c>
      <c r="L186" s="11" t="s">
        <v>308</v>
      </c>
      <c r="M186" s="11"/>
      <c r="N186" s="12"/>
      <c r="O186" s="12"/>
      <c r="P186" s="11"/>
      <c r="Q186" s="11"/>
      <c r="R186" s="12"/>
      <c r="S186" s="11"/>
      <c r="T186" s="12"/>
      <c r="U186" s="12"/>
      <c r="V186" s="12"/>
      <c r="W186" s="12"/>
      <c r="X186" s="12"/>
      <c r="Y186" s="12"/>
      <c r="Z186" s="11"/>
      <c r="AA186" s="11"/>
    </row>
    <row r="187" spans="1:27" ht="17.25" customHeight="1" x14ac:dyDescent="0.25">
      <c r="A187" s="10">
        <v>45472</v>
      </c>
      <c r="B187" s="11">
        <v>2558</v>
      </c>
      <c r="C187" s="11" t="s">
        <v>38</v>
      </c>
      <c r="D187" s="11">
        <v>44</v>
      </c>
      <c r="E187" s="12">
        <v>0.21527777777777779</v>
      </c>
      <c r="F187" s="12">
        <v>0.30208333333333331</v>
      </c>
      <c r="G187" s="12">
        <v>0.27777777777777779</v>
      </c>
      <c r="H187" s="12">
        <v>0.3888888888888889</v>
      </c>
      <c r="I187" s="12">
        <f t="shared" si="2"/>
        <v>8.680555555555558E-2</v>
      </c>
      <c r="J187" s="11" t="s">
        <v>403</v>
      </c>
      <c r="K187" s="11" t="s">
        <v>404</v>
      </c>
      <c r="L187" s="11" t="s">
        <v>405</v>
      </c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s="15" customFormat="1" ht="17.25" customHeight="1" x14ac:dyDescent="0.25">
      <c r="A188" s="18">
        <v>45473</v>
      </c>
      <c r="B188" s="14"/>
      <c r="C188" s="14"/>
      <c r="D188" s="14"/>
      <c r="E188" s="19"/>
      <c r="F188" s="19"/>
      <c r="G188" s="19"/>
      <c r="H188" s="19"/>
      <c r="I188" s="19">
        <f t="shared" si="2"/>
        <v>0</v>
      </c>
      <c r="J188" s="14"/>
      <c r="K188" s="14"/>
      <c r="L188" s="14"/>
      <c r="M188" s="14"/>
      <c r="N188" s="19"/>
      <c r="O188" s="19"/>
      <c r="P188" s="14"/>
      <c r="Q188" s="14"/>
      <c r="R188" s="19"/>
      <c r="S188" s="19"/>
      <c r="T188" s="19"/>
      <c r="U188" s="19"/>
      <c r="V188" s="19"/>
      <c r="W188" s="19"/>
      <c r="X188" s="19"/>
      <c r="Y188" s="19"/>
      <c r="Z188" s="14"/>
      <c r="AA188" s="14"/>
    </row>
    <row r="189" spans="1:27" ht="17.25" customHeight="1" x14ac:dyDescent="0.25">
      <c r="A189" s="10">
        <v>45474</v>
      </c>
      <c r="B189" s="11">
        <v>1560</v>
      </c>
      <c r="C189" s="11" t="s">
        <v>39</v>
      </c>
      <c r="D189" s="11">
        <v>44</v>
      </c>
      <c r="E189" s="12">
        <v>0.21527777777777779</v>
      </c>
      <c r="F189" s="12">
        <v>0.29791666666666666</v>
      </c>
      <c r="G189" s="12">
        <v>0.27777777777777779</v>
      </c>
      <c r="H189" s="12">
        <v>0.35833333333333334</v>
      </c>
      <c r="I189" s="12">
        <f t="shared" si="2"/>
        <v>6.0416666666666674E-2</v>
      </c>
      <c r="J189" s="11" t="s">
        <v>406</v>
      </c>
      <c r="K189" s="11" t="s">
        <v>407</v>
      </c>
      <c r="L189" s="11" t="s">
        <v>408</v>
      </c>
      <c r="M189" s="11"/>
      <c r="N189" s="12"/>
      <c r="O189" s="12"/>
      <c r="P189" s="11"/>
      <c r="Q189" s="11"/>
      <c r="R189" s="12"/>
      <c r="S189" s="12"/>
      <c r="T189" s="12"/>
      <c r="U189" s="12"/>
      <c r="V189" s="12"/>
      <c r="W189" s="12"/>
      <c r="X189" s="12"/>
      <c r="Y189" s="12"/>
      <c r="Z189" s="11"/>
      <c r="AA189" s="11"/>
    </row>
    <row r="190" spans="1:27" ht="17.25" customHeight="1" x14ac:dyDescent="0.25">
      <c r="A190" s="10">
        <v>45475</v>
      </c>
      <c r="B190" s="11">
        <v>1560</v>
      </c>
      <c r="C190" s="11" t="s">
        <v>38</v>
      </c>
      <c r="D190" s="11">
        <v>44</v>
      </c>
      <c r="E190" s="12">
        <v>0.21527777777777779</v>
      </c>
      <c r="F190" s="12">
        <v>0.22500000000000001</v>
      </c>
      <c r="G190" s="12">
        <v>0.27777777777777779</v>
      </c>
      <c r="H190" s="12">
        <v>0.27777777777777779</v>
      </c>
      <c r="I190" s="12">
        <f t="shared" ref="I190:I191" si="3">H190-F190</f>
        <v>5.2777777777777785E-2</v>
      </c>
      <c r="J190" s="11" t="s">
        <v>33</v>
      </c>
      <c r="K190" s="11"/>
      <c r="L190" s="11"/>
      <c r="M190" s="11"/>
      <c r="N190" s="12"/>
      <c r="O190" s="12"/>
      <c r="P190" s="11"/>
      <c r="Q190" s="11"/>
      <c r="R190" s="12"/>
      <c r="S190" s="12"/>
      <c r="T190" s="12"/>
      <c r="U190" s="12"/>
      <c r="V190" s="12"/>
      <c r="W190" s="12"/>
      <c r="X190" s="12"/>
      <c r="Y190" s="12"/>
      <c r="Z190" s="11"/>
      <c r="AA190" s="11"/>
    </row>
    <row r="191" spans="1:27" ht="17.25" customHeight="1" x14ac:dyDescent="0.25">
      <c r="A191" s="10">
        <v>45476</v>
      </c>
      <c r="B191" s="11">
        <v>1560</v>
      </c>
      <c r="C191" s="11" t="s">
        <v>32</v>
      </c>
      <c r="D191" s="11">
        <v>44</v>
      </c>
      <c r="E191" s="12">
        <v>0.21527777777777779</v>
      </c>
      <c r="F191" s="12">
        <v>0.23055555555555557</v>
      </c>
      <c r="G191" s="12">
        <v>0.27777777777777779</v>
      </c>
      <c r="H191" s="59">
        <v>0.27777777777777779</v>
      </c>
      <c r="I191" s="12">
        <f t="shared" si="3"/>
        <v>4.7222222222222221E-2</v>
      </c>
      <c r="J191" s="11" t="s">
        <v>33</v>
      </c>
      <c r="K191" s="11"/>
      <c r="L191" s="11"/>
      <c r="M191" s="11"/>
      <c r="N191" s="12"/>
      <c r="O191" s="12"/>
      <c r="P191" s="11"/>
      <c r="Q191" s="11"/>
      <c r="R191" s="12"/>
      <c r="S191" s="12"/>
      <c r="T191" s="12"/>
      <c r="U191" s="12"/>
      <c r="V191" s="12"/>
      <c r="W191" s="12"/>
      <c r="X191" s="12"/>
      <c r="Y191" s="12"/>
      <c r="Z191" s="11"/>
      <c r="AA191" s="11"/>
    </row>
    <row r="192" spans="1:27" ht="17.25" customHeight="1" x14ac:dyDescent="0.25">
      <c r="A192" s="10">
        <v>45477</v>
      </c>
      <c r="B192" s="11">
        <v>1560</v>
      </c>
      <c r="C192" s="11" t="s">
        <v>39</v>
      </c>
      <c r="D192" s="11">
        <v>45</v>
      </c>
      <c r="E192" s="12">
        <v>0.21527777777777779</v>
      </c>
      <c r="F192" s="12">
        <v>0.27430555555555558</v>
      </c>
      <c r="G192" s="12">
        <v>0.27777777777777779</v>
      </c>
      <c r="H192" s="12">
        <v>0.34791666666666665</v>
      </c>
      <c r="I192" s="12">
        <f t="shared" si="2"/>
        <v>7.3611111111111072E-2</v>
      </c>
      <c r="J192" s="11" t="s">
        <v>33</v>
      </c>
      <c r="K192" s="11"/>
      <c r="L192" s="11"/>
      <c r="M192" s="11"/>
      <c r="N192" s="12"/>
      <c r="O192" s="12"/>
      <c r="P192" s="11"/>
      <c r="Q192" s="11"/>
      <c r="R192" s="12"/>
      <c r="S192" s="12"/>
      <c r="T192" s="12"/>
      <c r="U192" s="12"/>
      <c r="V192" s="12"/>
      <c r="W192" s="12"/>
      <c r="X192" s="12"/>
      <c r="Y192" s="12"/>
      <c r="Z192" s="11"/>
      <c r="AA192" s="11"/>
    </row>
    <row r="193" spans="1:27" ht="17.25" customHeight="1" x14ac:dyDescent="0.25">
      <c r="A193" s="10">
        <v>45478</v>
      </c>
      <c r="B193" s="11">
        <v>1560</v>
      </c>
      <c r="C193" s="11" t="s">
        <v>38</v>
      </c>
      <c r="D193" s="11">
        <v>44</v>
      </c>
      <c r="E193" s="12">
        <v>0.21527777777777779</v>
      </c>
      <c r="F193" s="12">
        <v>0.24652777777777779</v>
      </c>
      <c r="G193" s="12">
        <v>0.27777777777777779</v>
      </c>
      <c r="H193" s="12">
        <v>0.30694444444444446</v>
      </c>
      <c r="I193" s="12">
        <f t="shared" si="2"/>
        <v>6.0416666666666674E-2</v>
      </c>
      <c r="J193" s="11" t="s">
        <v>409</v>
      </c>
      <c r="K193" s="11" t="s">
        <v>50</v>
      </c>
      <c r="L193" s="11" t="s">
        <v>308</v>
      </c>
      <c r="M193" s="11"/>
      <c r="N193" s="12"/>
      <c r="O193" s="12"/>
      <c r="P193" s="11"/>
      <c r="Q193" s="11"/>
      <c r="R193" s="12"/>
      <c r="S193" s="12"/>
      <c r="T193" s="12"/>
      <c r="U193" s="12"/>
      <c r="V193" s="12"/>
      <c r="W193" s="12"/>
      <c r="X193" s="12"/>
      <c r="Y193" s="12"/>
      <c r="Z193" s="11"/>
      <c r="AA193" s="11"/>
    </row>
    <row r="194" spans="1:27" ht="17.25" customHeight="1" x14ac:dyDescent="0.25">
      <c r="A194" s="10">
        <v>45479</v>
      </c>
      <c r="B194" s="11">
        <v>1560</v>
      </c>
      <c r="C194" s="11" t="s">
        <v>38</v>
      </c>
      <c r="D194" s="11">
        <v>44</v>
      </c>
      <c r="E194" s="12">
        <v>0.21527777777777779</v>
      </c>
      <c r="F194" s="12">
        <v>0.22083333333333333</v>
      </c>
      <c r="G194" s="12">
        <v>0.29166666666666669</v>
      </c>
      <c r="H194" s="12">
        <v>0.3034722222222222</v>
      </c>
      <c r="I194" s="12">
        <f t="shared" si="2"/>
        <v>8.2638888888888873E-2</v>
      </c>
      <c r="J194" s="11" t="s">
        <v>410</v>
      </c>
      <c r="K194" s="11">
        <v>81</v>
      </c>
      <c r="L194" s="11" t="s">
        <v>85</v>
      </c>
      <c r="M194" s="11"/>
      <c r="N194" s="12"/>
      <c r="O194" s="12"/>
      <c r="P194" s="11"/>
      <c r="Q194" s="11"/>
      <c r="R194" s="12"/>
      <c r="S194" s="12"/>
      <c r="T194" s="12"/>
      <c r="U194" s="12"/>
      <c r="V194" s="12"/>
      <c r="W194" s="12"/>
      <c r="X194" s="12"/>
      <c r="Y194" s="12"/>
      <c r="Z194" s="11"/>
      <c r="AA194" s="11"/>
    </row>
    <row r="195" spans="1:27" s="15" customFormat="1" ht="17.25" customHeight="1" x14ac:dyDescent="0.25">
      <c r="A195" s="18">
        <v>45480</v>
      </c>
      <c r="B195" s="14"/>
      <c r="C195" s="14"/>
      <c r="D195" s="14"/>
      <c r="E195" s="19"/>
      <c r="F195" s="19"/>
      <c r="G195" s="19"/>
      <c r="H195" s="19"/>
      <c r="I195" s="19">
        <f t="shared" si="2"/>
        <v>0</v>
      </c>
      <c r="J195" s="14"/>
      <c r="K195" s="14"/>
      <c r="L195" s="14"/>
      <c r="M195" s="14"/>
      <c r="N195" s="19"/>
      <c r="O195" s="19"/>
      <c r="P195" s="14"/>
      <c r="Q195" s="14"/>
      <c r="R195" s="19"/>
      <c r="S195" s="19"/>
      <c r="T195" s="19"/>
      <c r="U195" s="19"/>
      <c r="V195" s="19"/>
      <c r="W195" s="19"/>
      <c r="X195" s="14"/>
      <c r="Y195" s="19"/>
      <c r="Z195" s="14"/>
      <c r="AA195" s="14"/>
    </row>
    <row r="196" spans="1:27" ht="17.25" customHeight="1" x14ac:dyDescent="0.25">
      <c r="A196" s="10">
        <v>45481</v>
      </c>
      <c r="B196" s="11">
        <v>1560</v>
      </c>
      <c r="C196" s="11" t="s">
        <v>32</v>
      </c>
      <c r="D196" s="11">
        <v>44</v>
      </c>
      <c r="E196" s="12">
        <v>0.21527777777777779</v>
      </c>
      <c r="F196" s="12">
        <v>0.45208333333333334</v>
      </c>
      <c r="G196" s="12">
        <v>0.27777777777777779</v>
      </c>
      <c r="H196" s="12">
        <v>0.51666666666666672</v>
      </c>
      <c r="I196" s="12">
        <f t="shared" si="2"/>
        <v>6.4583333333333381E-2</v>
      </c>
      <c r="J196" s="11" t="s">
        <v>411</v>
      </c>
      <c r="K196" s="11" t="s">
        <v>50</v>
      </c>
      <c r="L196" s="11" t="s">
        <v>308</v>
      </c>
      <c r="M196" s="11"/>
      <c r="N196" s="12"/>
      <c r="O196" s="12"/>
      <c r="P196" s="11"/>
      <c r="Q196" s="11"/>
      <c r="R196" s="12"/>
      <c r="S196" s="12"/>
      <c r="T196" s="12"/>
      <c r="U196" s="12"/>
      <c r="V196" s="12"/>
      <c r="W196" s="12"/>
      <c r="X196" s="11"/>
      <c r="Y196" s="12"/>
      <c r="Z196" s="11"/>
      <c r="AA196" s="11"/>
    </row>
    <row r="197" spans="1:27" ht="17.25" customHeight="1" x14ac:dyDescent="0.25">
      <c r="A197" s="10">
        <v>45482</v>
      </c>
      <c r="B197" s="11">
        <v>1560</v>
      </c>
      <c r="C197" s="11" t="s">
        <v>48</v>
      </c>
      <c r="D197" s="11">
        <v>44</v>
      </c>
      <c r="E197" s="12">
        <v>0.21527777777777779</v>
      </c>
      <c r="F197" s="12">
        <v>0.84583333333333333</v>
      </c>
      <c r="G197" s="12">
        <v>0.27777777777777779</v>
      </c>
      <c r="H197" s="12">
        <v>0.92152777777777772</v>
      </c>
      <c r="I197" s="12">
        <f t="shared" si="2"/>
        <v>7.5694444444444398E-2</v>
      </c>
      <c r="J197" s="11" t="s">
        <v>412</v>
      </c>
      <c r="K197" s="11" t="s">
        <v>50</v>
      </c>
      <c r="L197" s="11" t="s">
        <v>308</v>
      </c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7.25" customHeight="1" x14ac:dyDescent="0.25">
      <c r="A198" s="10">
        <v>45483</v>
      </c>
      <c r="B198" s="11">
        <v>2560</v>
      </c>
      <c r="C198" s="11" t="s">
        <v>35</v>
      </c>
      <c r="D198" s="11">
        <v>44</v>
      </c>
      <c r="E198" s="12">
        <v>0.21527777777777779</v>
      </c>
      <c r="F198" s="12">
        <v>0.50486111111111109</v>
      </c>
      <c r="G198" s="12">
        <v>0.27777777777777779</v>
      </c>
      <c r="H198" s="12">
        <v>0.5708333333333333</v>
      </c>
      <c r="I198" s="12">
        <f t="shared" si="2"/>
        <v>6.597222222222221E-2</v>
      </c>
      <c r="J198" s="11">
        <v>429</v>
      </c>
      <c r="K198" s="11" t="s">
        <v>50</v>
      </c>
      <c r="L198" s="11" t="s">
        <v>308</v>
      </c>
      <c r="M198" s="11"/>
      <c r="N198" s="12"/>
      <c r="O198" s="12"/>
      <c r="P198" s="11"/>
      <c r="Q198" s="11"/>
      <c r="R198" s="12"/>
      <c r="S198" s="12"/>
      <c r="T198" s="12"/>
      <c r="U198" s="12"/>
      <c r="V198" s="12"/>
      <c r="W198" s="12"/>
      <c r="X198" s="11"/>
      <c r="Y198" s="12"/>
      <c r="Z198" s="11"/>
      <c r="AA198" s="11"/>
    </row>
    <row r="199" spans="1:27" ht="17.25" customHeight="1" x14ac:dyDescent="0.25">
      <c r="A199" s="10">
        <v>45484</v>
      </c>
      <c r="B199" s="11">
        <v>1560</v>
      </c>
      <c r="C199" s="11" t="s">
        <v>38</v>
      </c>
      <c r="D199" s="11">
        <v>44</v>
      </c>
      <c r="E199" s="12">
        <v>0.21527777777777779</v>
      </c>
      <c r="F199" s="12">
        <v>0.2013888888888889</v>
      </c>
      <c r="G199" s="12">
        <v>0.27777777777777779</v>
      </c>
      <c r="H199" s="12">
        <v>0.28194444444444444</v>
      </c>
      <c r="I199" s="12">
        <f t="shared" si="2"/>
        <v>8.0555555555555547E-2</v>
      </c>
      <c r="J199" s="11" t="s">
        <v>413</v>
      </c>
      <c r="K199" s="11" t="s">
        <v>414</v>
      </c>
      <c r="L199" s="11" t="s">
        <v>415</v>
      </c>
      <c r="M199" s="11"/>
      <c r="N199" s="12"/>
      <c r="O199" s="12"/>
      <c r="P199" s="11"/>
      <c r="Q199" s="11"/>
      <c r="R199" s="12"/>
      <c r="S199" s="12"/>
      <c r="T199" s="12"/>
      <c r="U199" s="12"/>
      <c r="V199" s="12"/>
      <c r="W199" s="12"/>
      <c r="X199" s="11"/>
      <c r="Y199" s="12"/>
      <c r="Z199" s="11"/>
      <c r="AA199" s="11"/>
    </row>
    <row r="200" spans="1:27" ht="17.25" customHeight="1" x14ac:dyDescent="0.25">
      <c r="A200" s="10">
        <v>45485</v>
      </c>
      <c r="B200" s="11">
        <v>1560</v>
      </c>
      <c r="C200" s="11" t="s">
        <v>35</v>
      </c>
      <c r="D200" s="11">
        <v>44</v>
      </c>
      <c r="E200" s="12">
        <v>0.21527777777777779</v>
      </c>
      <c r="F200" s="12">
        <v>0.24236111111111111</v>
      </c>
      <c r="G200" s="12">
        <v>0.27777777777777779</v>
      </c>
      <c r="H200" s="12">
        <v>0.30902777777777779</v>
      </c>
      <c r="I200" s="12">
        <f t="shared" ref="I200:I263" si="4">H200-F200</f>
        <v>6.666666666666668E-2</v>
      </c>
      <c r="J200" s="11" t="s">
        <v>416</v>
      </c>
      <c r="K200" s="11" t="s">
        <v>82</v>
      </c>
      <c r="L200" s="11" t="s">
        <v>308</v>
      </c>
      <c r="M200" s="11"/>
      <c r="N200" s="12"/>
      <c r="O200" s="12"/>
      <c r="P200" s="11"/>
      <c r="Q200" s="11"/>
      <c r="R200" s="12"/>
      <c r="S200" s="12"/>
      <c r="T200" s="12"/>
      <c r="U200" s="12"/>
      <c r="V200" s="12"/>
      <c r="W200" s="12"/>
      <c r="X200" s="11"/>
      <c r="Y200" s="12"/>
      <c r="Z200" s="11"/>
      <c r="AA200" s="11"/>
    </row>
    <row r="201" spans="1:27" ht="17.25" customHeight="1" x14ac:dyDescent="0.25">
      <c r="A201" s="10">
        <v>45486</v>
      </c>
      <c r="B201" s="11">
        <v>1560</v>
      </c>
      <c r="C201" s="11" t="s">
        <v>38</v>
      </c>
      <c r="D201" s="11">
        <v>44</v>
      </c>
      <c r="E201" s="12">
        <v>0.21527777777777779</v>
      </c>
      <c r="F201" s="12">
        <v>0.18819444444444444</v>
      </c>
      <c r="G201" s="12">
        <v>0.27777777777777779</v>
      </c>
      <c r="H201" s="12">
        <v>0.27847222222222223</v>
      </c>
      <c r="I201" s="12">
        <f t="shared" si="4"/>
        <v>9.027777777777779E-2</v>
      </c>
      <c r="J201" s="11" t="s">
        <v>33</v>
      </c>
      <c r="K201" s="11"/>
      <c r="L201" s="11"/>
      <c r="M201" s="11"/>
      <c r="N201" s="11"/>
      <c r="O201" s="11"/>
      <c r="P201" s="11"/>
      <c r="Q201" s="11"/>
      <c r="R201" s="12"/>
      <c r="S201" s="12"/>
      <c r="T201" s="12"/>
      <c r="U201" s="12"/>
      <c r="V201" s="12"/>
      <c r="W201" s="12"/>
      <c r="X201" s="11"/>
      <c r="Y201" s="12"/>
      <c r="Z201" s="11"/>
      <c r="AA201" s="11"/>
    </row>
    <row r="202" spans="1:27" s="15" customFormat="1" ht="17.25" customHeight="1" x14ac:dyDescent="0.25">
      <c r="A202" s="18">
        <v>45487</v>
      </c>
      <c r="B202" s="14"/>
      <c r="C202" s="14"/>
      <c r="D202" s="14"/>
      <c r="E202" s="19"/>
      <c r="F202" s="19"/>
      <c r="G202" s="19"/>
      <c r="H202" s="19"/>
      <c r="I202" s="19">
        <f t="shared" si="4"/>
        <v>0</v>
      </c>
      <c r="J202" s="14"/>
      <c r="K202" s="14"/>
      <c r="L202" s="14"/>
      <c r="M202" s="14"/>
      <c r="N202" s="14"/>
      <c r="O202" s="14"/>
      <c r="P202" s="14"/>
      <c r="Q202" s="14"/>
      <c r="R202" s="19"/>
      <c r="S202" s="19"/>
      <c r="T202" s="19"/>
      <c r="U202" s="19"/>
      <c r="V202" s="19"/>
      <c r="W202" s="19"/>
      <c r="X202" s="14"/>
      <c r="Y202" s="19"/>
      <c r="Z202" s="14"/>
      <c r="AA202" s="14"/>
    </row>
    <row r="203" spans="1:27" ht="17.25" customHeight="1" x14ac:dyDescent="0.25">
      <c r="A203" s="10">
        <v>45488</v>
      </c>
      <c r="B203" s="11">
        <v>1560</v>
      </c>
      <c r="C203" s="11" t="s">
        <v>38</v>
      </c>
      <c r="D203" s="11">
        <v>44</v>
      </c>
      <c r="E203" s="12">
        <v>0.21527777777777779</v>
      </c>
      <c r="F203" s="12">
        <v>0.8569444444444444</v>
      </c>
      <c r="G203" s="12">
        <v>0.27777777777777779</v>
      </c>
      <c r="H203" s="12">
        <v>0.9194444444444444</v>
      </c>
      <c r="I203" s="12">
        <f t="shared" si="4"/>
        <v>6.25E-2</v>
      </c>
      <c r="J203" s="11" t="s">
        <v>417</v>
      </c>
      <c r="K203" s="11" t="s">
        <v>82</v>
      </c>
      <c r="L203" s="11" t="s">
        <v>308</v>
      </c>
      <c r="M203" s="11"/>
      <c r="N203" s="12"/>
      <c r="O203" s="12"/>
      <c r="P203" s="11"/>
      <c r="Q203" s="11"/>
      <c r="R203" s="12"/>
      <c r="S203" s="12"/>
      <c r="T203" s="12"/>
      <c r="U203" s="12"/>
      <c r="V203" s="12"/>
      <c r="W203" s="12"/>
      <c r="X203" s="11"/>
      <c r="Y203" s="12"/>
      <c r="Z203" s="11"/>
      <c r="AA203" s="11"/>
    </row>
    <row r="204" spans="1:27" ht="17.25" customHeight="1" x14ac:dyDescent="0.25">
      <c r="A204" s="10">
        <v>45489</v>
      </c>
      <c r="B204" s="11">
        <v>2560</v>
      </c>
      <c r="C204" s="11" t="s">
        <v>35</v>
      </c>
      <c r="D204" s="11">
        <v>44</v>
      </c>
      <c r="E204" s="12">
        <v>0.21527777777777779</v>
      </c>
      <c r="F204" s="12">
        <v>0.2076388888888889</v>
      </c>
      <c r="G204" s="12">
        <v>0.27777777777777779</v>
      </c>
      <c r="H204" s="12">
        <v>0.89166666666666672</v>
      </c>
      <c r="I204" s="12">
        <f t="shared" si="4"/>
        <v>0.68402777777777779</v>
      </c>
      <c r="J204" s="12">
        <v>7.5694444444444439E-2</v>
      </c>
      <c r="K204" s="11" t="s">
        <v>418</v>
      </c>
      <c r="L204" s="11" t="s">
        <v>419</v>
      </c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7.25" customHeight="1" x14ac:dyDescent="0.25">
      <c r="A205" s="10">
        <v>45490</v>
      </c>
      <c r="B205" s="11">
        <v>1560</v>
      </c>
      <c r="C205" s="11" t="s">
        <v>32</v>
      </c>
      <c r="D205" s="11">
        <v>44</v>
      </c>
      <c r="E205" s="12">
        <v>0.21527777777777779</v>
      </c>
      <c r="F205" s="12">
        <v>0.22916666666666666</v>
      </c>
      <c r="G205" s="12">
        <v>0.27777777777777779</v>
      </c>
      <c r="H205" s="12">
        <v>0.27638888888888891</v>
      </c>
      <c r="I205" s="12">
        <f t="shared" si="4"/>
        <v>4.7222222222222249E-2</v>
      </c>
      <c r="J205" s="10" t="s">
        <v>33</v>
      </c>
      <c r="K205" s="11"/>
      <c r="L205" s="11"/>
      <c r="M205" s="11"/>
      <c r="N205" s="12"/>
      <c r="O205" s="12"/>
      <c r="P205" s="11"/>
      <c r="Q205" s="11"/>
      <c r="R205" s="12"/>
      <c r="S205" s="12"/>
      <c r="T205" s="12"/>
      <c r="U205" s="12"/>
      <c r="V205" s="12"/>
      <c r="W205" s="12"/>
      <c r="X205" s="11"/>
      <c r="Y205" s="12"/>
      <c r="Z205" s="11"/>
      <c r="AA205" s="11"/>
    </row>
    <row r="206" spans="1:27" ht="17.25" customHeight="1" x14ac:dyDescent="0.25">
      <c r="A206" s="10">
        <v>45491</v>
      </c>
      <c r="B206" s="11">
        <v>1560</v>
      </c>
      <c r="C206" s="11" t="s">
        <v>35</v>
      </c>
      <c r="D206" s="11">
        <v>44</v>
      </c>
      <c r="E206" s="12">
        <v>0.21527777777777779</v>
      </c>
      <c r="F206" s="12">
        <v>0.25763888888888886</v>
      </c>
      <c r="G206" s="12">
        <v>0.27777777777777779</v>
      </c>
      <c r="H206" s="12">
        <v>0.31111111111111112</v>
      </c>
      <c r="I206" s="12">
        <f t="shared" si="4"/>
        <v>5.3472222222222254E-2</v>
      </c>
      <c r="J206" s="11" t="s">
        <v>374</v>
      </c>
      <c r="K206" s="11" t="s">
        <v>50</v>
      </c>
      <c r="L206" s="11" t="s">
        <v>308</v>
      </c>
      <c r="M206" s="11"/>
      <c r="N206" s="12"/>
      <c r="O206" s="12"/>
      <c r="P206" s="11"/>
      <c r="Q206" s="11"/>
      <c r="R206" s="12"/>
      <c r="S206" s="12"/>
      <c r="T206" s="12"/>
      <c r="U206" s="12"/>
      <c r="V206" s="12"/>
      <c r="W206" s="12"/>
      <c r="X206" s="11"/>
      <c r="Y206" s="12"/>
      <c r="Z206" s="11"/>
      <c r="AA206" s="11"/>
    </row>
    <row r="207" spans="1:27" ht="17.25" customHeight="1" x14ac:dyDescent="0.25">
      <c r="A207" s="10">
        <v>45492</v>
      </c>
      <c r="B207" s="11">
        <v>1560</v>
      </c>
      <c r="C207" s="11" t="s">
        <v>32</v>
      </c>
      <c r="D207" s="11">
        <v>44</v>
      </c>
      <c r="E207" s="12">
        <v>0.21527777777777779</v>
      </c>
      <c r="F207" s="12">
        <v>0.21319444444444444</v>
      </c>
      <c r="G207" s="12">
        <v>0.27777777777777779</v>
      </c>
      <c r="H207" s="12">
        <v>0.27083333333333331</v>
      </c>
      <c r="I207" s="12">
        <f t="shared" si="4"/>
        <v>5.7638888888888878E-2</v>
      </c>
      <c r="J207" s="17" t="s">
        <v>33</v>
      </c>
      <c r="K207" s="11"/>
      <c r="L207" s="11"/>
      <c r="M207" s="11"/>
      <c r="N207" s="12"/>
      <c r="O207" s="12"/>
      <c r="P207" s="11"/>
      <c r="Q207" s="11"/>
      <c r="R207" s="12"/>
      <c r="S207" s="12"/>
      <c r="T207" s="12"/>
      <c r="U207" s="12"/>
      <c r="V207" s="12"/>
      <c r="W207" s="12"/>
      <c r="X207" s="11"/>
      <c r="Y207" s="12"/>
      <c r="Z207" s="11"/>
      <c r="AA207" s="11"/>
    </row>
    <row r="208" spans="1:27" ht="17.25" customHeight="1" x14ac:dyDescent="0.25">
      <c r="A208" s="10">
        <v>45493</v>
      </c>
      <c r="B208" s="11">
        <v>2558</v>
      </c>
      <c r="C208" s="11" t="s">
        <v>35</v>
      </c>
      <c r="D208" s="11">
        <v>44</v>
      </c>
      <c r="E208" s="12">
        <v>0.21527777777777779</v>
      </c>
      <c r="F208" s="12">
        <v>0.25624999999999998</v>
      </c>
      <c r="G208" s="12">
        <v>0.29166666666666669</v>
      </c>
      <c r="H208" s="12">
        <v>0.61944444444444446</v>
      </c>
      <c r="I208" s="12">
        <f t="shared" si="4"/>
        <v>0.36319444444444449</v>
      </c>
      <c r="J208" s="11" t="s">
        <v>420</v>
      </c>
      <c r="K208" s="11" t="s">
        <v>392</v>
      </c>
      <c r="L208" s="11" t="s">
        <v>393</v>
      </c>
      <c r="M208" s="11"/>
      <c r="N208" s="11"/>
      <c r="O208" s="11"/>
      <c r="P208" s="11"/>
      <c r="Q208" s="11"/>
      <c r="R208" s="12"/>
      <c r="S208" s="12"/>
      <c r="T208" s="12"/>
      <c r="U208" s="12"/>
      <c r="V208" s="12"/>
      <c r="W208" s="12"/>
      <c r="X208" s="11"/>
      <c r="Y208" s="12"/>
      <c r="Z208" s="11"/>
      <c r="AA208" s="11"/>
    </row>
    <row r="209" spans="1:27" s="15" customFormat="1" ht="17.25" customHeight="1" x14ac:dyDescent="0.25">
      <c r="A209" s="18">
        <v>45494</v>
      </c>
      <c r="B209" s="14"/>
      <c r="C209" s="14"/>
      <c r="D209" s="14"/>
      <c r="E209" s="19"/>
      <c r="F209" s="19"/>
      <c r="G209" s="19"/>
      <c r="H209" s="19"/>
      <c r="I209" s="19">
        <f t="shared" si="4"/>
        <v>0</v>
      </c>
      <c r="J209" s="14"/>
      <c r="K209" s="14"/>
      <c r="L209" s="14"/>
      <c r="M209" s="14"/>
      <c r="N209" s="19"/>
      <c r="O209" s="19"/>
      <c r="P209" s="14"/>
      <c r="Q209" s="14"/>
      <c r="R209" s="19"/>
      <c r="S209" s="19"/>
      <c r="T209" s="19"/>
      <c r="U209" s="19"/>
      <c r="V209" s="19"/>
      <c r="W209" s="19"/>
      <c r="X209" s="14"/>
      <c r="Y209" s="19"/>
      <c r="Z209" s="14"/>
      <c r="AA209" s="14"/>
    </row>
    <row r="210" spans="1:27" ht="17.25" customHeight="1" x14ac:dyDescent="0.25">
      <c r="A210" s="10">
        <v>45495</v>
      </c>
      <c r="B210" s="11">
        <v>1560</v>
      </c>
      <c r="C210" s="11" t="s">
        <v>32</v>
      </c>
      <c r="D210" s="11">
        <v>42</v>
      </c>
      <c r="E210" s="12">
        <v>0.21527777777777779</v>
      </c>
      <c r="F210" s="12">
        <v>0.19027777777777777</v>
      </c>
      <c r="G210" s="12">
        <v>0.27777777777777779</v>
      </c>
      <c r="H210" s="12">
        <v>0.2986111111111111</v>
      </c>
      <c r="I210" s="12">
        <f t="shared" si="4"/>
        <v>0.10833333333333334</v>
      </c>
      <c r="J210" s="11" t="s">
        <v>421</v>
      </c>
      <c r="K210" s="11">
        <v>43</v>
      </c>
      <c r="L210" s="11" t="s">
        <v>422</v>
      </c>
      <c r="M210" s="11"/>
      <c r="N210" s="12"/>
      <c r="O210" s="12"/>
      <c r="P210" s="11"/>
      <c r="Q210" s="11"/>
      <c r="R210" s="12"/>
      <c r="S210" s="12"/>
      <c r="T210" s="12"/>
      <c r="U210" s="12"/>
      <c r="V210" s="12"/>
      <c r="W210" s="12"/>
      <c r="X210" s="11"/>
      <c r="Y210" s="12"/>
      <c r="Z210" s="11"/>
      <c r="AA210" s="11"/>
    </row>
    <row r="211" spans="1:27" ht="17.25" customHeight="1" x14ac:dyDescent="0.25">
      <c r="A211" s="10">
        <v>45496</v>
      </c>
      <c r="B211" s="11">
        <v>1560</v>
      </c>
      <c r="C211" s="11" t="s">
        <v>39</v>
      </c>
      <c r="D211" s="11">
        <v>42</v>
      </c>
      <c r="E211" s="12">
        <v>0.21527777777777779</v>
      </c>
      <c r="F211" s="12">
        <v>0.30208333333333331</v>
      </c>
      <c r="G211" s="12">
        <v>0.27777777777777779</v>
      </c>
      <c r="H211" s="12">
        <v>0.36944444444444446</v>
      </c>
      <c r="I211" s="12">
        <f t="shared" si="4"/>
        <v>6.7361111111111149E-2</v>
      </c>
      <c r="J211" s="11" t="s">
        <v>423</v>
      </c>
      <c r="K211" s="11" t="s">
        <v>424</v>
      </c>
      <c r="L211" s="17" t="s">
        <v>425</v>
      </c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7.25" customHeight="1" x14ac:dyDescent="0.25">
      <c r="A212" s="10">
        <v>45497</v>
      </c>
      <c r="B212" s="11">
        <v>1560</v>
      </c>
      <c r="C212" s="11" t="s">
        <v>32</v>
      </c>
      <c r="D212" s="11">
        <v>44</v>
      </c>
      <c r="E212" s="12">
        <v>0.21527777777777779</v>
      </c>
      <c r="F212" s="12">
        <v>0.22013888888888888</v>
      </c>
      <c r="G212" s="12">
        <v>0.27777777777777779</v>
      </c>
      <c r="H212" s="12">
        <v>0.28263888888888888</v>
      </c>
      <c r="I212" s="12">
        <f t="shared" si="4"/>
        <v>6.25E-2</v>
      </c>
      <c r="J212" s="11" t="s">
        <v>426</v>
      </c>
      <c r="K212" s="11" t="s">
        <v>50</v>
      </c>
      <c r="L212" s="11" t="s">
        <v>308</v>
      </c>
      <c r="M212" s="11"/>
      <c r="N212" s="12"/>
      <c r="O212" s="12"/>
      <c r="P212" s="11"/>
      <c r="Q212" s="11"/>
      <c r="R212" s="12"/>
      <c r="S212" s="12"/>
      <c r="T212" s="12"/>
      <c r="U212" s="12"/>
      <c r="V212" s="12"/>
      <c r="W212" s="12"/>
      <c r="X212" s="11"/>
      <c r="Y212" s="12"/>
      <c r="Z212" s="11"/>
      <c r="AA212" s="11"/>
    </row>
    <row r="213" spans="1:27" ht="17.25" customHeight="1" x14ac:dyDescent="0.25">
      <c r="A213" s="10">
        <v>45498</v>
      </c>
      <c r="B213" s="11">
        <v>1560</v>
      </c>
      <c r="C213" s="11" t="s">
        <v>38</v>
      </c>
      <c r="D213" s="11">
        <v>44</v>
      </c>
      <c r="E213" s="12">
        <v>0.21527777777777779</v>
      </c>
      <c r="F213" s="12">
        <v>0.25069444444444444</v>
      </c>
      <c r="G213" s="12">
        <v>0.27777777777777779</v>
      </c>
      <c r="H213" s="12">
        <v>0.31874999999999998</v>
      </c>
      <c r="I213" s="12">
        <f t="shared" si="4"/>
        <v>6.8055555555555536E-2</v>
      </c>
      <c r="J213" s="11" t="s">
        <v>427</v>
      </c>
      <c r="K213" s="11" t="s">
        <v>428</v>
      </c>
      <c r="L213" s="11" t="s">
        <v>429</v>
      </c>
      <c r="M213" s="11"/>
      <c r="N213" s="12"/>
      <c r="O213" s="12"/>
      <c r="P213" s="11"/>
      <c r="Q213" s="11"/>
      <c r="R213" s="12"/>
      <c r="S213" s="12"/>
      <c r="T213" s="12"/>
      <c r="U213" s="12"/>
      <c r="V213" s="12"/>
      <c r="W213" s="12"/>
      <c r="X213" s="11"/>
      <c r="Y213" s="12"/>
      <c r="Z213" s="11"/>
      <c r="AA213" s="11"/>
    </row>
    <row r="214" spans="1:27" ht="17.25" customHeight="1" x14ac:dyDescent="0.25">
      <c r="A214" s="10">
        <v>45499</v>
      </c>
      <c r="B214" s="11">
        <v>1560</v>
      </c>
      <c r="C214" s="11" t="s">
        <v>39</v>
      </c>
      <c r="D214" s="11">
        <v>44</v>
      </c>
      <c r="E214" s="12">
        <v>0.21527777777777779</v>
      </c>
      <c r="F214" s="12">
        <v>0.26597222222222222</v>
      </c>
      <c r="G214" s="12">
        <v>0.27777777777777779</v>
      </c>
      <c r="H214" s="12">
        <v>0.33124999999999999</v>
      </c>
      <c r="I214" s="12">
        <f t="shared" si="4"/>
        <v>6.5277777777777768E-2</v>
      </c>
      <c r="J214" s="11" t="s">
        <v>430</v>
      </c>
      <c r="K214" s="11" t="s">
        <v>431</v>
      </c>
      <c r="L214" s="11" t="s">
        <v>432</v>
      </c>
      <c r="M214" s="11"/>
      <c r="N214" s="12"/>
      <c r="O214" s="12"/>
      <c r="P214" s="11"/>
      <c r="Q214" s="11"/>
      <c r="R214" s="12"/>
      <c r="S214" s="12"/>
      <c r="T214" s="12"/>
      <c r="U214" s="12"/>
      <c r="V214" s="12"/>
      <c r="W214" s="12"/>
      <c r="X214" s="11"/>
      <c r="Y214" s="12"/>
      <c r="Z214" s="11"/>
      <c r="AA214" s="11"/>
    </row>
    <row r="215" spans="1:27" s="54" customFormat="1" ht="17.25" customHeight="1" x14ac:dyDescent="0.25">
      <c r="A215" s="51">
        <v>45500</v>
      </c>
      <c r="B215" s="52">
        <v>2558</v>
      </c>
      <c r="C215" s="52" t="s">
        <v>39</v>
      </c>
      <c r="D215" s="52">
        <v>44</v>
      </c>
      <c r="E215" s="53">
        <v>0.21527777777777779</v>
      </c>
      <c r="F215" s="53">
        <v>0.2048611111111111</v>
      </c>
      <c r="G215" s="53">
        <v>0.27777777777777779</v>
      </c>
      <c r="H215" s="53">
        <v>0.25833333333333336</v>
      </c>
      <c r="I215" s="53">
        <f t="shared" si="4"/>
        <v>5.3472222222222254E-2</v>
      </c>
      <c r="J215" s="52"/>
      <c r="K215" s="52"/>
      <c r="L215" s="52" t="s">
        <v>343</v>
      </c>
      <c r="M215" s="52"/>
      <c r="N215" s="53"/>
      <c r="O215" s="53"/>
      <c r="P215" s="52"/>
      <c r="Q215" s="52"/>
      <c r="R215" s="53"/>
      <c r="S215" s="53"/>
      <c r="T215" s="53"/>
      <c r="U215" s="53"/>
      <c r="V215" s="53"/>
      <c r="W215" s="53"/>
      <c r="X215" s="52"/>
      <c r="Y215" s="53"/>
      <c r="Z215" s="52"/>
      <c r="AA215" s="52"/>
    </row>
    <row r="216" spans="1:27" s="54" customFormat="1" ht="17.25" customHeight="1" x14ac:dyDescent="0.25">
      <c r="A216" s="51">
        <v>45501</v>
      </c>
      <c r="B216" s="52">
        <v>2558</v>
      </c>
      <c r="C216" s="52" t="s">
        <v>39</v>
      </c>
      <c r="D216" s="52">
        <v>44</v>
      </c>
      <c r="E216" s="53"/>
      <c r="F216" s="53"/>
      <c r="G216" s="53"/>
      <c r="H216" s="53"/>
      <c r="I216" s="53">
        <f t="shared" si="4"/>
        <v>0</v>
      </c>
      <c r="J216" s="52"/>
      <c r="K216" s="52"/>
      <c r="L216" s="52" t="s">
        <v>343</v>
      </c>
      <c r="M216" s="52"/>
      <c r="N216" s="53"/>
      <c r="O216" s="53"/>
      <c r="P216" s="52"/>
      <c r="Q216" s="52"/>
      <c r="R216" s="53"/>
      <c r="S216" s="53"/>
      <c r="T216" s="53"/>
      <c r="U216" s="53"/>
      <c r="V216" s="53"/>
      <c r="W216" s="53"/>
      <c r="X216" s="53"/>
      <c r="Y216" s="53"/>
      <c r="Z216" s="52"/>
      <c r="AA216" s="52"/>
    </row>
    <row r="217" spans="1:27" ht="17.25" customHeight="1" x14ac:dyDescent="0.25">
      <c r="A217" s="10">
        <v>45502</v>
      </c>
      <c r="B217" s="11">
        <v>1560</v>
      </c>
      <c r="C217" s="11" t="s">
        <v>35</v>
      </c>
      <c r="D217" s="11">
        <v>43</v>
      </c>
      <c r="E217" s="12">
        <v>0.21527777777777779</v>
      </c>
      <c r="F217" s="12">
        <v>0.21180555555555555</v>
      </c>
      <c r="G217" s="12">
        <v>0.27777777777777779</v>
      </c>
      <c r="H217" s="12">
        <v>0.28611111111111109</v>
      </c>
      <c r="I217" s="12">
        <f t="shared" si="4"/>
        <v>7.4305555555555541E-2</v>
      </c>
      <c r="J217" s="11" t="s">
        <v>342</v>
      </c>
      <c r="K217" s="11" t="s">
        <v>433</v>
      </c>
      <c r="L217" s="11" t="s">
        <v>434</v>
      </c>
      <c r="M217" s="11"/>
      <c r="N217" s="12"/>
      <c r="O217" s="12"/>
      <c r="P217" s="11"/>
      <c r="Q217" s="11"/>
      <c r="R217" s="12"/>
      <c r="S217" s="11"/>
      <c r="T217" s="12"/>
      <c r="U217" s="12"/>
      <c r="V217" s="12"/>
      <c r="W217" s="12"/>
      <c r="X217" s="12"/>
      <c r="Y217" s="12"/>
      <c r="Z217" s="11"/>
      <c r="AA217" s="11"/>
    </row>
    <row r="218" spans="1:27" ht="17.25" customHeight="1" x14ac:dyDescent="0.25">
      <c r="A218" s="10">
        <v>45503</v>
      </c>
      <c r="B218" s="11">
        <v>1560</v>
      </c>
      <c r="C218" s="11" t="s">
        <v>32</v>
      </c>
      <c r="D218" s="11">
        <v>44</v>
      </c>
      <c r="E218" s="12">
        <v>0.21527777777777779</v>
      </c>
      <c r="F218" s="12">
        <v>0.33541666666666664</v>
      </c>
      <c r="G218" s="12">
        <v>0.27777777777777779</v>
      </c>
      <c r="H218" s="12">
        <v>0.40277777777777779</v>
      </c>
      <c r="I218" s="12">
        <f t="shared" si="4"/>
        <v>6.7361111111111149E-2</v>
      </c>
      <c r="J218" s="11" t="s">
        <v>435</v>
      </c>
      <c r="K218" s="11" t="s">
        <v>436</v>
      </c>
      <c r="L218" s="11" t="s">
        <v>437</v>
      </c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7.25" customHeight="1" x14ac:dyDescent="0.25">
      <c r="A219" s="10">
        <v>45504</v>
      </c>
      <c r="B219" s="11">
        <v>1560</v>
      </c>
      <c r="C219" s="11" t="s">
        <v>35</v>
      </c>
      <c r="D219" s="11">
        <v>44</v>
      </c>
      <c r="E219" s="12">
        <v>0.21527777777777779</v>
      </c>
      <c r="F219" s="12">
        <v>0.27430555555555558</v>
      </c>
      <c r="G219" s="12">
        <v>0.27777777777777779</v>
      </c>
      <c r="H219" s="12">
        <v>0.32291666666666669</v>
      </c>
      <c r="I219" s="12">
        <f t="shared" si="4"/>
        <v>4.8611111111111105E-2</v>
      </c>
      <c r="J219" s="11" t="s">
        <v>438</v>
      </c>
      <c r="K219" s="11" t="s">
        <v>50</v>
      </c>
      <c r="L219" s="11" t="s">
        <v>308</v>
      </c>
      <c r="M219" s="11"/>
      <c r="N219" s="12"/>
      <c r="O219" s="12"/>
      <c r="P219" s="11"/>
      <c r="Q219" s="11"/>
      <c r="R219" s="12"/>
      <c r="S219" s="12"/>
      <c r="T219" s="12"/>
      <c r="U219" s="12"/>
      <c r="V219" s="12"/>
      <c r="W219" s="12"/>
      <c r="X219" s="12"/>
      <c r="Y219" s="12"/>
      <c r="Z219" s="11"/>
      <c r="AA219" s="11"/>
    </row>
    <row r="220" spans="1:27" ht="17.25" customHeight="1" x14ac:dyDescent="0.25">
      <c r="A220" s="10">
        <v>45505</v>
      </c>
      <c r="B220" s="11">
        <v>1560</v>
      </c>
      <c r="C220" s="11" t="s">
        <v>35</v>
      </c>
      <c r="D220" s="11">
        <v>46</v>
      </c>
      <c r="E220" s="12">
        <v>0.21527777777777779</v>
      </c>
      <c r="F220" s="12">
        <v>0.22708333333333333</v>
      </c>
      <c r="G220" s="12">
        <v>0.27777777777777779</v>
      </c>
      <c r="H220" s="12">
        <v>0.28125</v>
      </c>
      <c r="I220" s="12">
        <f t="shared" si="4"/>
        <v>5.4166666666666669E-2</v>
      </c>
      <c r="J220" s="11" t="s">
        <v>33</v>
      </c>
      <c r="K220" s="11"/>
      <c r="L220" s="11"/>
      <c r="M220" s="11"/>
      <c r="N220" s="12"/>
      <c r="O220" s="12"/>
      <c r="P220" s="11"/>
      <c r="Q220" s="11"/>
      <c r="R220" s="12"/>
      <c r="S220" s="12"/>
      <c r="T220" s="12"/>
      <c r="U220" s="12"/>
      <c r="V220" s="12"/>
      <c r="W220" s="12"/>
      <c r="X220" s="12"/>
      <c r="Y220" s="12"/>
      <c r="Z220" s="11"/>
      <c r="AA220" s="11"/>
    </row>
    <row r="221" spans="1:27" ht="17.25" customHeight="1" x14ac:dyDescent="0.25">
      <c r="A221" s="10">
        <v>45506</v>
      </c>
      <c r="B221" s="11">
        <v>1560</v>
      </c>
      <c r="C221" s="11" t="s">
        <v>32</v>
      </c>
      <c r="D221" s="11">
        <v>44</v>
      </c>
      <c r="E221" s="12">
        <v>0.21527777777777779</v>
      </c>
      <c r="F221" s="12">
        <v>0.4236111111111111</v>
      </c>
      <c r="G221" s="12">
        <v>0.27777777777777779</v>
      </c>
      <c r="H221" s="12">
        <v>0.55138888888888893</v>
      </c>
      <c r="I221" s="12">
        <f t="shared" si="4"/>
        <v>0.12777777777777782</v>
      </c>
      <c r="J221" s="11" t="s">
        <v>439</v>
      </c>
      <c r="K221" s="11" t="s">
        <v>395</v>
      </c>
      <c r="L221" s="11" t="s">
        <v>440</v>
      </c>
      <c r="M221" s="11"/>
      <c r="N221" s="12"/>
      <c r="O221" s="12"/>
      <c r="P221" s="11"/>
      <c r="Q221" s="11"/>
      <c r="R221" s="12"/>
      <c r="S221" s="12"/>
      <c r="T221" s="12"/>
      <c r="U221" s="12"/>
      <c r="V221" s="12"/>
      <c r="W221" s="12"/>
      <c r="X221" s="12"/>
      <c r="Y221" s="12"/>
      <c r="Z221" s="11"/>
      <c r="AA221" s="11"/>
    </row>
    <row r="222" spans="1:27" ht="17.25" customHeight="1" x14ac:dyDescent="0.25">
      <c r="A222" s="10">
        <v>45507</v>
      </c>
      <c r="B222" s="11">
        <v>2558</v>
      </c>
      <c r="C222" s="11" t="s">
        <v>38</v>
      </c>
      <c r="D222" s="11">
        <v>44</v>
      </c>
      <c r="E222" s="12">
        <v>0.21527777777777779</v>
      </c>
      <c r="F222" s="12">
        <v>0.25763888888888886</v>
      </c>
      <c r="G222" s="12">
        <v>0.29166666666666669</v>
      </c>
      <c r="H222" s="12">
        <v>0.33124999999999999</v>
      </c>
      <c r="I222" s="12">
        <f t="shared" si="4"/>
        <v>7.3611111111111127E-2</v>
      </c>
      <c r="J222" s="11" t="s">
        <v>441</v>
      </c>
      <c r="K222" s="11" t="s">
        <v>442</v>
      </c>
      <c r="L222" s="11" t="s">
        <v>443</v>
      </c>
      <c r="M222" s="11"/>
      <c r="N222" s="12"/>
      <c r="O222" s="12"/>
      <c r="P222" s="11"/>
      <c r="Q222" s="11"/>
      <c r="R222" s="12"/>
      <c r="S222" s="12"/>
      <c r="T222" s="12"/>
      <c r="U222" s="12"/>
      <c r="V222" s="12"/>
      <c r="W222" s="12"/>
      <c r="X222" s="12"/>
      <c r="Y222" s="12"/>
      <c r="Z222" s="11"/>
      <c r="AA222" s="11"/>
    </row>
    <row r="223" spans="1:27" s="15" customFormat="1" ht="17.25" customHeight="1" x14ac:dyDescent="0.25">
      <c r="A223" s="18">
        <v>45508</v>
      </c>
      <c r="B223" s="14"/>
      <c r="C223" s="14"/>
      <c r="D223" s="14"/>
      <c r="E223" s="19"/>
      <c r="F223" s="19"/>
      <c r="G223" s="19"/>
      <c r="H223" s="19"/>
      <c r="I223" s="19">
        <f t="shared" si="4"/>
        <v>0</v>
      </c>
      <c r="J223" s="14"/>
      <c r="K223" s="14"/>
      <c r="L223" s="14"/>
      <c r="M223" s="14"/>
      <c r="N223" s="19"/>
      <c r="O223" s="19"/>
      <c r="P223" s="14"/>
      <c r="Q223" s="14"/>
      <c r="R223" s="19"/>
      <c r="S223" s="19"/>
      <c r="T223" s="19"/>
      <c r="U223" s="19"/>
      <c r="V223" s="19"/>
      <c r="W223" s="19"/>
      <c r="X223" s="19"/>
      <c r="Y223" s="19"/>
      <c r="Z223" s="14"/>
      <c r="AA223" s="14"/>
    </row>
    <row r="224" spans="1:27" ht="17.25" customHeight="1" x14ac:dyDescent="0.25">
      <c r="A224" s="10">
        <v>45509</v>
      </c>
      <c r="B224" s="11">
        <v>1560</v>
      </c>
      <c r="C224" s="11" t="s">
        <v>38</v>
      </c>
      <c r="D224" s="11">
        <v>42</v>
      </c>
      <c r="E224" s="12">
        <v>0.21527777777777779</v>
      </c>
      <c r="F224" s="12">
        <v>0.22291666666666668</v>
      </c>
      <c r="G224" s="12">
        <v>0.27777777777777779</v>
      </c>
      <c r="H224" s="12">
        <v>0.33194444444444443</v>
      </c>
      <c r="I224" s="12">
        <f t="shared" si="4"/>
        <v>0.10902777777777775</v>
      </c>
      <c r="J224" s="11" t="s">
        <v>444</v>
      </c>
      <c r="K224" s="11" t="s">
        <v>445</v>
      </c>
      <c r="L224" s="11" t="s">
        <v>446</v>
      </c>
      <c r="M224" s="11"/>
      <c r="N224" s="12"/>
      <c r="O224" s="12"/>
      <c r="P224" s="11"/>
      <c r="Q224" s="11"/>
      <c r="R224" s="12"/>
      <c r="S224" s="12"/>
      <c r="T224" s="12"/>
      <c r="U224" s="12"/>
      <c r="V224" s="12"/>
      <c r="W224" s="12"/>
      <c r="X224" s="12"/>
      <c r="Y224" s="12"/>
      <c r="Z224" s="11"/>
      <c r="AA224" s="11"/>
    </row>
    <row r="225" spans="1:27" ht="17.25" customHeight="1" x14ac:dyDescent="0.25">
      <c r="A225" s="10">
        <v>45510</v>
      </c>
      <c r="B225" s="11">
        <v>1560</v>
      </c>
      <c r="C225" s="11" t="s">
        <v>32</v>
      </c>
      <c r="D225" s="11">
        <v>43</v>
      </c>
      <c r="E225" s="12">
        <v>0.21527777777777779</v>
      </c>
      <c r="F225" s="12">
        <v>0.22222222222222221</v>
      </c>
      <c r="G225" s="12">
        <v>0.27777777777777779</v>
      </c>
      <c r="H225" s="12">
        <v>0.31597222222222221</v>
      </c>
      <c r="I225" s="12">
        <f t="shared" si="4"/>
        <v>9.375E-2</v>
      </c>
      <c r="J225" s="11" t="s">
        <v>447</v>
      </c>
      <c r="K225" s="11" t="s">
        <v>448</v>
      </c>
      <c r="L225" s="11" t="s">
        <v>449</v>
      </c>
      <c r="M225" s="11"/>
      <c r="N225" s="12"/>
      <c r="O225" s="12"/>
      <c r="P225" s="11"/>
      <c r="Q225" s="11"/>
      <c r="R225" s="12"/>
      <c r="S225" s="12"/>
      <c r="T225" s="12"/>
      <c r="U225" s="12"/>
      <c r="V225" s="12"/>
      <c r="W225" s="12"/>
      <c r="X225" s="12"/>
      <c r="Y225" s="12"/>
      <c r="Z225" s="11"/>
      <c r="AA225" s="11"/>
    </row>
    <row r="226" spans="1:27" ht="17.25" customHeight="1" x14ac:dyDescent="0.25">
      <c r="A226" s="10">
        <v>45511</v>
      </c>
      <c r="B226" s="11">
        <v>1560</v>
      </c>
      <c r="C226" s="11" t="s">
        <v>38</v>
      </c>
      <c r="D226" s="11">
        <v>43</v>
      </c>
      <c r="E226" s="12">
        <v>0.21527777777777779</v>
      </c>
      <c r="F226" s="12">
        <v>0.21875</v>
      </c>
      <c r="G226" s="12">
        <v>0.27777777777777779</v>
      </c>
      <c r="H226" s="12">
        <v>0.2902777777777778</v>
      </c>
      <c r="I226" s="12">
        <f t="shared" si="4"/>
        <v>7.1527777777777801E-2</v>
      </c>
      <c r="J226" s="11" t="s">
        <v>316</v>
      </c>
      <c r="K226" s="11" t="s">
        <v>450</v>
      </c>
      <c r="L226" s="11" t="s">
        <v>451</v>
      </c>
      <c r="M226" s="11"/>
      <c r="N226" s="12"/>
      <c r="O226" s="12"/>
      <c r="P226" s="11"/>
      <c r="Q226" s="11"/>
      <c r="R226" s="12"/>
      <c r="S226" s="12"/>
      <c r="T226" s="12"/>
      <c r="U226" s="12"/>
      <c r="V226" s="12"/>
      <c r="W226" s="12"/>
      <c r="X226" s="11"/>
      <c r="Y226" s="12"/>
      <c r="Z226" s="11"/>
      <c r="AA226" s="11"/>
    </row>
    <row r="227" spans="1:27" ht="17.25" customHeight="1" x14ac:dyDescent="0.25">
      <c r="A227" s="10">
        <v>45512</v>
      </c>
      <c r="B227" s="11">
        <v>1560</v>
      </c>
      <c r="C227" s="11" t="s">
        <v>35</v>
      </c>
      <c r="D227" s="11">
        <v>43</v>
      </c>
      <c r="E227" s="12">
        <v>0.21527777777777779</v>
      </c>
      <c r="F227" s="12">
        <v>0.20416666666666666</v>
      </c>
      <c r="G227" s="12">
        <v>0.27777777777777779</v>
      </c>
      <c r="H227" s="12">
        <v>0.26805555555555555</v>
      </c>
      <c r="I227" s="12">
        <f t="shared" si="4"/>
        <v>6.3888888888888884E-2</v>
      </c>
      <c r="J227" s="11" t="s">
        <v>33</v>
      </c>
      <c r="K227" s="11"/>
      <c r="L227" s="11"/>
      <c r="M227" s="11"/>
      <c r="N227" s="12"/>
      <c r="O227" s="12"/>
      <c r="P227" s="11"/>
      <c r="Q227" s="11"/>
      <c r="R227" s="12"/>
      <c r="S227" s="12"/>
      <c r="T227" s="12"/>
      <c r="U227" s="12"/>
      <c r="V227" s="12"/>
      <c r="W227" s="12"/>
      <c r="X227" s="11"/>
      <c r="Y227" s="12"/>
      <c r="Z227" s="11"/>
      <c r="AA227" s="11"/>
    </row>
    <row r="228" spans="1:27" ht="17.25" customHeight="1" x14ac:dyDescent="0.25">
      <c r="A228" s="10">
        <v>45513</v>
      </c>
      <c r="B228" s="11">
        <v>1560</v>
      </c>
      <c r="C228" s="11" t="s">
        <v>38</v>
      </c>
      <c r="D228" s="11">
        <v>43</v>
      </c>
      <c r="E228" s="12">
        <v>0.21527777777777779</v>
      </c>
      <c r="F228" s="12">
        <v>0.2048611111111111</v>
      </c>
      <c r="G228" s="12">
        <v>0.27777777777777779</v>
      </c>
      <c r="H228" s="12">
        <v>0.26597222222222222</v>
      </c>
      <c r="I228" s="12">
        <f t="shared" si="4"/>
        <v>6.1111111111111116E-2</v>
      </c>
      <c r="J228" s="11" t="s">
        <v>33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7.25" customHeight="1" x14ac:dyDescent="0.25">
      <c r="A229" s="10">
        <v>45514</v>
      </c>
      <c r="B229" s="11">
        <v>2558</v>
      </c>
      <c r="C229" s="11" t="s">
        <v>35</v>
      </c>
      <c r="D229" s="11">
        <v>44</v>
      </c>
      <c r="E229" s="12">
        <v>0.21527777777777779</v>
      </c>
      <c r="F229" s="12">
        <v>0.27777777777777779</v>
      </c>
      <c r="G229" s="12">
        <v>0.29166666666666669</v>
      </c>
      <c r="H229" s="12">
        <v>0.33263888888888887</v>
      </c>
      <c r="I229" s="12">
        <f t="shared" si="4"/>
        <v>5.4861111111111083E-2</v>
      </c>
      <c r="J229" s="11" t="s">
        <v>452</v>
      </c>
      <c r="K229" s="11" t="s">
        <v>50</v>
      </c>
      <c r="L229" s="11" t="s">
        <v>308</v>
      </c>
      <c r="M229" s="11"/>
      <c r="N229" s="12"/>
      <c r="O229" s="12"/>
      <c r="P229" s="11"/>
      <c r="Q229" s="11"/>
      <c r="R229" s="12"/>
      <c r="S229" s="12"/>
      <c r="T229" s="12"/>
      <c r="U229" s="12"/>
      <c r="V229" s="12"/>
      <c r="W229" s="12"/>
      <c r="X229" s="11"/>
      <c r="Y229" s="12"/>
      <c r="Z229" s="11"/>
      <c r="AA229" s="11"/>
    </row>
    <row r="230" spans="1:27" s="15" customFormat="1" ht="17.25" customHeight="1" x14ac:dyDescent="0.25">
      <c r="A230" s="18">
        <v>45515</v>
      </c>
      <c r="B230" s="14"/>
      <c r="C230" s="14"/>
      <c r="D230" s="14"/>
      <c r="E230" s="19"/>
      <c r="F230" s="19"/>
      <c r="G230" s="19"/>
      <c r="H230" s="19"/>
      <c r="I230" s="19">
        <f t="shared" si="4"/>
        <v>0</v>
      </c>
      <c r="J230" s="14"/>
      <c r="K230" s="14"/>
      <c r="L230" s="14"/>
      <c r="M230" s="14"/>
      <c r="N230" s="19"/>
      <c r="O230" s="19"/>
      <c r="P230" s="14"/>
      <c r="Q230" s="14"/>
      <c r="R230" s="19"/>
      <c r="S230" s="19"/>
      <c r="T230" s="19"/>
      <c r="U230" s="19"/>
      <c r="V230" s="19"/>
      <c r="W230" s="19"/>
      <c r="X230" s="14"/>
      <c r="Y230" s="19"/>
      <c r="Z230" s="14"/>
      <c r="AA230" s="14"/>
    </row>
    <row r="231" spans="1:27" ht="17.25" customHeight="1" x14ac:dyDescent="0.25">
      <c r="A231" s="10">
        <v>45516</v>
      </c>
      <c r="B231" s="11">
        <v>1560</v>
      </c>
      <c r="C231" s="11" t="s">
        <v>39</v>
      </c>
      <c r="D231" s="11">
        <v>43</v>
      </c>
      <c r="E231" s="12">
        <v>0.21527777777777779</v>
      </c>
      <c r="F231" s="12">
        <v>0.22708333333333333</v>
      </c>
      <c r="G231" s="12">
        <v>0.27777777777777779</v>
      </c>
      <c r="H231" s="12">
        <v>0.29444444444444445</v>
      </c>
      <c r="I231" s="12">
        <f t="shared" si="4"/>
        <v>6.7361111111111122E-2</v>
      </c>
      <c r="J231" s="11" t="s">
        <v>453</v>
      </c>
      <c r="K231" s="11" t="s">
        <v>321</v>
      </c>
      <c r="L231" s="11" t="s">
        <v>454</v>
      </c>
      <c r="M231" s="11"/>
      <c r="N231" s="12"/>
      <c r="O231" s="12"/>
      <c r="P231" s="11"/>
      <c r="Q231" s="11"/>
      <c r="R231" s="12"/>
      <c r="S231" s="12"/>
      <c r="T231" s="12"/>
      <c r="U231" s="12"/>
      <c r="V231" s="12"/>
      <c r="W231" s="12"/>
      <c r="X231" s="11"/>
      <c r="Y231" s="12"/>
      <c r="Z231" s="11"/>
      <c r="AA231" s="11"/>
    </row>
    <row r="232" spans="1:27" ht="17.25" customHeight="1" x14ac:dyDescent="0.25">
      <c r="A232" s="10">
        <v>45517</v>
      </c>
      <c r="B232" s="11">
        <v>1560</v>
      </c>
      <c r="C232" s="11" t="s">
        <v>32</v>
      </c>
      <c r="D232" s="11">
        <v>43</v>
      </c>
      <c r="E232" s="12">
        <v>0.21527777777777779</v>
      </c>
      <c r="F232" s="12">
        <v>0.20277777777777778</v>
      </c>
      <c r="G232" s="12">
        <v>0.27777777777777779</v>
      </c>
      <c r="H232" s="12">
        <v>0.26527777777777778</v>
      </c>
      <c r="I232" s="12">
        <f t="shared" si="4"/>
        <v>6.25E-2</v>
      </c>
      <c r="J232" s="11" t="s">
        <v>33</v>
      </c>
      <c r="K232" s="11"/>
      <c r="L232" s="11"/>
      <c r="M232" s="11"/>
      <c r="N232" s="11"/>
      <c r="O232" s="11"/>
      <c r="P232" s="11"/>
      <c r="Q232" s="11"/>
      <c r="R232" s="12"/>
      <c r="S232" s="12"/>
      <c r="T232" s="12"/>
      <c r="U232" s="12"/>
      <c r="V232" s="12"/>
      <c r="W232" s="12"/>
      <c r="X232" s="11"/>
      <c r="Y232" s="12"/>
      <c r="Z232" s="11"/>
      <c r="AA232" s="11"/>
    </row>
    <row r="233" spans="1:27" ht="17.25" customHeight="1" x14ac:dyDescent="0.25">
      <c r="A233" s="10">
        <v>45518</v>
      </c>
      <c r="B233" s="11">
        <v>1560</v>
      </c>
      <c r="C233" s="11" t="s">
        <v>39</v>
      </c>
      <c r="D233" s="11">
        <v>44</v>
      </c>
      <c r="E233" s="12">
        <v>0.21527777777777779</v>
      </c>
      <c r="F233" s="12">
        <v>0.26874999999999999</v>
      </c>
      <c r="G233" s="12">
        <v>0.27777777777777779</v>
      </c>
      <c r="H233" s="12">
        <v>0.46527777777777779</v>
      </c>
      <c r="I233" s="12">
        <f t="shared" si="4"/>
        <v>0.1965277777777778</v>
      </c>
      <c r="J233" s="11" t="s">
        <v>455</v>
      </c>
      <c r="K233" s="11" t="s">
        <v>392</v>
      </c>
      <c r="L233" s="11" t="s">
        <v>393</v>
      </c>
      <c r="M233" s="11"/>
      <c r="N233" s="11"/>
      <c r="O233" s="11"/>
      <c r="P233" s="11"/>
      <c r="Q233" s="11"/>
      <c r="R233" s="12"/>
      <c r="S233" s="12"/>
      <c r="T233" s="12"/>
      <c r="U233" s="12"/>
      <c r="V233" s="12"/>
      <c r="W233" s="12"/>
      <c r="X233" s="11"/>
      <c r="Y233" s="12"/>
      <c r="Z233" s="11"/>
      <c r="AA233" s="11"/>
    </row>
    <row r="234" spans="1:27" ht="17.25" customHeight="1" x14ac:dyDescent="0.25">
      <c r="A234" s="10">
        <v>45519</v>
      </c>
      <c r="B234" s="11">
        <v>1560</v>
      </c>
      <c r="C234" s="11" t="s">
        <v>32</v>
      </c>
      <c r="D234" s="11">
        <v>44</v>
      </c>
      <c r="E234" s="12">
        <v>0.21527777777777779</v>
      </c>
      <c r="F234" s="12">
        <v>0.36805555555555558</v>
      </c>
      <c r="G234" s="12">
        <v>0.27777777777777779</v>
      </c>
      <c r="H234" s="12">
        <v>0.42291666666666666</v>
      </c>
      <c r="I234" s="12">
        <f t="shared" si="4"/>
        <v>5.4861111111111083E-2</v>
      </c>
      <c r="J234" s="11" t="s">
        <v>456</v>
      </c>
      <c r="K234" s="11" t="s">
        <v>50</v>
      </c>
      <c r="L234" s="11" t="s">
        <v>308</v>
      </c>
      <c r="M234" s="11"/>
      <c r="N234" s="12"/>
      <c r="O234" s="12"/>
      <c r="P234" s="11"/>
      <c r="Q234" s="11"/>
      <c r="R234" s="12"/>
      <c r="S234" s="12"/>
      <c r="T234" s="12"/>
      <c r="U234" s="12"/>
      <c r="V234" s="12"/>
      <c r="W234" s="12"/>
      <c r="X234" s="11"/>
      <c r="Y234" s="12"/>
      <c r="Z234" s="11"/>
      <c r="AA234" s="11"/>
    </row>
    <row r="235" spans="1:27" ht="17.25" customHeight="1" x14ac:dyDescent="0.25">
      <c r="A235" s="10">
        <v>45520</v>
      </c>
      <c r="B235" s="11">
        <v>1560</v>
      </c>
      <c r="C235" s="11" t="s">
        <v>39</v>
      </c>
      <c r="D235" s="11">
        <v>44</v>
      </c>
      <c r="E235" s="12">
        <v>0.21527777777777779</v>
      </c>
      <c r="F235" s="12">
        <v>0.33194444444444443</v>
      </c>
      <c r="G235" s="12">
        <v>0.27777777777777779</v>
      </c>
      <c r="H235" s="12">
        <v>0.39861111111111114</v>
      </c>
      <c r="I235" s="12">
        <f t="shared" si="4"/>
        <v>6.6666666666666707E-2</v>
      </c>
      <c r="J235" s="11" t="s">
        <v>457</v>
      </c>
      <c r="K235" s="11" t="s">
        <v>442</v>
      </c>
      <c r="L235" s="11" t="s">
        <v>458</v>
      </c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7.25" customHeight="1" x14ac:dyDescent="0.25">
      <c r="A236" s="10">
        <v>45521</v>
      </c>
      <c r="B236" s="11">
        <v>2558</v>
      </c>
      <c r="C236" s="11" t="s">
        <v>32</v>
      </c>
      <c r="D236" s="11">
        <v>44</v>
      </c>
      <c r="E236" s="12">
        <v>0.21527777777777779</v>
      </c>
      <c r="F236" s="12">
        <v>0.25763888888888886</v>
      </c>
      <c r="G236" s="12">
        <v>0.29166666666666669</v>
      </c>
      <c r="H236" s="12">
        <v>0.33263888888888887</v>
      </c>
      <c r="I236" s="12">
        <f t="shared" si="4"/>
        <v>7.5000000000000011E-2</v>
      </c>
      <c r="J236" s="10" t="s">
        <v>452</v>
      </c>
      <c r="K236" s="11" t="s">
        <v>50</v>
      </c>
      <c r="L236" s="11" t="s">
        <v>308</v>
      </c>
      <c r="M236" s="11"/>
      <c r="N236" s="12"/>
      <c r="O236" s="12"/>
      <c r="P236" s="11"/>
      <c r="Q236" s="11"/>
      <c r="R236" s="12"/>
      <c r="S236" s="12"/>
      <c r="T236" s="12"/>
      <c r="U236" s="12"/>
      <c r="V236" s="12"/>
      <c r="W236" s="12"/>
      <c r="X236" s="11"/>
      <c r="Y236" s="12"/>
      <c r="Z236" s="11"/>
      <c r="AA236" s="11"/>
    </row>
    <row r="237" spans="1:27" s="15" customFormat="1" ht="17.25" customHeight="1" x14ac:dyDescent="0.25">
      <c r="A237" s="18">
        <v>45522</v>
      </c>
      <c r="B237" s="14"/>
      <c r="C237" s="14"/>
      <c r="D237" s="14"/>
      <c r="E237" s="19"/>
      <c r="F237" s="19"/>
      <c r="G237" s="19"/>
      <c r="H237" s="19"/>
      <c r="I237" s="19">
        <f t="shared" si="4"/>
        <v>0</v>
      </c>
      <c r="J237" s="14"/>
      <c r="K237" s="14"/>
      <c r="L237" s="14"/>
      <c r="M237" s="14"/>
      <c r="N237" s="19"/>
      <c r="O237" s="19"/>
      <c r="P237" s="14"/>
      <c r="Q237" s="14"/>
      <c r="R237" s="19"/>
      <c r="S237" s="19"/>
      <c r="T237" s="19"/>
      <c r="U237" s="19"/>
      <c r="V237" s="19"/>
      <c r="W237" s="19"/>
      <c r="X237" s="14"/>
      <c r="Y237" s="19"/>
      <c r="Z237" s="14"/>
      <c r="AA237" s="14"/>
    </row>
    <row r="238" spans="1:27" ht="17.25" customHeight="1" x14ac:dyDescent="0.25">
      <c r="A238" s="10">
        <v>45523</v>
      </c>
      <c r="B238" s="11">
        <v>1560</v>
      </c>
      <c r="C238" s="11" t="s">
        <v>38</v>
      </c>
      <c r="D238" s="11">
        <v>44</v>
      </c>
      <c r="E238" s="12">
        <v>0.21527777777777779</v>
      </c>
      <c r="F238" s="12">
        <v>0.28055555555555556</v>
      </c>
      <c r="G238" s="12">
        <v>0.27777777777777779</v>
      </c>
      <c r="H238" s="12">
        <v>0.43333333333333335</v>
      </c>
      <c r="I238" s="12">
        <f t="shared" si="4"/>
        <v>0.15277777777777779</v>
      </c>
      <c r="J238" s="17" t="s">
        <v>459</v>
      </c>
      <c r="K238" s="11" t="s">
        <v>460</v>
      </c>
      <c r="L238" s="11" t="s">
        <v>461</v>
      </c>
      <c r="M238" s="11"/>
      <c r="N238" s="12"/>
      <c r="O238" s="12"/>
      <c r="P238" s="11"/>
      <c r="Q238" s="11"/>
      <c r="R238" s="12"/>
      <c r="S238" s="12"/>
      <c r="T238" s="12"/>
      <c r="U238" s="12"/>
      <c r="V238" s="12"/>
      <c r="W238" s="12"/>
      <c r="X238" s="11"/>
      <c r="Y238" s="12"/>
      <c r="Z238" s="11"/>
      <c r="AA238" s="11"/>
    </row>
    <row r="239" spans="1:27" ht="17.25" customHeight="1" x14ac:dyDescent="0.25">
      <c r="A239" s="10">
        <v>45524</v>
      </c>
      <c r="B239" s="11">
        <v>1560</v>
      </c>
      <c r="C239" s="11" t="s">
        <v>39</v>
      </c>
      <c r="D239" s="11">
        <v>44</v>
      </c>
      <c r="E239" s="12">
        <v>0.21527777777777779</v>
      </c>
      <c r="F239" s="12">
        <v>0.22847222222222222</v>
      </c>
      <c r="G239" s="12">
        <v>0.27777777777777779</v>
      </c>
      <c r="H239" s="12">
        <v>0.28680555555555554</v>
      </c>
      <c r="I239" s="12">
        <f t="shared" si="4"/>
        <v>5.833333333333332E-2</v>
      </c>
      <c r="J239" s="11" t="s">
        <v>462</v>
      </c>
      <c r="K239" s="11" t="s">
        <v>82</v>
      </c>
      <c r="L239" s="11" t="s">
        <v>308</v>
      </c>
      <c r="M239" s="11"/>
      <c r="N239" s="11"/>
      <c r="O239" s="11"/>
      <c r="P239" s="11"/>
      <c r="Q239" s="11"/>
      <c r="R239" s="12"/>
      <c r="S239" s="12"/>
      <c r="T239" s="12"/>
      <c r="U239" s="12"/>
      <c r="V239" s="12"/>
      <c r="W239" s="12"/>
      <c r="X239" s="11"/>
      <c r="Y239" s="12"/>
      <c r="Z239" s="11"/>
      <c r="AA239" s="11"/>
    </row>
    <row r="240" spans="1:27" ht="17.25" customHeight="1" x14ac:dyDescent="0.25">
      <c r="A240" s="10">
        <v>45525</v>
      </c>
      <c r="B240" s="11">
        <v>1560</v>
      </c>
      <c r="C240" s="11" t="s">
        <v>32</v>
      </c>
      <c r="D240" s="11">
        <v>44</v>
      </c>
      <c r="E240" s="12">
        <v>0.21527777777777779</v>
      </c>
      <c r="F240" s="12">
        <v>0.22500000000000001</v>
      </c>
      <c r="G240" s="12">
        <v>0.27777777777777779</v>
      </c>
      <c r="H240" s="12">
        <v>0.29722222222222222</v>
      </c>
      <c r="I240" s="12">
        <f t="shared" si="4"/>
        <v>7.2222222222222215E-2</v>
      </c>
      <c r="J240" s="11" t="s">
        <v>463</v>
      </c>
      <c r="K240" s="11" t="s">
        <v>346</v>
      </c>
      <c r="L240" s="11" t="s">
        <v>464</v>
      </c>
      <c r="M240" s="11"/>
      <c r="N240" s="12"/>
      <c r="O240" s="12"/>
      <c r="P240" s="11"/>
      <c r="Q240" s="11"/>
      <c r="R240" s="12"/>
      <c r="S240" s="12"/>
      <c r="T240" s="12"/>
      <c r="U240" s="12"/>
      <c r="V240" s="12"/>
      <c r="W240" s="12"/>
      <c r="X240" s="11"/>
      <c r="Y240" s="12"/>
      <c r="Z240" s="11"/>
      <c r="AA240" s="11"/>
    </row>
    <row r="241" spans="1:27" ht="17.25" customHeight="1" x14ac:dyDescent="0.25">
      <c r="A241" s="10">
        <v>45526</v>
      </c>
      <c r="B241" s="11">
        <v>1560</v>
      </c>
      <c r="C241" s="11" t="s">
        <v>39</v>
      </c>
      <c r="D241" s="11">
        <v>44</v>
      </c>
      <c r="E241" s="12">
        <v>0.21527777777777779</v>
      </c>
      <c r="F241" s="12">
        <v>0.2986111111111111</v>
      </c>
      <c r="G241" s="12">
        <v>0.27777777777777779</v>
      </c>
      <c r="H241" s="12">
        <v>0.37361111111111112</v>
      </c>
      <c r="I241" s="12">
        <f t="shared" si="4"/>
        <v>7.5000000000000011E-2</v>
      </c>
      <c r="J241" s="11" t="s">
        <v>465</v>
      </c>
      <c r="K241" s="11" t="s">
        <v>466</v>
      </c>
      <c r="L241" s="11" t="s">
        <v>467</v>
      </c>
      <c r="M241" s="11"/>
      <c r="N241" s="12"/>
      <c r="O241" s="12"/>
      <c r="P241" s="11"/>
      <c r="Q241" s="11"/>
      <c r="R241" s="12"/>
      <c r="S241" s="12"/>
      <c r="T241" s="12"/>
      <c r="U241" s="12"/>
      <c r="V241" s="12"/>
      <c r="W241" s="12"/>
      <c r="X241" s="11"/>
      <c r="Y241" s="12"/>
      <c r="Z241" s="11"/>
      <c r="AA241" s="11"/>
    </row>
    <row r="242" spans="1:27" ht="17.25" customHeight="1" x14ac:dyDescent="0.25">
      <c r="A242" s="10">
        <v>45527</v>
      </c>
      <c r="B242" s="11">
        <v>1560</v>
      </c>
      <c r="C242" s="11" t="s">
        <v>32</v>
      </c>
      <c r="D242" s="11">
        <v>44</v>
      </c>
      <c r="E242" s="12">
        <v>0.21527777777777779</v>
      </c>
      <c r="F242" s="12">
        <v>0.24722222222222223</v>
      </c>
      <c r="G242" s="12">
        <v>0.27777777777777779</v>
      </c>
      <c r="H242" s="12">
        <v>0.33611111111111114</v>
      </c>
      <c r="I242" s="12">
        <f t="shared" si="4"/>
        <v>8.8888888888888906E-2</v>
      </c>
      <c r="J242" s="11" t="s">
        <v>468</v>
      </c>
      <c r="K242" s="11" t="s">
        <v>321</v>
      </c>
      <c r="L242" s="17" t="s">
        <v>469</v>
      </c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7.25" customHeight="1" x14ac:dyDescent="0.25">
      <c r="A243" s="10">
        <v>45528</v>
      </c>
      <c r="B243" s="11">
        <v>2558</v>
      </c>
      <c r="C243" s="11" t="s">
        <v>48</v>
      </c>
      <c r="D243" s="11">
        <v>43</v>
      </c>
      <c r="E243" s="12">
        <v>0.21527777777777779</v>
      </c>
      <c r="F243" s="12">
        <v>0.22708333333333333</v>
      </c>
      <c r="G243" s="12">
        <v>0.29166666666666669</v>
      </c>
      <c r="H243" s="12">
        <v>0.30486111111111114</v>
      </c>
      <c r="I243" s="12">
        <f t="shared" si="4"/>
        <v>7.7777777777777807E-2</v>
      </c>
      <c r="J243" s="11" t="s">
        <v>470</v>
      </c>
      <c r="K243" s="11" t="s">
        <v>471</v>
      </c>
      <c r="L243" s="11" t="s">
        <v>472</v>
      </c>
      <c r="M243" s="11"/>
      <c r="N243" s="12"/>
      <c r="O243" s="12"/>
      <c r="P243" s="11"/>
      <c r="Q243" s="11"/>
      <c r="R243" s="12"/>
      <c r="S243" s="12"/>
      <c r="T243" s="12"/>
      <c r="U243" s="12"/>
      <c r="V243" s="12"/>
      <c r="W243" s="12"/>
      <c r="X243" s="11"/>
      <c r="Y243" s="12"/>
      <c r="Z243" s="11"/>
      <c r="AA243" s="11"/>
    </row>
    <row r="244" spans="1:27" s="15" customFormat="1" ht="17.25" customHeight="1" x14ac:dyDescent="0.25">
      <c r="A244" s="18">
        <v>45529</v>
      </c>
      <c r="B244" s="14"/>
      <c r="C244" s="14"/>
      <c r="D244" s="14"/>
      <c r="E244" s="19"/>
      <c r="F244" s="19"/>
      <c r="G244" s="19"/>
      <c r="H244" s="19"/>
      <c r="I244" s="19">
        <f t="shared" si="4"/>
        <v>0</v>
      </c>
      <c r="J244" s="14"/>
      <c r="K244" s="14"/>
      <c r="L244" s="14"/>
      <c r="M244" s="14"/>
      <c r="N244" s="19"/>
      <c r="O244" s="19"/>
      <c r="P244" s="14"/>
      <c r="Q244" s="14"/>
      <c r="R244" s="19"/>
      <c r="S244" s="19"/>
      <c r="T244" s="19"/>
      <c r="U244" s="19"/>
      <c r="V244" s="19"/>
      <c r="W244" s="19"/>
      <c r="X244" s="14"/>
      <c r="Y244" s="19"/>
      <c r="Z244" s="14"/>
      <c r="AA244" s="14"/>
    </row>
    <row r="245" spans="1:27" ht="17.25" customHeight="1" x14ac:dyDescent="0.25">
      <c r="A245" s="10">
        <v>45530</v>
      </c>
      <c r="B245" s="11">
        <v>1560</v>
      </c>
      <c r="C245" s="11" t="s">
        <v>38</v>
      </c>
      <c r="D245" s="11">
        <v>44</v>
      </c>
      <c r="E245" s="12">
        <v>0.21527777777777779</v>
      </c>
      <c r="F245" s="12">
        <v>0.21666666666666667</v>
      </c>
      <c r="G245" s="12">
        <v>0.27777777777777779</v>
      </c>
      <c r="H245" s="12">
        <v>0.27500000000000002</v>
      </c>
      <c r="I245" s="12">
        <f t="shared" si="4"/>
        <v>5.8333333333333348E-2</v>
      </c>
      <c r="J245" s="11" t="s">
        <v>33</v>
      </c>
      <c r="K245" s="11"/>
      <c r="L245" s="11"/>
      <c r="M245" s="11"/>
      <c r="N245" s="12"/>
      <c r="O245" s="12"/>
      <c r="P245" s="11"/>
      <c r="Q245" s="11"/>
      <c r="R245" s="12"/>
      <c r="S245" s="12"/>
      <c r="T245" s="12"/>
      <c r="U245" s="12"/>
      <c r="V245" s="12"/>
      <c r="W245" s="12"/>
      <c r="X245" s="11"/>
      <c r="Y245" s="12"/>
      <c r="Z245" s="11"/>
      <c r="AA245" s="11"/>
    </row>
    <row r="246" spans="1:27" ht="17.25" customHeight="1" x14ac:dyDescent="0.25">
      <c r="A246" s="10">
        <v>45531</v>
      </c>
      <c r="B246" s="11">
        <v>1560</v>
      </c>
      <c r="C246" s="11" t="s">
        <v>48</v>
      </c>
      <c r="D246" s="11">
        <v>45</v>
      </c>
      <c r="E246" s="12">
        <v>0.21527777777777779</v>
      </c>
      <c r="F246" s="12">
        <v>0.22361111111111112</v>
      </c>
      <c r="G246" s="12">
        <v>0.27777777777777779</v>
      </c>
      <c r="H246" s="12">
        <v>0.3263888888888889</v>
      </c>
      <c r="I246" s="12">
        <f t="shared" si="4"/>
        <v>0.10277777777777777</v>
      </c>
      <c r="J246" s="11" t="s">
        <v>473</v>
      </c>
      <c r="K246" s="11" t="s">
        <v>474</v>
      </c>
      <c r="L246" s="11" t="s">
        <v>475</v>
      </c>
      <c r="M246" s="11"/>
      <c r="N246" s="12"/>
      <c r="O246" s="12"/>
      <c r="P246" s="11"/>
      <c r="Q246" s="11"/>
      <c r="R246" s="12"/>
      <c r="S246" s="12"/>
      <c r="T246" s="12"/>
      <c r="U246" s="12"/>
      <c r="V246" s="12"/>
      <c r="W246" s="12"/>
      <c r="X246" s="11"/>
      <c r="Y246" s="12"/>
      <c r="Z246" s="11"/>
      <c r="AA246" s="11"/>
    </row>
    <row r="247" spans="1:27" ht="17.25" customHeight="1" x14ac:dyDescent="0.25">
      <c r="A247" s="10">
        <v>45532</v>
      </c>
      <c r="B247" s="11">
        <v>1560</v>
      </c>
      <c r="C247" s="11" t="s">
        <v>48</v>
      </c>
      <c r="D247" s="11">
        <v>44</v>
      </c>
      <c r="E247" s="12">
        <v>0.21527777777777779</v>
      </c>
      <c r="F247" s="12">
        <v>0.21805555555555556</v>
      </c>
      <c r="G247" s="12">
        <v>0.27777777777777779</v>
      </c>
      <c r="H247" s="12">
        <v>0.2722222222222222</v>
      </c>
      <c r="I247" s="12">
        <f t="shared" si="4"/>
        <v>5.4166666666666641E-2</v>
      </c>
      <c r="J247" s="11" t="s">
        <v>33</v>
      </c>
      <c r="K247" s="11"/>
      <c r="L247" s="11"/>
      <c r="M247" s="11"/>
      <c r="N247" s="12"/>
      <c r="O247" s="12"/>
      <c r="P247" s="11"/>
      <c r="Q247" s="11"/>
      <c r="R247" s="12"/>
      <c r="S247" s="12"/>
      <c r="T247" s="12"/>
      <c r="U247" s="12"/>
      <c r="V247" s="12"/>
      <c r="W247" s="12"/>
      <c r="X247" s="12"/>
      <c r="Y247" s="12"/>
      <c r="Z247" s="11"/>
      <c r="AA247" s="11"/>
    </row>
    <row r="248" spans="1:27" ht="17.25" customHeight="1" x14ac:dyDescent="0.25">
      <c r="A248" s="10">
        <v>45533</v>
      </c>
      <c r="B248" s="11">
        <v>1560</v>
      </c>
      <c r="C248" s="11" t="s">
        <v>35</v>
      </c>
      <c r="D248" s="11">
        <v>44</v>
      </c>
      <c r="E248" s="12">
        <v>0.21527777777777779</v>
      </c>
      <c r="F248" s="12">
        <v>0.24236111111111111</v>
      </c>
      <c r="G248" s="12">
        <v>0.27777777777777779</v>
      </c>
      <c r="H248" s="12">
        <v>0.30138888888888887</v>
      </c>
      <c r="I248" s="12">
        <f t="shared" si="4"/>
        <v>5.9027777777777762E-2</v>
      </c>
      <c r="J248" s="11" t="s">
        <v>476</v>
      </c>
      <c r="K248" s="11" t="s">
        <v>334</v>
      </c>
      <c r="L248" s="11" t="s">
        <v>477</v>
      </c>
      <c r="M248" s="11"/>
      <c r="N248" s="12"/>
      <c r="O248" s="12"/>
      <c r="P248" s="11"/>
      <c r="Q248" s="11"/>
      <c r="R248" s="12"/>
      <c r="S248" s="11"/>
      <c r="T248" s="12"/>
      <c r="U248" s="12"/>
      <c r="V248" s="12"/>
      <c r="W248" s="12"/>
      <c r="X248" s="12"/>
      <c r="Y248" s="12"/>
      <c r="Z248" s="11"/>
      <c r="AA248" s="11"/>
    </row>
    <row r="249" spans="1:27" ht="17.25" customHeight="1" x14ac:dyDescent="0.25">
      <c r="A249" s="10">
        <v>45534</v>
      </c>
      <c r="B249" s="11">
        <v>1560</v>
      </c>
      <c r="C249" s="11" t="s">
        <v>32</v>
      </c>
      <c r="D249" s="11">
        <v>44</v>
      </c>
      <c r="E249" s="12">
        <v>0.21527777777777779</v>
      </c>
      <c r="F249" s="12">
        <v>0.24374999999999999</v>
      </c>
      <c r="G249" s="12">
        <v>0.27777777777777779</v>
      </c>
      <c r="H249" s="12">
        <v>0.2986111111111111</v>
      </c>
      <c r="I249" s="12">
        <f t="shared" si="4"/>
        <v>5.486111111111111E-2</v>
      </c>
      <c r="J249" s="11" t="s">
        <v>478</v>
      </c>
      <c r="K249" s="11" t="s">
        <v>50</v>
      </c>
      <c r="L249" s="11" t="s">
        <v>308</v>
      </c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7.25" customHeight="1" x14ac:dyDescent="0.25">
      <c r="A250" s="10">
        <v>45535</v>
      </c>
      <c r="B250" s="11">
        <v>2558</v>
      </c>
      <c r="C250" s="11" t="s">
        <v>48</v>
      </c>
      <c r="D250" s="11">
        <v>44</v>
      </c>
      <c r="E250" s="12">
        <v>0.21527777777777779</v>
      </c>
      <c r="F250" s="12">
        <v>0.25416666666666665</v>
      </c>
      <c r="G250" s="12">
        <v>0.29166666666666669</v>
      </c>
      <c r="H250" s="12">
        <v>0.31180555555555556</v>
      </c>
      <c r="I250" s="12">
        <f t="shared" si="4"/>
        <v>5.7638888888888906E-2</v>
      </c>
      <c r="J250" s="11" t="s">
        <v>479</v>
      </c>
      <c r="K250" s="11" t="s">
        <v>50</v>
      </c>
      <c r="L250" s="11" t="s">
        <v>308</v>
      </c>
      <c r="M250" s="11"/>
      <c r="N250" s="12"/>
      <c r="O250" s="12"/>
      <c r="P250" s="11"/>
      <c r="Q250" s="11"/>
      <c r="R250" s="12"/>
      <c r="S250" s="12"/>
      <c r="T250" s="12"/>
      <c r="U250" s="12"/>
      <c r="V250" s="12"/>
      <c r="W250" s="12"/>
      <c r="X250" s="12"/>
      <c r="Y250" s="12"/>
      <c r="Z250" s="11"/>
      <c r="AA250" s="11"/>
    </row>
    <row r="251" spans="1:27" s="15" customFormat="1" ht="17.25" customHeight="1" x14ac:dyDescent="0.25">
      <c r="A251" s="18">
        <v>45536</v>
      </c>
      <c r="B251" s="14"/>
      <c r="C251" s="14"/>
      <c r="D251" s="14"/>
      <c r="E251" s="19"/>
      <c r="F251" s="19"/>
      <c r="G251" s="19"/>
      <c r="H251" s="19"/>
      <c r="I251" s="19">
        <f t="shared" si="4"/>
        <v>0</v>
      </c>
      <c r="J251" s="14"/>
      <c r="K251" s="14"/>
      <c r="L251" s="14"/>
      <c r="M251" s="14"/>
      <c r="N251" s="19"/>
      <c r="O251" s="19"/>
      <c r="P251" s="14"/>
      <c r="Q251" s="14"/>
      <c r="R251" s="19"/>
      <c r="S251" s="19"/>
      <c r="T251" s="19"/>
      <c r="U251" s="19"/>
      <c r="V251" s="19"/>
      <c r="W251" s="19"/>
      <c r="X251" s="19"/>
      <c r="Y251" s="19"/>
      <c r="Z251" s="14"/>
      <c r="AA251" s="14"/>
    </row>
    <row r="252" spans="1:27" ht="17.25" customHeight="1" x14ac:dyDescent="0.25">
      <c r="A252" s="10">
        <v>45537</v>
      </c>
      <c r="B252" s="11">
        <v>1560</v>
      </c>
      <c r="C252" s="11" t="s">
        <v>38</v>
      </c>
      <c r="D252" s="11">
        <v>44</v>
      </c>
      <c r="E252" s="12">
        <v>0.25694444444444442</v>
      </c>
      <c r="F252" s="12">
        <v>0.26527777777777778</v>
      </c>
      <c r="G252" s="12">
        <v>0.31944444444444442</v>
      </c>
      <c r="H252" s="12">
        <v>0.32361111111111113</v>
      </c>
      <c r="I252" s="12">
        <f t="shared" si="4"/>
        <v>5.8333333333333348E-2</v>
      </c>
      <c r="J252" s="11" t="s">
        <v>33</v>
      </c>
      <c r="K252" s="11"/>
      <c r="L252" s="11"/>
      <c r="M252" s="11"/>
      <c r="N252" s="12"/>
      <c r="O252" s="12"/>
      <c r="P252" s="11"/>
      <c r="Q252" s="11"/>
      <c r="R252" s="12"/>
      <c r="S252" s="12"/>
      <c r="T252" s="12"/>
      <c r="U252" s="12"/>
      <c r="V252" s="12"/>
      <c r="W252" s="12"/>
      <c r="X252" s="12"/>
      <c r="Y252" s="12"/>
      <c r="Z252" s="11"/>
      <c r="AA252" s="11"/>
    </row>
    <row r="253" spans="1:27" ht="17.25" customHeight="1" x14ac:dyDescent="0.25">
      <c r="A253" s="10">
        <v>45538</v>
      </c>
      <c r="B253" s="11">
        <v>1560</v>
      </c>
      <c r="C253" s="11" t="s">
        <v>39</v>
      </c>
      <c r="D253" s="11">
        <v>44</v>
      </c>
      <c r="E253" s="12">
        <v>0.21527777777777779</v>
      </c>
      <c r="F253" s="12">
        <v>0.23125000000000001</v>
      </c>
      <c r="G253" s="12">
        <v>0.27777777777777779</v>
      </c>
      <c r="H253" s="12">
        <v>0.30763888888888891</v>
      </c>
      <c r="I253" s="12">
        <f t="shared" si="4"/>
        <v>7.6388888888888895E-2</v>
      </c>
      <c r="J253" s="11" t="s">
        <v>480</v>
      </c>
      <c r="K253" s="11" t="s">
        <v>481</v>
      </c>
      <c r="L253" s="11" t="s">
        <v>482</v>
      </c>
      <c r="M253" s="11"/>
      <c r="N253" s="12"/>
      <c r="O253" s="12"/>
      <c r="P253" s="11"/>
      <c r="Q253" s="11"/>
      <c r="R253" s="12"/>
      <c r="S253" s="12"/>
      <c r="T253" s="12"/>
      <c r="U253" s="12"/>
      <c r="V253" s="12"/>
      <c r="W253" s="12"/>
      <c r="X253" s="12"/>
      <c r="Y253" s="12"/>
      <c r="Z253" s="11"/>
      <c r="AA253" s="11"/>
    </row>
    <row r="254" spans="1:27" ht="17.25" customHeight="1" x14ac:dyDescent="0.25">
      <c r="A254" s="10">
        <v>45539</v>
      </c>
      <c r="B254" s="11">
        <v>1560</v>
      </c>
      <c r="C254" s="11" t="s">
        <v>35</v>
      </c>
      <c r="D254" s="11">
        <v>44</v>
      </c>
      <c r="E254" s="12">
        <v>0.21527777777777779</v>
      </c>
      <c r="F254" s="12">
        <v>0.23055555555555557</v>
      </c>
      <c r="G254" s="12">
        <v>0.27777777777777779</v>
      </c>
      <c r="H254" s="12">
        <v>0.28749999999999998</v>
      </c>
      <c r="I254" s="12">
        <f t="shared" si="4"/>
        <v>5.6944444444444409E-2</v>
      </c>
      <c r="J254" s="11" t="s">
        <v>483</v>
      </c>
      <c r="K254" s="11" t="s">
        <v>334</v>
      </c>
      <c r="L254" s="11" t="s">
        <v>477</v>
      </c>
      <c r="M254" s="11"/>
      <c r="N254" s="12"/>
      <c r="O254" s="12"/>
      <c r="P254" s="11"/>
      <c r="Q254" s="11"/>
      <c r="R254" s="12"/>
      <c r="S254" s="12"/>
      <c r="T254" s="12"/>
      <c r="U254" s="12"/>
      <c r="V254" s="12"/>
      <c r="W254" s="12"/>
      <c r="X254" s="12"/>
      <c r="Y254" s="12"/>
      <c r="Z254" s="11"/>
      <c r="AA254" s="11"/>
    </row>
    <row r="255" spans="1:27" ht="17.25" customHeight="1" x14ac:dyDescent="0.25">
      <c r="A255" s="10">
        <v>45540</v>
      </c>
      <c r="B255" s="11">
        <v>1560</v>
      </c>
      <c r="C255" s="11" t="s">
        <v>35</v>
      </c>
      <c r="D255" s="11">
        <v>45</v>
      </c>
      <c r="E255" s="12">
        <v>0.21527777777777779</v>
      </c>
      <c r="F255" s="12">
        <v>0.22083333333333333</v>
      </c>
      <c r="G255" s="12">
        <v>0.27777777777777779</v>
      </c>
      <c r="H255" s="12">
        <v>0.27847222222222223</v>
      </c>
      <c r="I255" s="12">
        <f t="shared" si="4"/>
        <v>5.7638888888888906E-2</v>
      </c>
      <c r="J255" s="11" t="s">
        <v>33</v>
      </c>
      <c r="K255" s="11"/>
      <c r="L255" s="11"/>
      <c r="M255" s="11"/>
      <c r="N255" s="12"/>
      <c r="O255" s="12"/>
      <c r="P255" s="11"/>
      <c r="Q255" s="11"/>
      <c r="R255" s="12"/>
      <c r="S255" s="12"/>
      <c r="T255" s="12"/>
      <c r="U255" s="12"/>
      <c r="V255" s="12"/>
      <c r="W255" s="12"/>
      <c r="X255" s="12"/>
      <c r="Y255" s="12"/>
      <c r="Z255" s="11"/>
      <c r="AA255" s="11"/>
    </row>
    <row r="256" spans="1:27" ht="17.25" customHeight="1" x14ac:dyDescent="0.25">
      <c r="A256" s="10">
        <v>45541</v>
      </c>
      <c r="B256" s="11">
        <v>1560</v>
      </c>
      <c r="C256" s="11" t="s">
        <v>48</v>
      </c>
      <c r="D256" s="11">
        <v>44</v>
      </c>
      <c r="E256" s="12">
        <v>0.21527777777777779</v>
      </c>
      <c r="F256" s="12">
        <v>0.2298611111111111</v>
      </c>
      <c r="G256" s="12">
        <v>0.27777777777777779</v>
      </c>
      <c r="H256" s="12">
        <v>0.28541666666666665</v>
      </c>
      <c r="I256" s="12">
        <f t="shared" si="4"/>
        <v>5.5555555555555552E-2</v>
      </c>
      <c r="J256" s="11" t="s">
        <v>484</v>
      </c>
      <c r="K256" s="11" t="s">
        <v>50</v>
      </c>
      <c r="L256" s="11" t="s">
        <v>308</v>
      </c>
      <c r="M256" s="11"/>
      <c r="N256" s="12"/>
      <c r="O256" s="12"/>
      <c r="P256" s="11"/>
      <c r="Q256" s="11"/>
      <c r="R256" s="12"/>
      <c r="S256" s="12"/>
      <c r="T256" s="12"/>
      <c r="U256" s="12"/>
      <c r="V256" s="12"/>
      <c r="W256" s="12"/>
      <c r="X256" s="12"/>
      <c r="Y256" s="12"/>
      <c r="Z256" s="11"/>
      <c r="AA256" s="11"/>
    </row>
    <row r="257" spans="1:27" ht="17.25" customHeight="1" x14ac:dyDescent="0.25">
      <c r="A257" s="10">
        <v>45542</v>
      </c>
      <c r="B257" s="11">
        <v>2558</v>
      </c>
      <c r="C257" s="11" t="s">
        <v>35</v>
      </c>
      <c r="D257" s="11">
        <v>44</v>
      </c>
      <c r="E257" s="12">
        <v>0.21527777777777779</v>
      </c>
      <c r="F257" s="12">
        <v>0.23194444444444445</v>
      </c>
      <c r="G257" s="12">
        <v>0.29166666666666669</v>
      </c>
      <c r="H257" s="12">
        <v>0.31388888888888888</v>
      </c>
      <c r="I257" s="12">
        <f t="shared" si="4"/>
        <v>8.1944444444444431E-2</v>
      </c>
      <c r="J257" s="11" t="s">
        <v>485</v>
      </c>
      <c r="K257" s="11" t="s">
        <v>486</v>
      </c>
      <c r="L257" s="11" t="s">
        <v>487</v>
      </c>
      <c r="M257" s="11"/>
      <c r="N257" s="12"/>
      <c r="O257" s="12"/>
      <c r="P257" s="11"/>
      <c r="Q257" s="11"/>
      <c r="R257" s="12"/>
      <c r="S257" s="12"/>
      <c r="T257" s="12"/>
      <c r="U257" s="12"/>
      <c r="V257" s="12"/>
      <c r="W257" s="12"/>
      <c r="X257" s="11"/>
      <c r="Y257" s="12"/>
      <c r="Z257" s="11"/>
      <c r="AA257" s="11"/>
    </row>
    <row r="258" spans="1:27" s="15" customFormat="1" ht="17.25" customHeight="1" x14ac:dyDescent="0.25">
      <c r="A258" s="18">
        <v>45543</v>
      </c>
      <c r="B258" s="14"/>
      <c r="C258" s="14"/>
      <c r="D258" s="14"/>
      <c r="E258" s="19"/>
      <c r="F258" s="19"/>
      <c r="G258" s="19"/>
      <c r="H258" s="19"/>
      <c r="I258" s="19">
        <f t="shared" si="4"/>
        <v>0</v>
      </c>
      <c r="J258" s="14"/>
      <c r="K258" s="14"/>
      <c r="L258" s="14"/>
      <c r="M258" s="14"/>
      <c r="N258" s="19"/>
      <c r="O258" s="19"/>
      <c r="P258" s="14"/>
      <c r="Q258" s="14"/>
      <c r="R258" s="19"/>
      <c r="S258" s="19"/>
      <c r="T258" s="19"/>
      <c r="U258" s="19"/>
      <c r="V258" s="19"/>
      <c r="W258" s="19"/>
      <c r="X258" s="14"/>
      <c r="Y258" s="19"/>
      <c r="Z258" s="14"/>
      <c r="AA258" s="14"/>
    </row>
    <row r="259" spans="1:27" ht="17.25" customHeight="1" x14ac:dyDescent="0.25">
      <c r="A259" s="10">
        <v>45544</v>
      </c>
      <c r="B259" s="11">
        <v>1560</v>
      </c>
      <c r="C259" s="11" t="s">
        <v>35</v>
      </c>
      <c r="D259" s="11">
        <v>44</v>
      </c>
      <c r="E259" s="12">
        <v>0.25694444444444442</v>
      </c>
      <c r="F259" s="12">
        <v>0.24583333333333332</v>
      </c>
      <c r="G259" s="12">
        <v>0.31944444444444442</v>
      </c>
      <c r="H259" s="12">
        <v>0.3298611111111111</v>
      </c>
      <c r="I259" s="12">
        <f t="shared" si="4"/>
        <v>8.4027777777777785E-2</v>
      </c>
      <c r="J259" s="11" t="s">
        <v>33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7.25" customHeight="1" x14ac:dyDescent="0.25">
      <c r="A260" s="10">
        <v>45545</v>
      </c>
      <c r="B260" s="11">
        <v>1560</v>
      </c>
      <c r="C260" s="11" t="s">
        <v>48</v>
      </c>
      <c r="D260" s="11">
        <v>44</v>
      </c>
      <c r="E260" s="12">
        <v>0.25694444444444442</v>
      </c>
      <c r="F260" s="12">
        <v>0.27986111111111112</v>
      </c>
      <c r="G260" s="12">
        <v>0.31944444444444442</v>
      </c>
      <c r="H260" s="12">
        <v>0.33541666666666664</v>
      </c>
      <c r="I260" s="12">
        <f t="shared" si="4"/>
        <v>5.5555555555555525E-2</v>
      </c>
      <c r="J260" s="11" t="s">
        <v>421</v>
      </c>
      <c r="K260" s="11" t="s">
        <v>50</v>
      </c>
      <c r="L260" s="11" t="s">
        <v>308</v>
      </c>
      <c r="M260" s="11"/>
      <c r="N260" s="12"/>
      <c r="O260" s="12"/>
      <c r="P260" s="11"/>
      <c r="Q260" s="11"/>
      <c r="R260" s="12"/>
      <c r="S260" s="12"/>
      <c r="T260" s="12"/>
      <c r="U260" s="12"/>
      <c r="V260" s="12"/>
      <c r="W260" s="12"/>
      <c r="X260" s="11"/>
      <c r="Y260" s="12"/>
      <c r="Z260" s="11"/>
      <c r="AA260" s="11"/>
    </row>
    <row r="261" spans="1:27" ht="17.25" customHeight="1" x14ac:dyDescent="0.25">
      <c r="A261" s="10">
        <v>45546</v>
      </c>
      <c r="B261" s="11">
        <v>1560</v>
      </c>
      <c r="C261" s="11" t="s">
        <v>38</v>
      </c>
      <c r="D261" s="11">
        <v>45</v>
      </c>
      <c r="E261" s="12">
        <v>0.25694444444444442</v>
      </c>
      <c r="F261" s="12">
        <v>0.26180555555555557</v>
      </c>
      <c r="G261" s="12">
        <v>0.31944444444444442</v>
      </c>
      <c r="H261" s="12">
        <v>0.31666666666666665</v>
      </c>
      <c r="I261" s="12">
        <f t="shared" si="4"/>
        <v>5.4861111111111083E-2</v>
      </c>
      <c r="J261" s="11" t="s">
        <v>33</v>
      </c>
      <c r="K261" s="11"/>
      <c r="L261" s="11"/>
      <c r="M261" s="11"/>
      <c r="N261" s="12"/>
      <c r="O261" s="12"/>
      <c r="P261" s="11"/>
      <c r="Q261" s="11"/>
      <c r="R261" s="12"/>
      <c r="S261" s="12"/>
      <c r="T261" s="12"/>
      <c r="U261" s="12"/>
      <c r="V261" s="12"/>
      <c r="W261" s="12"/>
      <c r="X261" s="11"/>
      <c r="Y261" s="12"/>
      <c r="Z261" s="11"/>
      <c r="AA261" s="11"/>
    </row>
    <row r="262" spans="1:27" ht="17.25" customHeight="1" x14ac:dyDescent="0.25">
      <c r="A262" s="10">
        <v>45547</v>
      </c>
      <c r="B262" s="11">
        <v>1560</v>
      </c>
      <c r="C262" s="11" t="s">
        <v>35</v>
      </c>
      <c r="D262" s="11">
        <v>44</v>
      </c>
      <c r="E262" s="12">
        <v>0.25694444444444442</v>
      </c>
      <c r="F262" s="12">
        <v>0.22291666666666668</v>
      </c>
      <c r="G262" s="12">
        <v>0.31944444444444442</v>
      </c>
      <c r="H262" s="12">
        <v>0.32847222222222222</v>
      </c>
      <c r="I262" s="12">
        <f t="shared" si="4"/>
        <v>0.10555555555555554</v>
      </c>
      <c r="J262" s="11" t="s">
        <v>488</v>
      </c>
      <c r="K262" s="11">
        <v>43</v>
      </c>
      <c r="L262" s="11" t="s">
        <v>489</v>
      </c>
      <c r="M262" s="11"/>
      <c r="N262" s="12"/>
      <c r="O262" s="12"/>
      <c r="P262" s="11"/>
      <c r="Q262" s="11"/>
      <c r="R262" s="12"/>
      <c r="S262" s="12"/>
      <c r="T262" s="12"/>
      <c r="U262" s="12"/>
      <c r="V262" s="12"/>
      <c r="W262" s="12"/>
      <c r="X262" s="11"/>
      <c r="Y262" s="12"/>
      <c r="Z262" s="11"/>
      <c r="AA262" s="11"/>
    </row>
    <row r="263" spans="1:27" ht="17.25" customHeight="1" x14ac:dyDescent="0.25">
      <c r="A263" s="10">
        <v>45548</v>
      </c>
      <c r="B263" s="11">
        <v>2560</v>
      </c>
      <c r="C263" s="11" t="s">
        <v>48</v>
      </c>
      <c r="D263" s="11">
        <v>44</v>
      </c>
      <c r="E263" s="12">
        <v>0.25694444444444442</v>
      </c>
      <c r="F263" s="12">
        <v>0.25</v>
      </c>
      <c r="G263" s="12">
        <v>0.31944444444444442</v>
      </c>
      <c r="H263" s="12">
        <v>0.30208333333333331</v>
      </c>
      <c r="I263" s="12">
        <f t="shared" si="4"/>
        <v>5.2083333333333315E-2</v>
      </c>
      <c r="J263" s="11" t="s">
        <v>33</v>
      </c>
      <c r="K263" s="11"/>
      <c r="L263" s="11"/>
      <c r="M263" s="11"/>
      <c r="N263" s="11"/>
      <c r="O263" s="11"/>
      <c r="P263" s="11"/>
      <c r="Q263" s="11"/>
      <c r="R263" s="12"/>
      <c r="S263" s="12"/>
      <c r="T263" s="12"/>
      <c r="U263" s="12"/>
      <c r="V263" s="12"/>
      <c r="W263" s="12"/>
      <c r="X263" s="11"/>
      <c r="Y263" s="12"/>
      <c r="Z263" s="11"/>
      <c r="AA263" s="11"/>
    </row>
    <row r="264" spans="1:27" ht="17.25" customHeight="1" x14ac:dyDescent="0.25">
      <c r="A264" s="10">
        <v>45549</v>
      </c>
      <c r="B264" s="11">
        <v>2558</v>
      </c>
      <c r="C264" s="11" t="s">
        <v>38</v>
      </c>
      <c r="D264" s="11">
        <v>44</v>
      </c>
      <c r="E264" s="12">
        <v>0.25694444444444442</v>
      </c>
      <c r="F264" s="12">
        <v>0.27986111111111112</v>
      </c>
      <c r="G264" s="12">
        <v>0.33333333333333331</v>
      </c>
      <c r="H264" s="12">
        <v>0.34305555555555556</v>
      </c>
      <c r="I264" s="12">
        <f t="shared" ref="I264:I327" si="5">H264-F264</f>
        <v>6.3194444444444442E-2</v>
      </c>
      <c r="J264" s="11" t="s">
        <v>490</v>
      </c>
      <c r="K264" s="11">
        <v>86</v>
      </c>
      <c r="L264" s="11" t="s">
        <v>491</v>
      </c>
      <c r="M264" s="11"/>
      <c r="N264" s="11"/>
      <c r="O264" s="11"/>
      <c r="P264" s="11"/>
      <c r="Q264" s="11"/>
      <c r="R264" s="12"/>
      <c r="S264" s="12"/>
      <c r="T264" s="12"/>
      <c r="U264" s="12"/>
      <c r="V264" s="12"/>
      <c r="W264" s="12"/>
      <c r="X264" s="11"/>
      <c r="Y264" s="12"/>
      <c r="Z264" s="11"/>
      <c r="AA264" s="11"/>
    </row>
    <row r="265" spans="1:27" s="15" customFormat="1" ht="17.25" customHeight="1" x14ac:dyDescent="0.25">
      <c r="A265" s="18">
        <v>45550</v>
      </c>
      <c r="B265" s="14"/>
      <c r="C265" s="14"/>
      <c r="D265" s="14"/>
      <c r="E265" s="19"/>
      <c r="F265" s="19"/>
      <c r="G265" s="19"/>
      <c r="H265" s="19"/>
      <c r="I265" s="19">
        <f t="shared" si="5"/>
        <v>0</v>
      </c>
      <c r="J265" s="14"/>
      <c r="K265" s="14"/>
      <c r="L265" s="14"/>
      <c r="M265" s="14"/>
      <c r="N265" s="19"/>
      <c r="O265" s="19"/>
      <c r="P265" s="14"/>
      <c r="Q265" s="14"/>
      <c r="R265" s="19"/>
      <c r="S265" s="19"/>
      <c r="T265" s="19"/>
      <c r="U265" s="19"/>
      <c r="V265" s="19"/>
      <c r="W265" s="19"/>
      <c r="X265" s="14"/>
      <c r="Y265" s="19"/>
      <c r="Z265" s="14"/>
      <c r="AA265" s="14"/>
    </row>
    <row r="266" spans="1:27" ht="17.25" customHeight="1" x14ac:dyDescent="0.25">
      <c r="A266" s="10">
        <v>45551</v>
      </c>
      <c r="B266" s="11">
        <v>1560</v>
      </c>
      <c r="C266" s="11" t="s">
        <v>32</v>
      </c>
      <c r="D266" s="11">
        <v>44</v>
      </c>
      <c r="E266" s="12">
        <v>0.25694444444444442</v>
      </c>
      <c r="F266" s="12">
        <v>0.26458333333333334</v>
      </c>
      <c r="G266" s="12">
        <v>0.31944444444444442</v>
      </c>
      <c r="H266" s="12">
        <v>0.31666666666666665</v>
      </c>
      <c r="I266" s="12">
        <f t="shared" si="5"/>
        <v>5.2083333333333315E-2</v>
      </c>
      <c r="J266" s="11" t="s">
        <v>33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7.25" customHeight="1" x14ac:dyDescent="0.25">
      <c r="A267" s="10">
        <v>45552</v>
      </c>
      <c r="B267" s="11">
        <v>1560</v>
      </c>
      <c r="C267" s="11" t="s">
        <v>39</v>
      </c>
      <c r="D267" s="11">
        <v>44</v>
      </c>
      <c r="E267" s="12">
        <v>0.25694444444444442</v>
      </c>
      <c r="F267" s="12">
        <v>0.87222222222222223</v>
      </c>
      <c r="G267" s="12">
        <v>0.31944444444444442</v>
      </c>
      <c r="H267" s="12">
        <v>0.94722222222222219</v>
      </c>
      <c r="I267" s="12">
        <f t="shared" si="5"/>
        <v>7.4999999999999956E-2</v>
      </c>
      <c r="J267" s="14" t="s">
        <v>492</v>
      </c>
      <c r="K267" s="11" t="s">
        <v>82</v>
      </c>
      <c r="L267" s="11" t="s">
        <v>308</v>
      </c>
      <c r="M267" s="11"/>
      <c r="N267" s="12"/>
      <c r="O267" s="12"/>
      <c r="P267" s="11"/>
      <c r="Q267" s="11"/>
      <c r="R267" s="12"/>
      <c r="S267" s="12"/>
      <c r="T267" s="12"/>
      <c r="U267" s="12"/>
      <c r="V267" s="12"/>
      <c r="W267" s="12"/>
      <c r="X267" s="11"/>
      <c r="Y267" s="12"/>
      <c r="Z267" s="11"/>
      <c r="AA267" s="11"/>
    </row>
    <row r="268" spans="1:27" ht="17.25" customHeight="1" x14ac:dyDescent="0.25">
      <c r="A268" s="10">
        <v>45553</v>
      </c>
      <c r="B268" s="11">
        <v>1560</v>
      </c>
      <c r="C268" s="11" t="s">
        <v>48</v>
      </c>
      <c r="D268" s="11">
        <v>44</v>
      </c>
      <c r="E268" s="12">
        <v>0.25694444444444442</v>
      </c>
      <c r="F268" s="12">
        <v>0.34305555555555556</v>
      </c>
      <c r="G268" s="12">
        <v>0.31944444444444442</v>
      </c>
      <c r="H268" s="12">
        <v>0.42152777777777778</v>
      </c>
      <c r="I268" s="12">
        <f t="shared" si="5"/>
        <v>7.8472222222222221E-2</v>
      </c>
      <c r="J268" s="11" t="s">
        <v>493</v>
      </c>
      <c r="K268" s="11" t="s">
        <v>494</v>
      </c>
      <c r="L268" s="11" t="s">
        <v>495</v>
      </c>
      <c r="M268" s="11"/>
      <c r="N268" s="12"/>
      <c r="O268" s="12"/>
      <c r="P268" s="11"/>
      <c r="Q268" s="11"/>
      <c r="R268" s="12"/>
      <c r="S268" s="12"/>
      <c r="T268" s="12"/>
      <c r="U268" s="12"/>
      <c r="V268" s="12"/>
      <c r="W268" s="12"/>
      <c r="X268" s="11"/>
      <c r="Y268" s="12"/>
      <c r="Z268" s="11"/>
      <c r="AA268" s="11"/>
    </row>
    <row r="269" spans="1:27" ht="17.25" customHeight="1" x14ac:dyDescent="0.25">
      <c r="A269" s="10">
        <v>45554</v>
      </c>
      <c r="B269" s="11">
        <v>1560</v>
      </c>
      <c r="C269" s="11" t="s">
        <v>35</v>
      </c>
      <c r="D269" s="11">
        <v>44</v>
      </c>
      <c r="E269" s="12">
        <v>0.25694444444444442</v>
      </c>
      <c r="F269" s="12">
        <v>0.33611111111111114</v>
      </c>
      <c r="G269" s="12">
        <v>0.31944444444444442</v>
      </c>
      <c r="H269" s="12">
        <v>0.38611111111111113</v>
      </c>
      <c r="I269" s="12">
        <f t="shared" si="5"/>
        <v>4.9999999999999989E-2</v>
      </c>
      <c r="J269" s="17" t="s">
        <v>496</v>
      </c>
      <c r="K269" s="11" t="s">
        <v>50</v>
      </c>
      <c r="L269" s="11" t="s">
        <v>308</v>
      </c>
      <c r="M269" s="11"/>
      <c r="N269" s="12"/>
      <c r="O269" s="12"/>
      <c r="P269" s="11"/>
      <c r="Q269" s="11"/>
      <c r="R269" s="12"/>
      <c r="S269" s="12"/>
      <c r="T269" s="12"/>
      <c r="U269" s="12"/>
      <c r="V269" s="12"/>
      <c r="W269" s="12"/>
      <c r="X269" s="11"/>
      <c r="Y269" s="12"/>
      <c r="Z269" s="11"/>
      <c r="AA269" s="11"/>
    </row>
    <row r="270" spans="1:27" ht="17.25" customHeight="1" x14ac:dyDescent="0.25">
      <c r="A270" s="10">
        <v>45555</v>
      </c>
      <c r="B270" s="11">
        <v>1560</v>
      </c>
      <c r="C270" s="11" t="s">
        <v>48</v>
      </c>
      <c r="D270" s="11">
        <v>44</v>
      </c>
      <c r="E270" s="12">
        <v>0.25694444444444442</v>
      </c>
      <c r="F270" s="12">
        <v>0.26180555555555557</v>
      </c>
      <c r="G270" s="12">
        <v>0.31944444444444442</v>
      </c>
      <c r="H270" s="12">
        <v>0.31458333333333333</v>
      </c>
      <c r="I270" s="12">
        <f t="shared" si="5"/>
        <v>5.2777777777777757E-2</v>
      </c>
      <c r="J270" s="11" t="s">
        <v>33</v>
      </c>
      <c r="K270" s="11"/>
      <c r="L270" s="11"/>
      <c r="M270" s="11"/>
      <c r="N270" s="11"/>
      <c r="O270" s="11"/>
      <c r="P270" s="11"/>
      <c r="Q270" s="11"/>
      <c r="R270" s="12"/>
      <c r="S270" s="12"/>
      <c r="T270" s="12"/>
      <c r="U270" s="12"/>
      <c r="V270" s="12"/>
      <c r="W270" s="12"/>
      <c r="X270" s="11"/>
      <c r="Y270" s="12"/>
      <c r="Z270" s="11"/>
      <c r="AA270" s="11"/>
    </row>
    <row r="271" spans="1:27" ht="17.25" customHeight="1" x14ac:dyDescent="0.25">
      <c r="A271" s="10">
        <v>45556</v>
      </c>
      <c r="B271" s="11">
        <v>2558</v>
      </c>
      <c r="C271" s="11" t="s">
        <v>38</v>
      </c>
      <c r="D271" s="11">
        <v>43</v>
      </c>
      <c r="E271" s="12">
        <v>0.25694444444444442</v>
      </c>
      <c r="F271" s="12">
        <v>0.26180555555555557</v>
      </c>
      <c r="G271" s="12">
        <v>0.33333333333333331</v>
      </c>
      <c r="H271" s="12">
        <v>0.3298611111111111</v>
      </c>
      <c r="I271" s="12">
        <f t="shared" si="5"/>
        <v>6.8055555555555536E-2</v>
      </c>
      <c r="J271" s="11" t="s">
        <v>33</v>
      </c>
      <c r="K271" s="11"/>
      <c r="L271" s="11"/>
      <c r="M271" s="11"/>
      <c r="N271" s="12"/>
      <c r="O271" s="12"/>
      <c r="P271" s="11"/>
      <c r="Q271" s="11"/>
      <c r="R271" s="12"/>
      <c r="S271" s="12"/>
      <c r="T271" s="12"/>
      <c r="U271" s="12"/>
      <c r="V271" s="12"/>
      <c r="W271" s="12"/>
      <c r="X271" s="11"/>
      <c r="Y271" s="12"/>
      <c r="Z271" s="11"/>
      <c r="AA271" s="11"/>
    </row>
    <row r="272" spans="1:27" s="15" customFormat="1" ht="17.25" customHeight="1" x14ac:dyDescent="0.25">
      <c r="A272" s="18">
        <v>45557</v>
      </c>
      <c r="B272" s="14"/>
      <c r="C272" s="14"/>
      <c r="D272" s="14"/>
      <c r="E272" s="19"/>
      <c r="F272" s="19"/>
      <c r="G272" s="19"/>
      <c r="H272" s="19"/>
      <c r="I272" s="12"/>
      <c r="J272" s="14"/>
      <c r="K272" s="14"/>
      <c r="L272" s="14"/>
      <c r="M272" s="14"/>
      <c r="N272" s="19"/>
      <c r="O272" s="19"/>
      <c r="P272" s="14"/>
      <c r="Q272" s="14"/>
      <c r="R272" s="19"/>
      <c r="S272" s="19"/>
      <c r="T272" s="19"/>
      <c r="U272" s="19"/>
      <c r="V272" s="19"/>
      <c r="W272" s="19"/>
      <c r="X272" s="14"/>
      <c r="Y272" s="19"/>
      <c r="Z272" s="14"/>
      <c r="AA272" s="14"/>
    </row>
    <row r="273" spans="1:27" s="54" customFormat="1" ht="17.25" customHeight="1" x14ac:dyDescent="0.25">
      <c r="A273" s="51">
        <v>45558</v>
      </c>
      <c r="B273" s="52">
        <v>1560</v>
      </c>
      <c r="C273" s="52" t="s">
        <v>35</v>
      </c>
      <c r="D273" s="52">
        <v>44</v>
      </c>
      <c r="E273" s="53">
        <v>0.25694444444444442</v>
      </c>
      <c r="F273" s="53">
        <v>0.26111111111111113</v>
      </c>
      <c r="G273" s="53">
        <v>0.31944444444444442</v>
      </c>
      <c r="H273" s="53">
        <v>1.2069444444444444</v>
      </c>
      <c r="I273" s="53">
        <f t="shared" ref="I273" si="6">H273-F273</f>
        <v>0.9458333333333333</v>
      </c>
      <c r="J273" s="52" t="s">
        <v>497</v>
      </c>
      <c r="K273" s="52" t="s">
        <v>474</v>
      </c>
      <c r="L273" s="64" t="s">
        <v>498</v>
      </c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</row>
    <row r="274" spans="1:27" ht="17.25" customHeight="1" x14ac:dyDescent="0.25">
      <c r="A274" s="10">
        <v>45559</v>
      </c>
      <c r="B274" s="11">
        <v>2560</v>
      </c>
      <c r="C274" s="11" t="s">
        <v>48</v>
      </c>
      <c r="D274" s="11">
        <v>44</v>
      </c>
      <c r="E274" s="12">
        <v>0.25694444444444442</v>
      </c>
      <c r="F274" s="12">
        <v>0.26597222222222222</v>
      </c>
      <c r="G274" s="12">
        <v>0.31944444444444442</v>
      </c>
      <c r="H274" s="12">
        <v>0.31944444444444442</v>
      </c>
      <c r="I274" s="12">
        <f t="shared" si="5"/>
        <v>5.3472222222222199E-2</v>
      </c>
      <c r="J274" s="11" t="s">
        <v>33</v>
      </c>
      <c r="K274" s="11"/>
      <c r="L274" s="11"/>
      <c r="M274" s="11"/>
      <c r="N274" s="12"/>
      <c r="O274" s="12"/>
      <c r="P274" s="11"/>
      <c r="Q274" s="11"/>
      <c r="R274" s="12"/>
      <c r="S274" s="12"/>
      <c r="T274" s="12"/>
      <c r="U274" s="12"/>
      <c r="V274" s="12"/>
      <c r="W274" s="12"/>
      <c r="X274" s="11"/>
      <c r="Y274" s="12"/>
      <c r="Z274" s="11"/>
      <c r="AA274" s="11"/>
    </row>
    <row r="275" spans="1:27" ht="17.25" customHeight="1" x14ac:dyDescent="0.25">
      <c r="A275" s="10">
        <v>45560</v>
      </c>
      <c r="B275" s="11">
        <v>1560</v>
      </c>
      <c r="C275" s="11" t="s">
        <v>38</v>
      </c>
      <c r="D275" s="11">
        <v>44</v>
      </c>
      <c r="E275" s="12">
        <v>0.25694444444444442</v>
      </c>
      <c r="F275" s="12">
        <v>0.27777777777777779</v>
      </c>
      <c r="G275" s="12">
        <v>0.31944444444444442</v>
      </c>
      <c r="H275" s="12">
        <v>0.34236111111111112</v>
      </c>
      <c r="I275" s="12">
        <f t="shared" si="5"/>
        <v>6.4583333333333326E-2</v>
      </c>
      <c r="J275" s="11" t="s">
        <v>499</v>
      </c>
      <c r="K275" s="11" t="s">
        <v>428</v>
      </c>
      <c r="L275" s="11" t="s">
        <v>500</v>
      </c>
      <c r="M275" s="11"/>
      <c r="N275" s="12"/>
      <c r="O275" s="12"/>
      <c r="P275" s="11"/>
      <c r="Q275" s="11"/>
      <c r="R275" s="12"/>
      <c r="S275" s="12"/>
      <c r="T275" s="12"/>
      <c r="U275" s="12"/>
      <c r="V275" s="12"/>
      <c r="W275" s="12"/>
      <c r="X275" s="11"/>
      <c r="Y275" s="12"/>
      <c r="Z275" s="11"/>
      <c r="AA275" s="11"/>
    </row>
    <row r="276" spans="1:27" ht="17.25" customHeight="1" x14ac:dyDescent="0.25">
      <c r="A276" s="10">
        <v>45561</v>
      </c>
      <c r="B276" s="11">
        <v>1560</v>
      </c>
      <c r="C276" s="11" t="s">
        <v>48</v>
      </c>
      <c r="D276" s="11">
        <v>45</v>
      </c>
      <c r="E276" s="12">
        <v>0.25694444444444442</v>
      </c>
      <c r="F276" s="12">
        <v>0.25277777777777777</v>
      </c>
      <c r="G276" s="12">
        <v>0.31944444444444442</v>
      </c>
      <c r="H276" s="12">
        <v>0.31527777777777777</v>
      </c>
      <c r="I276" s="12">
        <f t="shared" si="5"/>
        <v>6.25E-2</v>
      </c>
      <c r="J276" s="11" t="s">
        <v>33</v>
      </c>
      <c r="K276" s="11"/>
      <c r="L276" s="11"/>
      <c r="M276" s="11"/>
      <c r="N276" s="12"/>
      <c r="O276" s="12"/>
      <c r="P276" s="11"/>
      <c r="Q276" s="11"/>
      <c r="R276" s="12"/>
      <c r="S276" s="12"/>
      <c r="T276" s="12"/>
      <c r="U276" s="12"/>
      <c r="V276" s="12"/>
      <c r="W276" s="12"/>
      <c r="X276" s="11"/>
      <c r="Y276" s="12"/>
      <c r="Z276" s="11"/>
      <c r="AA276" s="11"/>
    </row>
    <row r="277" spans="1:27" ht="17.25" customHeight="1" x14ac:dyDescent="0.25">
      <c r="A277" s="10">
        <v>45562</v>
      </c>
      <c r="B277" s="11">
        <v>1560</v>
      </c>
      <c r="C277" s="11" t="s">
        <v>39</v>
      </c>
      <c r="D277" s="11">
        <v>44</v>
      </c>
      <c r="E277" s="12">
        <v>3.125E-2</v>
      </c>
      <c r="F277" s="12">
        <v>1.8749999999999999E-2</v>
      </c>
      <c r="G277" s="12">
        <v>0.21875</v>
      </c>
      <c r="H277" s="12">
        <v>0.2076388888888889</v>
      </c>
      <c r="I277" s="12">
        <f t="shared" si="5"/>
        <v>0.18888888888888891</v>
      </c>
      <c r="J277" s="11" t="s">
        <v>33</v>
      </c>
      <c r="K277" s="11"/>
      <c r="L277" s="11" t="s">
        <v>501</v>
      </c>
      <c r="M277" s="11"/>
      <c r="N277" s="12"/>
      <c r="O277" s="12"/>
      <c r="P277" s="11"/>
      <c r="Q277" s="11"/>
      <c r="R277" s="12"/>
      <c r="S277" s="12"/>
      <c r="T277" s="12"/>
      <c r="U277" s="12"/>
      <c r="V277" s="12"/>
      <c r="W277" s="12"/>
      <c r="X277" s="11"/>
      <c r="Y277" s="12"/>
      <c r="Z277" s="11"/>
      <c r="AA277" s="11"/>
    </row>
    <row r="278" spans="1:27" ht="17.25" customHeight="1" x14ac:dyDescent="0.25">
      <c r="A278" s="10">
        <v>45563</v>
      </c>
      <c r="B278" s="11">
        <v>2558</v>
      </c>
      <c r="C278" s="11" t="s">
        <v>38</v>
      </c>
      <c r="D278" s="11">
        <v>44</v>
      </c>
      <c r="E278" s="12">
        <v>0.25694444444444442</v>
      </c>
      <c r="F278" s="12">
        <v>0.26944444444444443</v>
      </c>
      <c r="G278" s="12">
        <v>0.33333333333333331</v>
      </c>
      <c r="H278" s="12">
        <v>0.34930555555555554</v>
      </c>
      <c r="I278" s="12">
        <f t="shared" si="5"/>
        <v>7.9861111111111105E-2</v>
      </c>
      <c r="J278" s="11" t="s">
        <v>421</v>
      </c>
      <c r="K278" s="11" t="s">
        <v>502</v>
      </c>
      <c r="L278" s="11" t="s">
        <v>503</v>
      </c>
      <c r="M278" s="11"/>
      <c r="N278" s="12"/>
      <c r="O278" s="12"/>
      <c r="P278" s="11"/>
      <c r="Q278" s="11"/>
      <c r="R278" s="12"/>
      <c r="S278" s="12"/>
      <c r="T278" s="12"/>
      <c r="U278" s="12"/>
      <c r="V278" s="12"/>
      <c r="W278" s="12"/>
      <c r="X278" s="12"/>
      <c r="Y278" s="12"/>
      <c r="Z278" s="11"/>
      <c r="AA278" s="11"/>
    </row>
    <row r="279" spans="1:27" s="15" customFormat="1" ht="17.25" customHeight="1" x14ac:dyDescent="0.25">
      <c r="A279" s="18">
        <v>45564</v>
      </c>
      <c r="B279" s="14"/>
      <c r="C279" s="14"/>
      <c r="D279" s="14"/>
      <c r="E279" s="19"/>
      <c r="F279" s="19"/>
      <c r="G279" s="19"/>
      <c r="H279" s="19"/>
      <c r="I279" s="19">
        <f t="shared" si="5"/>
        <v>0</v>
      </c>
      <c r="J279" s="14"/>
      <c r="K279" s="14"/>
      <c r="L279" s="14"/>
      <c r="M279" s="14"/>
      <c r="N279" s="19"/>
      <c r="O279" s="19"/>
      <c r="P279" s="14"/>
      <c r="Q279" s="14"/>
      <c r="R279" s="19"/>
      <c r="S279" s="14"/>
      <c r="T279" s="19"/>
      <c r="U279" s="19"/>
      <c r="V279" s="19"/>
      <c r="W279" s="19"/>
      <c r="X279" s="19"/>
      <c r="Y279" s="19"/>
      <c r="Z279" s="14"/>
      <c r="AA279" s="14"/>
    </row>
    <row r="280" spans="1:27" ht="17.25" customHeight="1" x14ac:dyDescent="0.25">
      <c r="A280" s="10">
        <v>45565</v>
      </c>
      <c r="B280" s="11">
        <v>1560</v>
      </c>
      <c r="C280" s="11" t="s">
        <v>38</v>
      </c>
      <c r="D280" s="11">
        <v>44</v>
      </c>
      <c r="E280" s="12">
        <v>0.25694444444444442</v>
      </c>
      <c r="F280" s="12">
        <v>0.28958333333333336</v>
      </c>
      <c r="G280" s="12">
        <v>0.31944444444444442</v>
      </c>
      <c r="H280" s="12">
        <v>0.39513888888888887</v>
      </c>
      <c r="I280" s="12">
        <f t="shared" si="5"/>
        <v>0.10555555555555551</v>
      </c>
      <c r="J280" s="11" t="s">
        <v>504</v>
      </c>
      <c r="K280" s="11" t="s">
        <v>321</v>
      </c>
      <c r="L280" s="11" t="s">
        <v>505</v>
      </c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7.25" customHeight="1" x14ac:dyDescent="0.25">
      <c r="A281" s="10">
        <v>45566</v>
      </c>
      <c r="B281" s="11">
        <v>1560</v>
      </c>
      <c r="C281" s="11" t="s">
        <v>39</v>
      </c>
      <c r="D281" s="11">
        <v>44</v>
      </c>
      <c r="E281" s="12">
        <v>0.25694444444444442</v>
      </c>
      <c r="F281" s="12">
        <v>0.2722222222222222</v>
      </c>
      <c r="G281" s="12">
        <v>0.31944444444444442</v>
      </c>
      <c r="H281" s="12">
        <v>0.33888888888888891</v>
      </c>
      <c r="I281" s="12">
        <f t="shared" si="5"/>
        <v>6.6666666666666707E-2</v>
      </c>
      <c r="J281" s="11" t="s">
        <v>506</v>
      </c>
      <c r="K281" s="11" t="s">
        <v>507</v>
      </c>
      <c r="L281" s="11" t="s">
        <v>508</v>
      </c>
      <c r="M281" s="11"/>
      <c r="N281" s="12"/>
      <c r="O281" s="12"/>
      <c r="P281" s="11"/>
      <c r="Q281" s="11"/>
      <c r="R281" s="12"/>
      <c r="S281" s="12"/>
      <c r="T281" s="12"/>
      <c r="U281" s="12"/>
      <c r="V281" s="12"/>
      <c r="W281" s="12"/>
      <c r="X281" s="12"/>
      <c r="Y281" s="12"/>
      <c r="Z281" s="11"/>
      <c r="AA281" s="11"/>
    </row>
    <row r="282" spans="1:27" ht="17.25" customHeight="1" x14ac:dyDescent="0.25">
      <c r="A282" s="10">
        <v>45567</v>
      </c>
      <c r="B282" s="11">
        <v>1560</v>
      </c>
      <c r="C282" s="11" t="s">
        <v>48</v>
      </c>
      <c r="D282" s="11">
        <v>44</v>
      </c>
      <c r="E282" s="12">
        <v>0.25694444444444442</v>
      </c>
      <c r="F282" s="12">
        <v>0.2673611111111111</v>
      </c>
      <c r="G282" s="12">
        <v>0.31944444444444442</v>
      </c>
      <c r="H282" s="12">
        <v>0.36805555555555558</v>
      </c>
      <c r="I282" s="12">
        <f t="shared" si="5"/>
        <v>0.10069444444444448</v>
      </c>
      <c r="J282" s="11" t="s">
        <v>509</v>
      </c>
      <c r="K282" s="11" t="s">
        <v>510</v>
      </c>
      <c r="L282" s="11" t="s">
        <v>511</v>
      </c>
      <c r="M282" s="11"/>
      <c r="N282" s="12"/>
      <c r="O282" s="12"/>
      <c r="P282" s="11"/>
      <c r="Q282" s="11"/>
      <c r="R282" s="12"/>
      <c r="S282" s="12"/>
      <c r="T282" s="12"/>
      <c r="U282" s="12"/>
      <c r="V282" s="12"/>
      <c r="W282" s="12"/>
      <c r="X282" s="12"/>
      <c r="Y282" s="12"/>
      <c r="Z282" s="11"/>
      <c r="AA282" s="11"/>
    </row>
    <row r="283" spans="1:27" ht="17.25" customHeight="1" x14ac:dyDescent="0.25">
      <c r="A283" s="10">
        <v>45568</v>
      </c>
      <c r="B283" s="11">
        <v>1560</v>
      </c>
      <c r="C283" s="11" t="s">
        <v>35</v>
      </c>
      <c r="D283" s="11">
        <v>41</v>
      </c>
      <c r="E283" s="12">
        <v>0.25694444444444442</v>
      </c>
      <c r="F283" s="12">
        <v>0.2986111111111111</v>
      </c>
      <c r="G283" s="12">
        <v>0.31944444444444442</v>
      </c>
      <c r="H283" s="12">
        <v>0.34930555555555554</v>
      </c>
      <c r="I283" s="12">
        <f t="shared" si="5"/>
        <v>5.0694444444444431E-2</v>
      </c>
      <c r="J283" s="11" t="s">
        <v>480</v>
      </c>
      <c r="K283" s="11" t="s">
        <v>50</v>
      </c>
      <c r="L283" s="11" t="s">
        <v>308</v>
      </c>
      <c r="M283" s="11"/>
      <c r="N283" s="12"/>
      <c r="O283" s="12"/>
      <c r="P283" s="11"/>
      <c r="Q283" s="11"/>
      <c r="R283" s="12"/>
      <c r="S283" s="12"/>
      <c r="T283" s="12"/>
      <c r="U283" s="12"/>
      <c r="V283" s="12"/>
      <c r="W283" s="12"/>
      <c r="X283" s="12"/>
      <c r="Y283" s="12"/>
      <c r="Z283" s="11"/>
      <c r="AA283" s="11"/>
    </row>
    <row r="284" spans="1:27" ht="17.25" customHeight="1" x14ac:dyDescent="0.25">
      <c r="A284" s="10">
        <v>45569</v>
      </c>
      <c r="B284" s="11">
        <v>1560</v>
      </c>
      <c r="C284" s="11" t="s">
        <v>38</v>
      </c>
      <c r="D284" s="11">
        <v>44</v>
      </c>
      <c r="E284" s="12">
        <v>0.25694444444444442</v>
      </c>
      <c r="F284" s="12">
        <v>0.28055555555555556</v>
      </c>
      <c r="G284" s="12">
        <v>0.31944444444444442</v>
      </c>
      <c r="H284" s="12">
        <v>0.32916666666666666</v>
      </c>
      <c r="I284" s="12">
        <f t="shared" si="5"/>
        <v>4.8611111111111105E-2</v>
      </c>
      <c r="J284" s="11" t="s">
        <v>490</v>
      </c>
      <c r="K284" s="11" t="s">
        <v>50</v>
      </c>
      <c r="L284" s="11" t="s">
        <v>308</v>
      </c>
      <c r="M284" s="11"/>
      <c r="N284" s="12"/>
      <c r="O284" s="12"/>
      <c r="P284" s="11"/>
      <c r="Q284" s="11"/>
      <c r="R284" s="12"/>
      <c r="S284" s="12"/>
      <c r="T284" s="12"/>
      <c r="U284" s="12"/>
      <c r="V284" s="12"/>
      <c r="W284" s="12"/>
      <c r="X284" s="12"/>
      <c r="Y284" s="12"/>
      <c r="Z284" s="11"/>
      <c r="AA284" s="11"/>
    </row>
    <row r="285" spans="1:27" ht="17.25" customHeight="1" x14ac:dyDescent="0.25">
      <c r="A285" s="10">
        <v>45570</v>
      </c>
      <c r="B285" s="11">
        <v>2558</v>
      </c>
      <c r="C285" s="11" t="s">
        <v>39</v>
      </c>
      <c r="D285" s="11">
        <v>44</v>
      </c>
      <c r="E285" s="12">
        <v>0.25694444444444442</v>
      </c>
      <c r="F285" s="12">
        <v>0.27916666666666667</v>
      </c>
      <c r="G285" s="12">
        <v>0.33333333333333331</v>
      </c>
      <c r="H285" s="12">
        <v>0.3263888888888889</v>
      </c>
      <c r="I285" s="12">
        <f t="shared" si="5"/>
        <v>4.7222222222222221E-2</v>
      </c>
      <c r="J285" s="11" t="s">
        <v>33</v>
      </c>
      <c r="K285" s="11"/>
      <c r="L285" s="11"/>
      <c r="M285" s="11"/>
      <c r="N285" s="12"/>
      <c r="O285" s="12"/>
      <c r="P285" s="11"/>
      <c r="Q285" s="11"/>
      <c r="R285" s="12"/>
      <c r="S285" s="12"/>
      <c r="T285" s="12"/>
      <c r="U285" s="12"/>
      <c r="V285" s="12"/>
      <c r="W285" s="12"/>
      <c r="X285" s="12"/>
      <c r="Y285" s="12"/>
      <c r="Z285" s="11"/>
      <c r="AA285" s="11"/>
    </row>
    <row r="286" spans="1:27" s="15" customFormat="1" ht="17.25" customHeight="1" x14ac:dyDescent="0.25">
      <c r="A286" s="18">
        <v>45571</v>
      </c>
      <c r="B286" s="14"/>
      <c r="C286" s="14"/>
      <c r="D286" s="14"/>
      <c r="E286" s="19"/>
      <c r="F286" s="19"/>
      <c r="G286" s="19"/>
      <c r="H286" s="19"/>
      <c r="I286" s="19">
        <f t="shared" si="5"/>
        <v>0</v>
      </c>
      <c r="J286" s="14"/>
      <c r="K286" s="14"/>
      <c r="L286" s="14"/>
      <c r="M286" s="14"/>
      <c r="N286" s="19"/>
      <c r="O286" s="19"/>
      <c r="P286" s="14"/>
      <c r="Q286" s="14"/>
      <c r="R286" s="19"/>
      <c r="S286" s="19"/>
      <c r="T286" s="19"/>
      <c r="U286" s="19"/>
      <c r="V286" s="19"/>
      <c r="W286" s="19"/>
      <c r="X286" s="19"/>
      <c r="Y286" s="19"/>
      <c r="Z286" s="14"/>
      <c r="AA286" s="14"/>
    </row>
    <row r="287" spans="1:27" ht="17.25" customHeight="1" x14ac:dyDescent="0.25">
      <c r="A287" s="10">
        <v>45572</v>
      </c>
      <c r="B287" s="11">
        <v>1560</v>
      </c>
      <c r="C287" s="11" t="s">
        <v>38</v>
      </c>
      <c r="D287" s="11">
        <v>44</v>
      </c>
      <c r="E287" s="12">
        <v>0.25694444444444442</v>
      </c>
      <c r="F287" s="12">
        <v>0.24374999999999999</v>
      </c>
      <c r="G287" s="12">
        <v>0.31944444444444442</v>
      </c>
      <c r="H287" s="12">
        <v>0.31736111111111109</v>
      </c>
      <c r="I287" s="12">
        <f t="shared" si="5"/>
        <v>7.3611111111111099E-2</v>
      </c>
      <c r="J287" s="11" t="s">
        <v>33</v>
      </c>
      <c r="K287" s="11"/>
      <c r="L287" s="11"/>
      <c r="M287" s="11"/>
      <c r="N287" s="12"/>
      <c r="O287" s="12"/>
      <c r="P287" s="11"/>
      <c r="Q287" s="11"/>
      <c r="R287" s="12"/>
      <c r="S287" s="12"/>
      <c r="T287" s="12"/>
      <c r="U287" s="12"/>
      <c r="V287" s="12"/>
      <c r="W287" s="12"/>
      <c r="X287" s="12"/>
      <c r="Y287" s="12"/>
      <c r="Z287" s="11"/>
      <c r="AA287" s="11"/>
    </row>
    <row r="288" spans="1:27" ht="17.25" customHeight="1" x14ac:dyDescent="0.25">
      <c r="A288" s="10">
        <v>45573</v>
      </c>
      <c r="B288" s="11">
        <v>1560</v>
      </c>
      <c r="C288" s="11" t="s">
        <v>39</v>
      </c>
      <c r="D288" s="11">
        <v>44</v>
      </c>
      <c r="E288" s="12">
        <v>0.25694444444444442</v>
      </c>
      <c r="F288" s="12">
        <v>0.29722222222222222</v>
      </c>
      <c r="G288" s="12">
        <v>0.31944444444444442</v>
      </c>
      <c r="H288" s="12">
        <v>0.35138888888888886</v>
      </c>
      <c r="I288" s="12">
        <f t="shared" si="5"/>
        <v>5.4166666666666641E-2</v>
      </c>
      <c r="J288" s="11" t="s">
        <v>512</v>
      </c>
      <c r="K288" s="11" t="s">
        <v>50</v>
      </c>
      <c r="L288" s="11" t="s">
        <v>308</v>
      </c>
      <c r="M288" s="11"/>
      <c r="N288" s="12"/>
      <c r="O288" s="12"/>
      <c r="P288" s="11"/>
      <c r="Q288" s="11"/>
      <c r="R288" s="12"/>
      <c r="S288" s="12"/>
      <c r="T288" s="12"/>
      <c r="U288" s="12"/>
      <c r="V288" s="12"/>
      <c r="W288" s="12"/>
      <c r="X288" s="11"/>
      <c r="Y288" s="12"/>
      <c r="Z288" s="11"/>
      <c r="AA288" s="11"/>
    </row>
    <row r="289" spans="1:27" ht="17.25" customHeight="1" x14ac:dyDescent="0.25">
      <c r="A289" s="10">
        <v>45574</v>
      </c>
      <c r="B289" s="11">
        <v>1560</v>
      </c>
      <c r="C289" s="11" t="s">
        <v>38</v>
      </c>
      <c r="D289" s="11">
        <v>44</v>
      </c>
      <c r="E289" s="12">
        <v>0.25694444444444442</v>
      </c>
      <c r="F289" s="12">
        <v>0.25763888888888886</v>
      </c>
      <c r="G289" s="12">
        <v>0.31944444444444442</v>
      </c>
      <c r="H289" s="12">
        <v>0.39444444444444443</v>
      </c>
      <c r="I289" s="12">
        <f t="shared" si="5"/>
        <v>0.13680555555555557</v>
      </c>
      <c r="J289" s="11" t="s">
        <v>513</v>
      </c>
      <c r="K289" s="11" t="s">
        <v>514</v>
      </c>
      <c r="L289" s="11" t="s">
        <v>515</v>
      </c>
      <c r="M289" s="11"/>
      <c r="N289" s="12"/>
      <c r="O289" s="12"/>
      <c r="P289" s="11"/>
      <c r="Q289" s="11"/>
      <c r="R289" s="12"/>
      <c r="S289" s="12"/>
      <c r="T289" s="12"/>
      <c r="U289" s="12"/>
      <c r="V289" s="12"/>
      <c r="W289" s="12"/>
      <c r="X289" s="11"/>
      <c r="Y289" s="12"/>
      <c r="Z289" s="11"/>
      <c r="AA289" s="11"/>
    </row>
    <row r="290" spans="1:27" ht="17.25" customHeight="1" x14ac:dyDescent="0.25">
      <c r="A290" s="10">
        <v>45575</v>
      </c>
      <c r="B290" s="11">
        <v>1560</v>
      </c>
      <c r="C290" s="11" t="s">
        <v>35</v>
      </c>
      <c r="D290" s="11">
        <v>44</v>
      </c>
      <c r="E290" s="12">
        <v>0.25694444444444442</v>
      </c>
      <c r="F290" s="12">
        <v>0.3840277777777778</v>
      </c>
      <c r="G290" s="12">
        <v>0.31944444444444442</v>
      </c>
      <c r="H290" s="12">
        <v>0.46736111111111112</v>
      </c>
      <c r="I290" s="12">
        <f t="shared" si="5"/>
        <v>8.3333333333333315E-2</v>
      </c>
      <c r="J290" s="11" t="s">
        <v>516</v>
      </c>
      <c r="K290" s="11" t="s">
        <v>517</v>
      </c>
      <c r="L290" s="11" t="s">
        <v>518</v>
      </c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7.25" customHeight="1" x14ac:dyDescent="0.25">
      <c r="A291" s="10">
        <v>45576</v>
      </c>
      <c r="B291">
        <v>1560</v>
      </c>
      <c r="C291" s="11" t="s">
        <v>38</v>
      </c>
      <c r="D291" s="11">
        <v>44</v>
      </c>
      <c r="E291" s="12">
        <v>0.25694444444444442</v>
      </c>
      <c r="F291" s="12">
        <v>0.24722222222222223</v>
      </c>
      <c r="G291" s="12">
        <v>0.31944444444444442</v>
      </c>
      <c r="H291" s="12">
        <v>0.31874999999999998</v>
      </c>
      <c r="I291" s="12">
        <f t="shared" si="5"/>
        <v>7.1527777777777746E-2</v>
      </c>
      <c r="J291" s="11" t="s">
        <v>33</v>
      </c>
      <c r="K291" s="11"/>
      <c r="L291" s="11"/>
      <c r="M291" s="11"/>
      <c r="N291" s="12"/>
      <c r="O291" s="12"/>
      <c r="P291" s="11"/>
      <c r="Q291" s="11"/>
      <c r="R291" s="12"/>
      <c r="S291" s="12"/>
      <c r="T291" s="12"/>
      <c r="U291" s="12"/>
      <c r="V291" s="12"/>
      <c r="W291" s="12"/>
      <c r="X291" s="11"/>
      <c r="Y291" s="12"/>
      <c r="Z291" s="11"/>
      <c r="AA291" s="11"/>
    </row>
    <row r="292" spans="1:27" ht="17.25" customHeight="1" x14ac:dyDescent="0.25">
      <c r="A292" s="10">
        <v>45577</v>
      </c>
      <c r="B292" s="11">
        <v>2558</v>
      </c>
      <c r="C292" s="11" t="s">
        <v>38</v>
      </c>
      <c r="D292" s="11">
        <v>44</v>
      </c>
      <c r="E292" s="12">
        <v>0.25694444444444442</v>
      </c>
      <c r="F292" s="12">
        <v>0.34513888888888888</v>
      </c>
      <c r="G292" s="12">
        <v>0.33333333333333331</v>
      </c>
      <c r="H292" s="12">
        <v>0.40138888888888891</v>
      </c>
      <c r="I292" s="12">
        <f t="shared" si="5"/>
        <v>5.6250000000000022E-2</v>
      </c>
      <c r="J292" s="11" t="s">
        <v>519</v>
      </c>
      <c r="K292" s="11" t="s">
        <v>520</v>
      </c>
      <c r="L292" s="11" t="s">
        <v>383</v>
      </c>
      <c r="M292" s="11"/>
      <c r="N292" s="12"/>
      <c r="O292" s="12"/>
      <c r="P292" s="11"/>
      <c r="Q292" s="11"/>
      <c r="R292" s="12"/>
      <c r="S292" s="12"/>
      <c r="T292" s="12"/>
      <c r="U292" s="12"/>
      <c r="V292" s="12"/>
      <c r="W292" s="12"/>
      <c r="X292" s="11"/>
      <c r="Y292" s="12"/>
      <c r="Z292" s="11"/>
      <c r="AA292" s="11"/>
    </row>
    <row r="293" spans="1:27" s="15" customFormat="1" ht="17.25" customHeight="1" x14ac:dyDescent="0.25">
      <c r="A293" s="18">
        <v>45578</v>
      </c>
      <c r="B293" s="14"/>
      <c r="C293" s="14"/>
      <c r="D293" s="14"/>
      <c r="E293" s="19"/>
      <c r="F293" s="19"/>
      <c r="G293" s="19"/>
      <c r="H293" s="19"/>
      <c r="I293" s="19">
        <f t="shared" si="5"/>
        <v>0</v>
      </c>
      <c r="J293" s="14"/>
      <c r="K293" s="14"/>
      <c r="L293" s="14"/>
      <c r="M293" s="14"/>
      <c r="N293" s="19"/>
      <c r="O293" s="19"/>
      <c r="P293" s="14"/>
      <c r="Q293" s="14"/>
      <c r="R293" s="19"/>
      <c r="S293" s="19"/>
      <c r="T293" s="19"/>
      <c r="U293" s="19"/>
      <c r="V293" s="19"/>
      <c r="W293" s="19"/>
      <c r="X293" s="14"/>
      <c r="Y293" s="19"/>
      <c r="Z293" s="14"/>
      <c r="AA293" s="14"/>
    </row>
    <row r="294" spans="1:27" ht="17.25" customHeight="1" x14ac:dyDescent="0.25">
      <c r="A294" s="10">
        <v>45579</v>
      </c>
      <c r="B294" s="11">
        <v>1560</v>
      </c>
      <c r="C294" s="11" t="s">
        <v>35</v>
      </c>
      <c r="D294" s="11">
        <v>44</v>
      </c>
      <c r="E294" s="12">
        <v>0.25694444444444442</v>
      </c>
      <c r="F294" s="12">
        <v>0.79374999999999996</v>
      </c>
      <c r="G294" s="12">
        <v>0.31944444444444442</v>
      </c>
      <c r="H294" s="12">
        <v>0.8569444444444444</v>
      </c>
      <c r="I294" s="12">
        <f t="shared" si="5"/>
        <v>6.3194444444444442E-2</v>
      </c>
      <c r="J294" s="11" t="s">
        <v>521</v>
      </c>
      <c r="K294" s="11" t="s">
        <v>522</v>
      </c>
      <c r="L294" s="11" t="s">
        <v>523</v>
      </c>
      <c r="M294" s="11"/>
      <c r="N294" s="11"/>
      <c r="O294" s="11"/>
      <c r="P294" s="11"/>
      <c r="Q294" s="11"/>
      <c r="R294" s="12"/>
      <c r="S294" s="12"/>
      <c r="T294" s="12"/>
      <c r="U294" s="12"/>
      <c r="V294" s="12"/>
      <c r="W294" s="12"/>
      <c r="X294" s="11"/>
      <c r="Y294" s="12"/>
      <c r="Z294" s="11"/>
      <c r="AA294" s="11"/>
    </row>
    <row r="295" spans="1:27" ht="17.25" customHeight="1" x14ac:dyDescent="0.25">
      <c r="A295" s="10">
        <v>45580</v>
      </c>
      <c r="B295" s="11">
        <v>2560</v>
      </c>
      <c r="C295" s="11" t="s">
        <v>48</v>
      </c>
      <c r="D295" s="11">
        <v>44</v>
      </c>
      <c r="E295" s="12">
        <v>0.25694444444444442</v>
      </c>
      <c r="F295" s="12">
        <v>0.30972222222222223</v>
      </c>
      <c r="G295" s="12">
        <v>0.31944444444444442</v>
      </c>
      <c r="H295" s="12">
        <v>0.37222222222222223</v>
      </c>
      <c r="I295" s="12">
        <f t="shared" si="5"/>
        <v>6.25E-2</v>
      </c>
      <c r="J295" s="11" t="s">
        <v>524</v>
      </c>
      <c r="K295" s="11" t="s">
        <v>525</v>
      </c>
      <c r="L295" s="11" t="s">
        <v>308</v>
      </c>
      <c r="M295" s="11"/>
      <c r="N295" s="11"/>
      <c r="O295" s="11"/>
      <c r="P295" s="11"/>
      <c r="Q295" s="11"/>
      <c r="R295" s="12"/>
      <c r="S295" s="12"/>
      <c r="T295" s="12"/>
      <c r="U295" s="12"/>
      <c r="V295" s="12"/>
      <c r="W295" s="12"/>
      <c r="X295" s="11"/>
      <c r="Y295" s="12"/>
      <c r="Z295" s="11"/>
      <c r="AA295" s="11"/>
    </row>
    <row r="296" spans="1:27" ht="17.25" customHeight="1" x14ac:dyDescent="0.25">
      <c r="A296" s="10">
        <v>45581</v>
      </c>
      <c r="B296" s="11">
        <v>1560</v>
      </c>
      <c r="C296" s="11" t="s">
        <v>38</v>
      </c>
      <c r="D296" s="11">
        <v>44</v>
      </c>
      <c r="E296" s="12">
        <v>0.25694444444444442</v>
      </c>
      <c r="F296" s="12">
        <v>0.39444444444444443</v>
      </c>
      <c r="G296" s="12">
        <v>0.31944444444444442</v>
      </c>
      <c r="H296" s="12">
        <v>0.44513888888888886</v>
      </c>
      <c r="I296" s="12">
        <f t="shared" si="5"/>
        <v>5.0694444444444431E-2</v>
      </c>
      <c r="J296" s="11" t="s">
        <v>526</v>
      </c>
      <c r="K296" s="11" t="s">
        <v>494</v>
      </c>
      <c r="L296" s="11" t="s">
        <v>527</v>
      </c>
      <c r="M296" s="11"/>
      <c r="N296" s="12"/>
      <c r="O296" s="12"/>
      <c r="P296" s="11"/>
      <c r="Q296" s="11"/>
      <c r="R296" s="12"/>
      <c r="S296" s="12"/>
      <c r="T296" s="12"/>
      <c r="U296" s="12"/>
      <c r="V296" s="12"/>
      <c r="W296" s="12"/>
      <c r="X296" s="11"/>
      <c r="Y296" s="12"/>
      <c r="Z296" s="11"/>
      <c r="AA296" s="11"/>
    </row>
    <row r="297" spans="1:27" ht="17.25" customHeight="1" x14ac:dyDescent="0.25">
      <c r="A297" s="10">
        <v>45582</v>
      </c>
      <c r="B297" s="11">
        <v>1560</v>
      </c>
      <c r="C297" t="s">
        <v>48</v>
      </c>
      <c r="D297" s="11">
        <v>44</v>
      </c>
      <c r="E297" s="12">
        <v>0.25694444444444442</v>
      </c>
      <c r="F297" s="12">
        <v>0.25972222222222224</v>
      </c>
      <c r="G297" s="12">
        <v>0.31944444444444442</v>
      </c>
      <c r="H297" s="12">
        <v>0.32847222222222222</v>
      </c>
      <c r="I297" s="12">
        <f t="shared" si="5"/>
        <v>6.8749999999999978E-2</v>
      </c>
      <c r="J297" s="11" t="s">
        <v>462</v>
      </c>
      <c r="K297" s="11">
        <v>41</v>
      </c>
      <c r="L297" s="11" t="s">
        <v>528</v>
      </c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7.25" customHeight="1" x14ac:dyDescent="0.25">
      <c r="A298" s="10">
        <v>45583</v>
      </c>
      <c r="B298" s="11">
        <v>1560</v>
      </c>
      <c r="C298" s="11" t="s">
        <v>38</v>
      </c>
      <c r="D298" s="11">
        <v>44</v>
      </c>
      <c r="E298" s="12">
        <v>0.25694444444444442</v>
      </c>
      <c r="F298" s="12">
        <v>0.2388888888888889</v>
      </c>
      <c r="G298" s="12">
        <v>0.31944444444444442</v>
      </c>
      <c r="H298" s="12">
        <v>0.31874999999999998</v>
      </c>
      <c r="I298" s="12">
        <f t="shared" si="5"/>
        <v>7.9861111111111077E-2</v>
      </c>
      <c r="J298" s="10" t="s">
        <v>33</v>
      </c>
      <c r="K298" s="11"/>
      <c r="L298" s="11"/>
      <c r="M298" s="11"/>
      <c r="N298" s="12"/>
      <c r="O298" s="12"/>
      <c r="P298" s="11"/>
      <c r="Q298" s="11"/>
      <c r="R298" s="12"/>
      <c r="S298" s="12"/>
      <c r="T298" s="12"/>
      <c r="U298" s="12"/>
      <c r="V298" s="12"/>
      <c r="W298" s="12"/>
      <c r="X298" s="11"/>
      <c r="Y298" s="12"/>
      <c r="Z298" s="11"/>
      <c r="AA298" s="11"/>
    </row>
    <row r="299" spans="1:27" ht="17.25" customHeight="1" x14ac:dyDescent="0.25">
      <c r="A299" s="10">
        <v>45584</v>
      </c>
      <c r="B299" s="11">
        <v>2558</v>
      </c>
      <c r="C299" s="11" t="s">
        <v>48</v>
      </c>
      <c r="D299" s="11">
        <v>44</v>
      </c>
      <c r="E299" s="12">
        <v>0.25694444444444442</v>
      </c>
      <c r="F299" s="12">
        <v>0.28680555555555554</v>
      </c>
      <c r="G299" s="12">
        <v>0.33333333333333331</v>
      </c>
      <c r="H299" s="12">
        <v>0.34027777777777779</v>
      </c>
      <c r="I299" s="12">
        <f t="shared" si="5"/>
        <v>5.3472222222222254E-2</v>
      </c>
      <c r="J299" s="11" t="s">
        <v>529</v>
      </c>
      <c r="K299" s="11" t="s">
        <v>50</v>
      </c>
      <c r="L299" s="11" t="s">
        <v>308</v>
      </c>
      <c r="M299" s="11"/>
      <c r="N299" s="12"/>
      <c r="O299" s="12"/>
      <c r="P299" s="11"/>
      <c r="Q299" s="11"/>
      <c r="R299" s="12"/>
      <c r="S299" s="12"/>
      <c r="T299" s="12"/>
      <c r="U299" s="12"/>
      <c r="V299" s="12"/>
      <c r="W299" s="12"/>
      <c r="X299" s="11"/>
      <c r="Y299" s="12"/>
      <c r="Z299" s="11"/>
      <c r="AA299" s="11"/>
    </row>
    <row r="300" spans="1:27" s="15" customFormat="1" ht="17.25" customHeight="1" x14ac:dyDescent="0.25">
      <c r="A300" s="18">
        <v>45585</v>
      </c>
      <c r="B300" s="14"/>
      <c r="C300" s="14"/>
      <c r="D300" s="14"/>
      <c r="E300" s="19"/>
      <c r="F300" s="19"/>
      <c r="G300" s="19"/>
      <c r="H300" s="19"/>
      <c r="I300" s="19">
        <f t="shared" si="5"/>
        <v>0</v>
      </c>
      <c r="J300" s="16"/>
      <c r="K300" s="14"/>
      <c r="L300" s="14"/>
      <c r="M300" s="14"/>
      <c r="N300" s="19"/>
      <c r="O300" s="19"/>
      <c r="P300" s="14"/>
      <c r="Q300" s="14"/>
      <c r="R300" s="19"/>
      <c r="S300" s="19"/>
      <c r="T300" s="19"/>
      <c r="U300" s="19"/>
      <c r="V300" s="19"/>
      <c r="W300" s="19"/>
      <c r="X300" s="14"/>
      <c r="Y300" s="19"/>
      <c r="Z300" s="14"/>
      <c r="AA300" s="14"/>
    </row>
    <row r="301" spans="1:27" ht="17.25" customHeight="1" x14ac:dyDescent="0.25">
      <c r="A301" s="10">
        <v>45586</v>
      </c>
      <c r="B301" s="11">
        <v>1560</v>
      </c>
      <c r="C301" s="11" t="s">
        <v>35</v>
      </c>
      <c r="D301" s="11">
        <v>44</v>
      </c>
      <c r="E301" s="12">
        <v>0.25694444444444442</v>
      </c>
      <c r="F301" s="12">
        <v>0.27152777777777776</v>
      </c>
      <c r="G301" s="12">
        <v>0.31944444444444442</v>
      </c>
      <c r="H301" s="12">
        <v>0.3298611111111111</v>
      </c>
      <c r="I301" s="12">
        <f t="shared" si="5"/>
        <v>5.8333333333333348E-2</v>
      </c>
      <c r="J301" s="11" t="s">
        <v>509</v>
      </c>
      <c r="K301" s="11" t="s">
        <v>50</v>
      </c>
      <c r="L301" s="11" t="s">
        <v>308</v>
      </c>
      <c r="M301" s="11"/>
      <c r="N301" s="11"/>
      <c r="O301" s="11"/>
      <c r="P301" s="11"/>
      <c r="Q301" s="11"/>
      <c r="R301" s="12"/>
      <c r="S301" s="12"/>
      <c r="T301" s="12"/>
      <c r="U301" s="12"/>
      <c r="V301" s="12"/>
      <c r="W301" s="12"/>
      <c r="X301" s="11"/>
      <c r="Y301" s="12"/>
      <c r="Z301" s="11"/>
      <c r="AA301" s="11"/>
    </row>
    <row r="302" spans="1:27" ht="17.25" customHeight="1" x14ac:dyDescent="0.25">
      <c r="A302" s="10">
        <v>45587</v>
      </c>
      <c r="B302" s="11">
        <v>1560</v>
      </c>
      <c r="C302" s="11" t="s">
        <v>39</v>
      </c>
      <c r="D302" s="11">
        <v>44</v>
      </c>
      <c r="E302" s="12">
        <v>0.25694444444444442</v>
      </c>
      <c r="F302" s="12">
        <v>0.26805555555555555</v>
      </c>
      <c r="G302" s="12">
        <v>0.31944444444444442</v>
      </c>
      <c r="H302" s="12">
        <v>0.34027777777777779</v>
      </c>
      <c r="I302" s="12">
        <f t="shared" si="5"/>
        <v>7.2222222222222243E-2</v>
      </c>
      <c r="J302" s="11" t="s">
        <v>530</v>
      </c>
      <c r="K302" s="11" t="s">
        <v>531</v>
      </c>
      <c r="L302" s="11" t="s">
        <v>532</v>
      </c>
      <c r="M302" s="11"/>
      <c r="N302" s="12"/>
      <c r="O302" s="12"/>
      <c r="P302" s="11"/>
      <c r="Q302" s="11"/>
      <c r="R302" s="12"/>
      <c r="S302" s="12"/>
      <c r="T302" s="12"/>
      <c r="U302" s="12"/>
      <c r="V302" s="12"/>
      <c r="W302" s="12"/>
      <c r="X302" s="11"/>
      <c r="Y302" s="12"/>
      <c r="Z302" s="11"/>
      <c r="AA302" s="11"/>
    </row>
    <row r="303" spans="1:27" ht="17.25" customHeight="1" x14ac:dyDescent="0.25">
      <c r="A303" s="10">
        <v>45588</v>
      </c>
      <c r="B303" s="11">
        <v>1560</v>
      </c>
      <c r="C303" s="11" t="s">
        <v>35</v>
      </c>
      <c r="D303" s="11">
        <v>44</v>
      </c>
      <c r="E303" s="12">
        <v>0.25694444444444442</v>
      </c>
      <c r="F303" s="12">
        <v>0.28333333333333333</v>
      </c>
      <c r="G303" s="12">
        <v>0.31944444444444442</v>
      </c>
      <c r="H303" s="12">
        <v>0.33541666666666664</v>
      </c>
      <c r="I303" s="12">
        <f t="shared" si="5"/>
        <v>5.2083333333333315E-2</v>
      </c>
      <c r="J303" s="11" t="s">
        <v>421</v>
      </c>
      <c r="K303" s="11" t="s">
        <v>50</v>
      </c>
      <c r="L303" s="11" t="s">
        <v>308</v>
      </c>
      <c r="M303" s="11"/>
      <c r="N303" s="12"/>
      <c r="O303" s="12"/>
      <c r="P303" s="11"/>
      <c r="Q303" s="11"/>
      <c r="R303" s="12"/>
      <c r="S303" s="12"/>
      <c r="T303" s="12"/>
      <c r="U303" s="12"/>
      <c r="V303" s="12"/>
      <c r="W303" s="12"/>
      <c r="X303" s="11"/>
      <c r="Y303" s="12"/>
      <c r="Z303" s="11"/>
      <c r="AA303" s="11"/>
    </row>
    <row r="304" spans="1:27" ht="17.25" customHeight="1" x14ac:dyDescent="0.25">
      <c r="A304" s="10">
        <v>45589</v>
      </c>
      <c r="B304" s="11">
        <v>1560</v>
      </c>
      <c r="C304" s="11" t="s">
        <v>39</v>
      </c>
      <c r="D304" s="11">
        <v>44</v>
      </c>
      <c r="E304" s="12">
        <v>0.25694444444444442</v>
      </c>
      <c r="F304" s="12">
        <v>0.33055555555555555</v>
      </c>
      <c r="G304" s="12">
        <v>0.31944444444444442</v>
      </c>
      <c r="H304" s="12">
        <v>0.41111111111111109</v>
      </c>
      <c r="I304" s="12">
        <f t="shared" si="5"/>
        <v>8.0555555555555547E-2</v>
      </c>
      <c r="J304" s="11" t="s">
        <v>533</v>
      </c>
      <c r="K304" s="11" t="s">
        <v>50</v>
      </c>
      <c r="L304" s="17" t="s">
        <v>308</v>
      </c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7.25" customHeight="1" x14ac:dyDescent="0.25">
      <c r="A305" s="10">
        <v>45590</v>
      </c>
      <c r="B305" s="11">
        <v>1560</v>
      </c>
      <c r="C305" s="11" t="s">
        <v>35</v>
      </c>
      <c r="D305" s="11">
        <v>44</v>
      </c>
      <c r="E305" s="12">
        <v>0.25694444444444442</v>
      </c>
      <c r="F305" s="12">
        <v>0.27569444444444446</v>
      </c>
      <c r="G305" s="12">
        <v>0.31944444444444442</v>
      </c>
      <c r="H305" s="12">
        <v>0.35416666666666669</v>
      </c>
      <c r="I305" s="12">
        <f t="shared" si="5"/>
        <v>7.8472222222222221E-2</v>
      </c>
      <c r="J305" s="11" t="s">
        <v>534</v>
      </c>
      <c r="K305" s="11" t="s">
        <v>535</v>
      </c>
      <c r="L305" s="11" t="s">
        <v>536</v>
      </c>
      <c r="M305" s="11"/>
      <c r="N305" s="12"/>
      <c r="O305" s="12"/>
      <c r="P305" s="11"/>
      <c r="Q305" s="11"/>
      <c r="R305" s="12"/>
      <c r="S305" s="12"/>
      <c r="T305" s="12"/>
      <c r="U305" s="12"/>
      <c r="V305" s="12"/>
      <c r="W305" s="12"/>
      <c r="X305" s="11"/>
      <c r="Y305" s="12"/>
      <c r="Z305" s="11"/>
      <c r="AA305" s="11"/>
    </row>
    <row r="306" spans="1:27" ht="17.25" customHeight="1" x14ac:dyDescent="0.25">
      <c r="A306" s="10">
        <v>45591</v>
      </c>
      <c r="B306" s="11">
        <v>2558</v>
      </c>
      <c r="C306" s="11" t="s">
        <v>39</v>
      </c>
      <c r="D306" s="11">
        <v>43</v>
      </c>
      <c r="E306" s="12">
        <v>0.25694444444444442</v>
      </c>
      <c r="F306" s="12">
        <v>0.32777777777777778</v>
      </c>
      <c r="G306" s="12">
        <v>0.33333333333333331</v>
      </c>
      <c r="H306" s="12">
        <v>0.39166666666666666</v>
      </c>
      <c r="I306" s="12">
        <f t="shared" si="5"/>
        <v>6.3888888888888884E-2</v>
      </c>
      <c r="J306" s="11" t="s">
        <v>537</v>
      </c>
      <c r="K306" s="11" t="s">
        <v>520</v>
      </c>
      <c r="L306" s="11" t="s">
        <v>383</v>
      </c>
      <c r="M306" s="11"/>
      <c r="N306" s="12"/>
      <c r="O306" s="12"/>
      <c r="P306" s="11"/>
      <c r="Q306" s="11"/>
      <c r="R306" s="12"/>
      <c r="S306" s="12"/>
      <c r="T306" s="12"/>
      <c r="U306" s="12"/>
      <c r="V306" s="12"/>
      <c r="W306" s="12"/>
      <c r="X306" s="11"/>
      <c r="Y306" s="12"/>
      <c r="Z306" s="11"/>
      <c r="AA306" s="11"/>
    </row>
    <row r="307" spans="1:27" s="15" customFormat="1" ht="17.25" customHeight="1" x14ac:dyDescent="0.25">
      <c r="A307" s="18">
        <v>45592</v>
      </c>
      <c r="B307" s="14"/>
      <c r="C307" s="14"/>
      <c r="D307" s="14"/>
      <c r="E307" s="19"/>
      <c r="F307" s="19"/>
      <c r="G307" s="19"/>
      <c r="H307" s="19"/>
      <c r="I307" s="19">
        <f t="shared" si="5"/>
        <v>0</v>
      </c>
      <c r="J307" s="14"/>
      <c r="K307" s="14"/>
      <c r="L307" s="14"/>
      <c r="M307" s="14"/>
      <c r="N307" s="19"/>
      <c r="O307" s="19"/>
      <c r="P307" s="14"/>
      <c r="Q307" s="14"/>
      <c r="R307" s="19"/>
      <c r="S307" s="19"/>
      <c r="T307" s="19"/>
      <c r="U307" s="19"/>
      <c r="V307" s="19"/>
      <c r="W307" s="19"/>
      <c r="X307" s="14"/>
      <c r="Y307" s="19"/>
      <c r="Z307" s="14"/>
      <c r="AA307" s="14"/>
    </row>
    <row r="308" spans="1:27" ht="17.25" customHeight="1" x14ac:dyDescent="0.25">
      <c r="A308" s="10">
        <v>45593</v>
      </c>
      <c r="B308" s="11">
        <v>1560</v>
      </c>
      <c r="C308" s="11" t="s">
        <v>32</v>
      </c>
      <c r="D308" s="11">
        <v>44</v>
      </c>
      <c r="E308" s="12">
        <v>0.25694444444444442</v>
      </c>
      <c r="F308" s="12">
        <v>0.25416666666666665</v>
      </c>
      <c r="G308" s="12">
        <v>0.31944444444444442</v>
      </c>
      <c r="H308" s="12">
        <v>0.31527777777777777</v>
      </c>
      <c r="I308" s="12">
        <f t="shared" si="5"/>
        <v>6.1111111111111116E-2</v>
      </c>
      <c r="J308" s="11" t="s">
        <v>33</v>
      </c>
      <c r="K308" s="11"/>
      <c r="L308" s="11"/>
      <c r="M308" s="11"/>
      <c r="N308" s="12"/>
      <c r="O308" s="12"/>
      <c r="P308" s="11"/>
      <c r="Q308" s="11"/>
      <c r="R308" s="12"/>
      <c r="S308" s="12"/>
      <c r="T308" s="12"/>
      <c r="U308" s="12"/>
      <c r="V308" s="12"/>
      <c r="W308" s="12"/>
      <c r="X308" s="11"/>
      <c r="Y308" s="12"/>
      <c r="Z308" s="11"/>
      <c r="AA308" s="11"/>
    </row>
    <row r="309" spans="1:27" ht="17.25" customHeight="1" x14ac:dyDescent="0.25">
      <c r="A309" s="10">
        <v>45594</v>
      </c>
      <c r="B309" s="11">
        <v>1560</v>
      </c>
      <c r="C309" s="11" t="s">
        <v>48</v>
      </c>
      <c r="D309" s="11">
        <v>44</v>
      </c>
      <c r="E309" s="12">
        <v>0.25694444444444442</v>
      </c>
      <c r="F309" s="12">
        <v>0.27777777777777779</v>
      </c>
      <c r="G309" s="12">
        <v>0.31944444444444442</v>
      </c>
      <c r="H309" s="12">
        <v>0.33263888888888887</v>
      </c>
      <c r="I309" s="12">
        <f t="shared" si="5"/>
        <v>5.4861111111111083E-2</v>
      </c>
      <c r="J309" s="11" t="s">
        <v>470</v>
      </c>
      <c r="K309" s="11" t="s">
        <v>50</v>
      </c>
      <c r="L309" s="11" t="s">
        <v>308</v>
      </c>
      <c r="M309" s="11"/>
      <c r="N309" s="12"/>
      <c r="O309" s="12"/>
      <c r="P309" s="11"/>
      <c r="Q309" s="11"/>
      <c r="R309" s="12"/>
      <c r="S309" s="12"/>
      <c r="T309" s="12"/>
      <c r="U309" s="12"/>
      <c r="V309" s="12"/>
      <c r="W309" s="12"/>
      <c r="X309" s="12"/>
      <c r="Y309" s="12"/>
      <c r="Z309" s="11"/>
      <c r="AA309" s="11"/>
    </row>
    <row r="310" spans="1:27" ht="17.25" customHeight="1" x14ac:dyDescent="0.25">
      <c r="A310" s="10">
        <v>45595</v>
      </c>
      <c r="B310" s="11">
        <v>1560</v>
      </c>
      <c r="C310" s="11" t="s">
        <v>35</v>
      </c>
      <c r="D310" s="11">
        <v>44</v>
      </c>
      <c r="E310" s="12">
        <v>0.25694444444444442</v>
      </c>
      <c r="F310" s="12">
        <v>4.583333333333333E-2</v>
      </c>
      <c r="G310" s="12">
        <v>0.21875</v>
      </c>
      <c r="H310" s="12">
        <v>0.21805555555555556</v>
      </c>
      <c r="I310" s="12">
        <f t="shared" si="5"/>
        <v>0.17222222222222222</v>
      </c>
      <c r="J310" s="11" t="s">
        <v>33</v>
      </c>
      <c r="K310" s="11"/>
      <c r="L310" s="11"/>
      <c r="M310" s="11"/>
      <c r="N310" s="12"/>
      <c r="O310" s="12"/>
      <c r="P310" s="11"/>
      <c r="Q310" s="11"/>
      <c r="R310" s="12"/>
      <c r="S310" s="11"/>
      <c r="T310" s="12"/>
      <c r="U310" s="12"/>
      <c r="V310" s="12"/>
      <c r="W310" s="12"/>
      <c r="X310" s="12"/>
      <c r="Y310" s="12"/>
      <c r="Z310" s="11"/>
      <c r="AA310" s="11"/>
    </row>
    <row r="311" spans="1:27" ht="17.25" customHeight="1" x14ac:dyDescent="0.25">
      <c r="A311" s="10">
        <v>45596</v>
      </c>
      <c r="B311" s="11">
        <v>1560</v>
      </c>
      <c r="C311" s="11" t="s">
        <v>32</v>
      </c>
      <c r="D311" s="11">
        <v>45</v>
      </c>
      <c r="E311" s="12">
        <v>0.21527777777777779</v>
      </c>
      <c r="F311" s="12">
        <v>0.31597222222222221</v>
      </c>
      <c r="G311" s="12">
        <v>0.27777777777777779</v>
      </c>
      <c r="H311" s="12">
        <v>0.39166666666666666</v>
      </c>
      <c r="I311" s="12">
        <f t="shared" si="5"/>
        <v>7.5694444444444453E-2</v>
      </c>
      <c r="J311" s="11" t="s">
        <v>538</v>
      </c>
      <c r="K311" s="11" t="s">
        <v>539</v>
      </c>
      <c r="L311" s="11" t="s">
        <v>540</v>
      </c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7.25" customHeight="1" x14ac:dyDescent="0.25">
      <c r="A312" s="10">
        <v>45597</v>
      </c>
      <c r="B312" s="11">
        <v>1560</v>
      </c>
      <c r="C312" s="11" t="s">
        <v>32</v>
      </c>
      <c r="D312" s="11">
        <v>43</v>
      </c>
      <c r="E312" s="12">
        <v>0.21527777777777779</v>
      </c>
      <c r="F312" s="12">
        <v>0.27986111111111112</v>
      </c>
      <c r="G312" s="12">
        <v>0.27777777777777779</v>
      </c>
      <c r="H312" s="12">
        <v>0.3840277777777778</v>
      </c>
      <c r="I312" s="12">
        <f t="shared" si="5"/>
        <v>0.10416666666666669</v>
      </c>
      <c r="J312" s="11" t="s">
        <v>541</v>
      </c>
      <c r="K312" s="11" t="s">
        <v>334</v>
      </c>
      <c r="L312" s="11" t="s">
        <v>542</v>
      </c>
      <c r="M312" s="11"/>
      <c r="N312" s="12"/>
      <c r="O312" s="12"/>
      <c r="P312" s="11"/>
      <c r="Q312" s="11"/>
      <c r="R312" s="12"/>
      <c r="S312" s="12"/>
      <c r="T312" s="12"/>
      <c r="U312" s="12"/>
      <c r="V312" s="12"/>
      <c r="W312" s="12"/>
      <c r="X312" s="12"/>
      <c r="Y312" s="12"/>
      <c r="Z312" s="11"/>
      <c r="AA312" s="11"/>
    </row>
    <row r="313" spans="1:27" ht="17.25" customHeight="1" x14ac:dyDescent="0.25">
      <c r="A313" s="10">
        <v>45598</v>
      </c>
      <c r="B313" s="11">
        <v>2558</v>
      </c>
      <c r="C313" s="11" t="s">
        <v>39</v>
      </c>
      <c r="D313" s="11">
        <v>44</v>
      </c>
      <c r="E313" s="12">
        <v>0.25694444444444442</v>
      </c>
      <c r="F313" s="12">
        <v>0.28888888888888886</v>
      </c>
      <c r="G313" s="12">
        <v>0.33333333333333331</v>
      </c>
      <c r="H313" s="12">
        <v>0.35347222222222224</v>
      </c>
      <c r="I313" s="12">
        <f t="shared" si="5"/>
        <v>6.4583333333333381E-2</v>
      </c>
      <c r="J313" s="11" t="s">
        <v>543</v>
      </c>
      <c r="K313" s="11" t="s">
        <v>544</v>
      </c>
      <c r="L313" s="11" t="s">
        <v>545</v>
      </c>
      <c r="M313" s="11"/>
      <c r="N313" s="12"/>
      <c r="O313" s="12"/>
      <c r="P313" s="11"/>
      <c r="Q313" s="11"/>
      <c r="R313" s="12"/>
      <c r="S313" s="12"/>
      <c r="T313" s="12"/>
      <c r="U313" s="12"/>
      <c r="V313" s="12"/>
      <c r="W313" s="12"/>
      <c r="X313" s="12"/>
      <c r="Y313" s="12"/>
      <c r="Z313" s="11"/>
      <c r="AA313" s="11"/>
    </row>
    <row r="314" spans="1:27" s="15" customFormat="1" ht="17.25" customHeight="1" x14ac:dyDescent="0.25">
      <c r="A314" s="18">
        <v>45599</v>
      </c>
      <c r="B314" s="14"/>
      <c r="C314" s="14"/>
      <c r="D314" s="14"/>
      <c r="E314" s="19"/>
      <c r="F314" s="19"/>
      <c r="G314" s="19"/>
      <c r="H314" s="19"/>
      <c r="I314" s="19">
        <f t="shared" si="5"/>
        <v>0</v>
      </c>
      <c r="J314" s="14"/>
      <c r="K314" s="14"/>
      <c r="L314" s="14"/>
      <c r="M314" s="14"/>
      <c r="N314" s="19"/>
      <c r="O314" s="19"/>
      <c r="P314" s="14"/>
      <c r="Q314" s="14"/>
      <c r="R314" s="19"/>
      <c r="S314" s="19"/>
      <c r="T314" s="19"/>
      <c r="U314" s="19"/>
      <c r="V314" s="19"/>
      <c r="W314" s="19"/>
      <c r="X314" s="19"/>
      <c r="Y314" s="19"/>
      <c r="Z314" s="14"/>
      <c r="AA314" s="14"/>
    </row>
    <row r="315" spans="1:27" ht="17.25" customHeight="1" x14ac:dyDescent="0.25">
      <c r="A315" s="10">
        <v>45600</v>
      </c>
      <c r="B315" s="11">
        <v>1560</v>
      </c>
      <c r="C315" t="s">
        <v>39</v>
      </c>
      <c r="D315" s="11">
        <v>43</v>
      </c>
      <c r="E315" s="12">
        <v>0.25694444444444442</v>
      </c>
      <c r="F315" s="12">
        <v>0.28958333333333336</v>
      </c>
      <c r="G315" s="12">
        <v>0.31944444444444442</v>
      </c>
      <c r="H315" s="12">
        <v>0.33611111111111114</v>
      </c>
      <c r="I315" s="12">
        <f t="shared" si="5"/>
        <v>4.6527777777777779E-2</v>
      </c>
      <c r="J315" s="11" t="s">
        <v>546</v>
      </c>
      <c r="K315" s="11" t="s">
        <v>82</v>
      </c>
      <c r="L315" s="11" t="s">
        <v>308</v>
      </c>
      <c r="M315" s="11"/>
      <c r="N315" s="12"/>
      <c r="O315" s="12"/>
      <c r="P315" s="11"/>
      <c r="Q315" s="11"/>
      <c r="R315" s="12"/>
      <c r="S315" s="12"/>
      <c r="T315" s="12"/>
      <c r="U315" s="12"/>
      <c r="V315" s="12"/>
      <c r="W315" s="12"/>
      <c r="X315" s="12"/>
      <c r="Y315" s="12"/>
      <c r="Z315" s="11"/>
      <c r="AA315" s="11"/>
    </row>
    <row r="316" spans="1:27" ht="17.25" customHeight="1" x14ac:dyDescent="0.25">
      <c r="A316" s="10">
        <v>45601</v>
      </c>
      <c r="B316" s="11">
        <v>1560</v>
      </c>
      <c r="C316" s="11" t="s">
        <v>39</v>
      </c>
      <c r="D316" s="11">
        <v>44</v>
      </c>
      <c r="E316" s="12">
        <v>0.25694444444444442</v>
      </c>
      <c r="F316" s="12">
        <v>0.33055555555555555</v>
      </c>
      <c r="G316" s="12">
        <v>0.31944444444444442</v>
      </c>
      <c r="H316" s="12">
        <v>0.39097222222222222</v>
      </c>
      <c r="I316" s="12">
        <f t="shared" si="5"/>
        <v>6.0416666666666674E-2</v>
      </c>
      <c r="J316" s="11" t="s">
        <v>547</v>
      </c>
      <c r="K316" s="11" t="s">
        <v>548</v>
      </c>
      <c r="L316" s="11" t="s">
        <v>549</v>
      </c>
      <c r="M316" s="11"/>
      <c r="N316" s="12"/>
      <c r="O316" s="12"/>
      <c r="P316" s="11"/>
      <c r="Q316" s="11"/>
      <c r="R316" s="12"/>
      <c r="S316" s="12"/>
      <c r="T316" s="12"/>
      <c r="U316" s="12"/>
      <c r="V316" s="12"/>
      <c r="W316" s="12"/>
      <c r="X316" s="12"/>
      <c r="Y316" s="12"/>
      <c r="Z316" s="11"/>
      <c r="AA316" s="11"/>
    </row>
    <row r="317" spans="1:27" ht="17.25" customHeight="1" x14ac:dyDescent="0.25">
      <c r="A317" s="10">
        <v>45602</v>
      </c>
      <c r="B317" s="11">
        <v>1560</v>
      </c>
      <c r="C317" s="11" t="s">
        <v>32</v>
      </c>
      <c r="D317" s="11">
        <v>44</v>
      </c>
      <c r="E317" s="12">
        <v>0.25694444444444442</v>
      </c>
      <c r="F317" s="12">
        <v>0.25347222222222221</v>
      </c>
      <c r="G317" s="12">
        <v>0.31944444444444442</v>
      </c>
      <c r="H317" s="12">
        <v>0.32083333333333336</v>
      </c>
      <c r="I317" s="12">
        <f t="shared" si="5"/>
        <v>6.7361111111111149E-2</v>
      </c>
      <c r="J317" s="11" t="s">
        <v>33</v>
      </c>
      <c r="K317" s="11"/>
      <c r="L317" s="11"/>
      <c r="M317" s="11"/>
      <c r="N317" s="12"/>
      <c r="O317" s="12"/>
      <c r="P317" s="11"/>
      <c r="Q317" s="11"/>
      <c r="R317" s="12"/>
      <c r="S317" s="12"/>
      <c r="T317" s="12"/>
      <c r="U317" s="12"/>
      <c r="V317" s="12"/>
      <c r="W317" s="12"/>
      <c r="X317" s="12"/>
      <c r="Y317" s="12"/>
      <c r="Z317" s="11"/>
      <c r="AA317" s="11"/>
    </row>
    <row r="318" spans="1:27" ht="17.25" customHeight="1" x14ac:dyDescent="0.25">
      <c r="A318" s="10">
        <v>45603</v>
      </c>
      <c r="B318" s="11">
        <v>1560</v>
      </c>
      <c r="C318" s="11" t="s">
        <v>35</v>
      </c>
      <c r="D318" s="11">
        <v>44</v>
      </c>
      <c r="E318" s="12">
        <v>0.25694444444444442</v>
      </c>
      <c r="F318" s="12">
        <v>0.24305555555555555</v>
      </c>
      <c r="G318" s="12">
        <v>0.31944444444444442</v>
      </c>
      <c r="H318" s="12">
        <v>0.31944444444444442</v>
      </c>
      <c r="I318" s="12">
        <f t="shared" si="5"/>
        <v>7.6388888888888867E-2</v>
      </c>
      <c r="J318" s="11" t="s">
        <v>33</v>
      </c>
      <c r="K318" s="11"/>
      <c r="L318" s="11"/>
      <c r="M318" s="11"/>
      <c r="N318" s="12"/>
      <c r="O318" s="12"/>
      <c r="P318" s="11"/>
      <c r="Q318" s="11"/>
      <c r="R318" s="12"/>
      <c r="S318" s="12"/>
      <c r="T318" s="12"/>
      <c r="U318" s="12"/>
      <c r="V318" s="12"/>
      <c r="W318" s="12"/>
      <c r="X318" s="12"/>
      <c r="Y318" s="12"/>
      <c r="Z318" s="11"/>
      <c r="AA318" s="11"/>
    </row>
    <row r="319" spans="1:27" ht="17.25" customHeight="1" x14ac:dyDescent="0.25">
      <c r="A319" s="10">
        <v>45604</v>
      </c>
      <c r="B319" s="11">
        <v>1560</v>
      </c>
      <c r="C319" s="11" t="s">
        <v>48</v>
      </c>
      <c r="D319" s="11">
        <v>44</v>
      </c>
      <c r="E319" s="12">
        <v>0.25694444444444442</v>
      </c>
      <c r="F319" s="12">
        <v>0.24374999999999999</v>
      </c>
      <c r="G319" s="12">
        <v>0.31944444444444442</v>
      </c>
      <c r="H319" s="12">
        <v>0.31736111111111109</v>
      </c>
      <c r="I319" s="12">
        <f t="shared" si="5"/>
        <v>7.3611111111111099E-2</v>
      </c>
      <c r="J319" s="11" t="s">
        <v>33</v>
      </c>
      <c r="K319" s="11"/>
      <c r="L319" s="11"/>
      <c r="M319" s="11"/>
      <c r="N319" s="12"/>
      <c r="O319" s="12"/>
      <c r="P319" s="11"/>
      <c r="Q319" s="11"/>
      <c r="R319" s="12"/>
      <c r="S319" s="12"/>
      <c r="T319" s="12"/>
      <c r="U319" s="12"/>
      <c r="V319" s="12"/>
      <c r="W319" s="12"/>
      <c r="X319" s="11"/>
      <c r="Y319" s="12"/>
      <c r="Z319" s="11"/>
      <c r="AA319" s="11"/>
    </row>
    <row r="320" spans="1:27" ht="17.25" customHeight="1" x14ac:dyDescent="0.25">
      <c r="A320" s="10">
        <v>45605</v>
      </c>
      <c r="B320" s="11">
        <v>2558</v>
      </c>
      <c r="C320" s="11" t="s">
        <v>35</v>
      </c>
      <c r="D320" s="11">
        <v>44</v>
      </c>
      <c r="E320" s="12">
        <v>0.25694444444444442</v>
      </c>
      <c r="F320" s="12">
        <v>0.26944444444444443</v>
      </c>
      <c r="G320" s="12">
        <v>0.33333333333333331</v>
      </c>
      <c r="H320" s="12">
        <v>0.34236111111111112</v>
      </c>
      <c r="I320" s="12">
        <f t="shared" si="5"/>
        <v>7.2916666666666685E-2</v>
      </c>
      <c r="J320" s="11" t="s">
        <v>550</v>
      </c>
      <c r="K320" s="11" t="s">
        <v>551</v>
      </c>
      <c r="L320" s="11" t="s">
        <v>383</v>
      </c>
      <c r="M320" s="11"/>
      <c r="N320" s="12"/>
      <c r="O320" s="12"/>
      <c r="P320" s="11"/>
      <c r="Q320" s="11"/>
      <c r="R320" s="12"/>
      <c r="S320" s="12"/>
      <c r="T320" s="12"/>
      <c r="U320" s="12"/>
      <c r="V320" s="12"/>
      <c r="W320" s="12"/>
      <c r="X320" s="11"/>
      <c r="Y320" s="12"/>
      <c r="Z320" s="11"/>
      <c r="AA320" s="11"/>
    </row>
    <row r="321" spans="1:27" s="15" customFormat="1" ht="17.25" customHeight="1" x14ac:dyDescent="0.25">
      <c r="A321" s="18">
        <v>45606</v>
      </c>
      <c r="B321" s="14"/>
      <c r="C321" s="14"/>
      <c r="D321" s="14"/>
      <c r="E321" s="19"/>
      <c r="F321" s="19"/>
      <c r="G321" s="19"/>
      <c r="H321" s="19"/>
      <c r="I321" s="19">
        <f t="shared" si="5"/>
        <v>0</v>
      </c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ht="17.25" customHeight="1" x14ac:dyDescent="0.25">
      <c r="A322" s="10">
        <v>45607</v>
      </c>
      <c r="B322" s="11">
        <v>1560</v>
      </c>
      <c r="C322" s="11" t="s">
        <v>32</v>
      </c>
      <c r="D322" s="11">
        <v>42</v>
      </c>
      <c r="E322" s="12">
        <v>0.25694444444444442</v>
      </c>
      <c r="F322" s="12">
        <v>0.27777777777777779</v>
      </c>
      <c r="G322" s="12">
        <v>0.31944444444444442</v>
      </c>
      <c r="H322" s="12">
        <v>0.3527777777777778</v>
      </c>
      <c r="I322" s="12">
        <f t="shared" si="5"/>
        <v>7.5000000000000011E-2</v>
      </c>
      <c r="J322" s="11" t="s">
        <v>552</v>
      </c>
      <c r="K322" s="11" t="s">
        <v>460</v>
      </c>
      <c r="L322" s="11" t="s">
        <v>553</v>
      </c>
      <c r="M322" s="11"/>
      <c r="N322" s="12"/>
      <c r="O322" s="12"/>
      <c r="P322" s="11"/>
      <c r="Q322" s="11"/>
      <c r="R322" s="12"/>
      <c r="S322" s="12"/>
      <c r="T322" s="12"/>
      <c r="U322" s="12"/>
      <c r="V322" s="12"/>
      <c r="W322" s="12"/>
      <c r="X322" s="11"/>
      <c r="Y322" s="12"/>
      <c r="Z322" s="11"/>
      <c r="AA322" s="11"/>
    </row>
    <row r="323" spans="1:27" ht="17.25" customHeight="1" x14ac:dyDescent="0.25">
      <c r="A323" s="10">
        <v>45608</v>
      </c>
      <c r="B323" s="11">
        <v>1560</v>
      </c>
      <c r="C323" s="11" t="s">
        <v>35</v>
      </c>
      <c r="D323" s="11">
        <v>42</v>
      </c>
      <c r="E323" s="12">
        <v>0.25694444444444442</v>
      </c>
      <c r="F323" s="12">
        <v>0.27638888888888891</v>
      </c>
      <c r="G323" s="12">
        <v>0.31944444444444442</v>
      </c>
      <c r="H323" s="12">
        <v>0.3298611111111111</v>
      </c>
      <c r="I323" s="12">
        <f t="shared" si="5"/>
        <v>5.3472222222222199E-2</v>
      </c>
      <c r="J323" s="11" t="s">
        <v>358</v>
      </c>
      <c r="K323" s="11" t="s">
        <v>82</v>
      </c>
      <c r="L323" s="11" t="s">
        <v>308</v>
      </c>
      <c r="M323" s="11"/>
      <c r="N323" s="12"/>
      <c r="O323" s="12"/>
      <c r="P323" s="11"/>
      <c r="Q323" s="11"/>
      <c r="R323" s="12"/>
      <c r="S323" s="12"/>
      <c r="T323" s="12"/>
      <c r="U323" s="12"/>
      <c r="V323" s="12"/>
      <c r="W323" s="12"/>
      <c r="X323" s="11"/>
      <c r="Y323" s="12"/>
      <c r="Z323" s="11"/>
      <c r="AA323" s="11"/>
    </row>
    <row r="324" spans="1:27" ht="17.25" customHeight="1" x14ac:dyDescent="0.25">
      <c r="A324" s="10">
        <v>45609</v>
      </c>
      <c r="B324" s="11">
        <v>1560</v>
      </c>
      <c r="C324" s="11" t="s">
        <v>32</v>
      </c>
      <c r="D324" s="11">
        <v>44</v>
      </c>
      <c r="E324" s="12">
        <v>0.25694444444444442</v>
      </c>
      <c r="F324" s="12">
        <v>0.26180555555555557</v>
      </c>
      <c r="G324" s="12">
        <v>0.31944444444444442</v>
      </c>
      <c r="H324" s="12">
        <v>0.31736111111111109</v>
      </c>
      <c r="I324" s="12">
        <f t="shared" si="5"/>
        <v>5.5555555555555525E-2</v>
      </c>
      <c r="J324" s="11" t="s">
        <v>33</v>
      </c>
      <c r="K324" s="11"/>
      <c r="L324" s="11"/>
      <c r="M324" s="11"/>
      <c r="N324" s="12"/>
      <c r="O324" s="12"/>
      <c r="P324" s="11"/>
      <c r="Q324" s="11"/>
      <c r="R324" s="12"/>
      <c r="S324" s="12"/>
      <c r="T324" s="12"/>
      <c r="U324" s="12"/>
      <c r="V324" s="12"/>
      <c r="W324" s="12"/>
      <c r="X324" s="11"/>
      <c r="Y324" s="12"/>
      <c r="Z324" s="11"/>
      <c r="AA324" s="11"/>
    </row>
    <row r="325" spans="1:27" ht="17.25" customHeight="1" x14ac:dyDescent="0.25">
      <c r="A325" s="10">
        <v>45610</v>
      </c>
      <c r="B325" s="11">
        <v>1560</v>
      </c>
      <c r="C325" t="s">
        <v>39</v>
      </c>
      <c r="D325" s="11">
        <v>44</v>
      </c>
      <c r="E325" s="12">
        <v>0.25694444444444442</v>
      </c>
      <c r="F325" s="12">
        <v>0.24374999999999999</v>
      </c>
      <c r="G325" s="12">
        <v>0.31944444444444442</v>
      </c>
      <c r="H325" s="12">
        <v>0.35625000000000001</v>
      </c>
      <c r="I325" s="12">
        <f t="shared" si="5"/>
        <v>0.11250000000000002</v>
      </c>
      <c r="J325" s="11" t="s">
        <v>554</v>
      </c>
      <c r="K325" s="11" t="s">
        <v>555</v>
      </c>
      <c r="L325" s="11" t="s">
        <v>556</v>
      </c>
      <c r="M325" s="11"/>
      <c r="N325" s="11"/>
      <c r="O325" s="11"/>
      <c r="P325" s="11"/>
      <c r="Q325" s="11"/>
      <c r="R325" s="12"/>
      <c r="S325" s="12"/>
      <c r="T325" s="12"/>
      <c r="U325" s="12"/>
      <c r="V325" s="12"/>
      <c r="W325" s="12"/>
      <c r="X325" s="11"/>
      <c r="Y325" s="12"/>
      <c r="Z325" s="11"/>
      <c r="AA325" s="11"/>
    </row>
    <row r="326" spans="1:27" ht="17.25" customHeight="1" x14ac:dyDescent="0.25">
      <c r="A326" s="10">
        <v>45611</v>
      </c>
      <c r="B326" s="11">
        <v>1560</v>
      </c>
      <c r="C326" s="11" t="s">
        <v>48</v>
      </c>
      <c r="D326" s="11">
        <v>44</v>
      </c>
      <c r="E326" s="12">
        <v>0.25694444444444442</v>
      </c>
      <c r="F326" s="12">
        <v>0.24513888888888888</v>
      </c>
      <c r="G326" s="12">
        <v>0.31944444444444442</v>
      </c>
      <c r="H326" s="12">
        <v>0.30555555555555558</v>
      </c>
      <c r="I326" s="12">
        <f t="shared" si="5"/>
        <v>6.0416666666666702E-2</v>
      </c>
      <c r="J326" s="11" t="s">
        <v>33</v>
      </c>
      <c r="K326" s="11"/>
      <c r="L326" s="11"/>
      <c r="M326" s="11"/>
      <c r="N326" s="11"/>
      <c r="O326" s="11"/>
      <c r="P326" s="11"/>
      <c r="Q326" s="11"/>
      <c r="R326" s="12"/>
      <c r="S326" s="12"/>
      <c r="T326" s="12"/>
      <c r="U326" s="12"/>
      <c r="V326" s="12"/>
      <c r="W326" s="12"/>
      <c r="X326" s="11"/>
      <c r="Y326" s="12"/>
      <c r="Z326" s="11"/>
      <c r="AA326" s="11"/>
    </row>
    <row r="327" spans="1:27" ht="17.25" customHeight="1" x14ac:dyDescent="0.25">
      <c r="A327" s="10">
        <v>45612</v>
      </c>
      <c r="B327" s="11">
        <v>2558</v>
      </c>
      <c r="C327" s="11" t="s">
        <v>35</v>
      </c>
      <c r="D327" s="11">
        <v>44</v>
      </c>
      <c r="E327" s="12">
        <v>0.25694444444444442</v>
      </c>
      <c r="F327" s="12">
        <v>0.24444444444444444</v>
      </c>
      <c r="G327" s="12">
        <v>0.33333333333333331</v>
      </c>
      <c r="H327" s="12">
        <v>0.3263888888888889</v>
      </c>
      <c r="I327" s="12">
        <f t="shared" si="5"/>
        <v>8.1944444444444459E-2</v>
      </c>
      <c r="J327" s="11" t="s">
        <v>33</v>
      </c>
      <c r="K327" s="11"/>
      <c r="L327" s="11"/>
      <c r="M327" s="11"/>
      <c r="N327" s="12"/>
      <c r="O327" s="12"/>
      <c r="P327" s="11"/>
      <c r="Q327" s="11"/>
      <c r="R327" s="12"/>
      <c r="S327" s="12"/>
      <c r="T327" s="12"/>
      <c r="U327" s="12"/>
      <c r="V327" s="12"/>
      <c r="W327" s="12"/>
      <c r="X327" s="11"/>
      <c r="Y327" s="12"/>
      <c r="Z327" s="11"/>
      <c r="AA327" s="11"/>
    </row>
    <row r="328" spans="1:27" s="15" customFormat="1" ht="17.25" customHeight="1" x14ac:dyDescent="0.25">
      <c r="A328" s="18">
        <v>45613</v>
      </c>
      <c r="B328" s="14"/>
      <c r="C328" s="14"/>
      <c r="D328" s="14"/>
      <c r="E328" s="14"/>
      <c r="F328" s="14"/>
      <c r="G328" s="14"/>
      <c r="H328" s="14"/>
      <c r="I328" s="19">
        <f t="shared" ref="I328:I374" si="7">H328-F328</f>
        <v>0</v>
      </c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ht="17.25" customHeight="1" x14ac:dyDescent="0.25">
      <c r="A329" s="10">
        <v>45614</v>
      </c>
      <c r="B329" s="11">
        <v>1560</v>
      </c>
      <c r="C329" s="11" t="s">
        <v>48</v>
      </c>
      <c r="D329" s="11">
        <v>43</v>
      </c>
      <c r="E329" s="12">
        <v>0.25694444444444442</v>
      </c>
      <c r="F329" s="12">
        <v>0.26250000000000001</v>
      </c>
      <c r="G329" s="12">
        <v>0.31944444444444442</v>
      </c>
      <c r="H329" s="12">
        <v>0.37222222222222223</v>
      </c>
      <c r="I329" s="12">
        <f t="shared" si="7"/>
        <v>0.10972222222222222</v>
      </c>
      <c r="J329" s="10" t="s">
        <v>557</v>
      </c>
      <c r="K329" s="11" t="s">
        <v>558</v>
      </c>
      <c r="L329" s="11" t="s">
        <v>559</v>
      </c>
      <c r="M329" s="11"/>
      <c r="N329" s="12"/>
      <c r="O329" s="12"/>
      <c r="P329" s="11"/>
      <c r="Q329" s="11"/>
      <c r="R329" s="12"/>
      <c r="S329" s="12"/>
      <c r="T329" s="12"/>
      <c r="U329" s="12"/>
      <c r="V329" s="12"/>
      <c r="W329" s="12"/>
      <c r="X329" s="11"/>
      <c r="Y329" s="12"/>
      <c r="Z329" s="11"/>
      <c r="AA329" s="11"/>
    </row>
    <row r="330" spans="1:27" ht="17.25" customHeight="1" x14ac:dyDescent="0.25">
      <c r="A330" s="10">
        <v>45615</v>
      </c>
      <c r="B330" s="11">
        <v>1560</v>
      </c>
      <c r="C330" s="11" t="s">
        <v>35</v>
      </c>
      <c r="D330" s="11">
        <v>43</v>
      </c>
      <c r="E330" s="12">
        <v>0.25694444444444442</v>
      </c>
      <c r="F330" s="12">
        <v>0.24791666666666667</v>
      </c>
      <c r="G330" s="12">
        <v>0.31944444444444442</v>
      </c>
      <c r="H330" s="12">
        <v>0.31111111111111112</v>
      </c>
      <c r="I330" s="12">
        <f t="shared" si="7"/>
        <v>6.3194444444444442E-2</v>
      </c>
      <c r="J330" s="11" t="s">
        <v>33</v>
      </c>
      <c r="K330" s="11"/>
      <c r="L330" s="11"/>
      <c r="M330" s="11"/>
      <c r="N330" s="12"/>
      <c r="O330" s="12"/>
      <c r="P330" s="11"/>
      <c r="Q330" s="11"/>
      <c r="R330" s="12"/>
      <c r="S330" s="12"/>
      <c r="T330" s="12"/>
      <c r="U330" s="12"/>
      <c r="V330" s="12"/>
      <c r="W330" s="12"/>
      <c r="X330" s="11"/>
      <c r="Y330" s="12"/>
      <c r="Z330" s="11"/>
      <c r="AA330" s="11"/>
    </row>
    <row r="331" spans="1:27" ht="17.25" customHeight="1" x14ac:dyDescent="0.25">
      <c r="A331" s="10">
        <v>45616</v>
      </c>
      <c r="B331" s="11">
        <v>1560</v>
      </c>
      <c r="C331" s="11" t="s">
        <v>39</v>
      </c>
      <c r="D331" s="11">
        <v>44</v>
      </c>
      <c r="E331" s="12">
        <v>0.25694444444444442</v>
      </c>
      <c r="F331" s="12">
        <v>0.30208333333333331</v>
      </c>
      <c r="G331" s="12">
        <v>0.31944444444444442</v>
      </c>
      <c r="H331" s="12">
        <v>0.3611111111111111</v>
      </c>
      <c r="I331" s="12">
        <f t="shared" si="7"/>
        <v>5.902777777777779E-2</v>
      </c>
      <c r="J331" s="17" t="s">
        <v>560</v>
      </c>
      <c r="K331" s="11" t="s">
        <v>50</v>
      </c>
      <c r="L331" s="11" t="s">
        <v>308</v>
      </c>
      <c r="M331" s="11"/>
      <c r="N331" s="12"/>
      <c r="O331" s="12"/>
      <c r="P331" s="11"/>
      <c r="Q331" s="11"/>
      <c r="R331" s="12"/>
      <c r="S331" s="12"/>
      <c r="T331" s="12"/>
      <c r="U331" s="12"/>
      <c r="V331" s="12"/>
      <c r="W331" s="12"/>
      <c r="X331" s="11"/>
      <c r="Y331" s="12"/>
      <c r="Z331" s="11"/>
      <c r="AA331" s="11"/>
    </row>
    <row r="332" spans="1:27" ht="17.25" customHeight="1" x14ac:dyDescent="0.25">
      <c r="A332" s="10">
        <v>45617</v>
      </c>
      <c r="B332" s="11">
        <v>1560</v>
      </c>
      <c r="C332" s="11" t="s">
        <v>35</v>
      </c>
      <c r="D332" s="11">
        <v>44</v>
      </c>
      <c r="E332" s="12">
        <v>0.25694444444444442</v>
      </c>
      <c r="F332" s="12">
        <v>0.24444444444444444</v>
      </c>
      <c r="G332" s="12">
        <v>0.31944444444444442</v>
      </c>
      <c r="H332" s="12">
        <v>0.31736111111111109</v>
      </c>
      <c r="I332" s="12">
        <f t="shared" si="7"/>
        <v>7.2916666666666657E-2</v>
      </c>
      <c r="J332" s="11" t="s">
        <v>33</v>
      </c>
      <c r="K332" s="11"/>
      <c r="L332" s="11"/>
      <c r="M332" s="11"/>
      <c r="N332" s="11"/>
      <c r="O332" s="11"/>
      <c r="P332" s="11"/>
      <c r="Q332" s="11"/>
      <c r="R332" s="12"/>
      <c r="S332" s="12"/>
      <c r="T332" s="12"/>
      <c r="U332" s="12"/>
      <c r="V332" s="12"/>
      <c r="W332" s="12"/>
      <c r="X332" s="11"/>
      <c r="Y332" s="12"/>
      <c r="Z332" s="11"/>
      <c r="AA332" s="11"/>
    </row>
    <row r="333" spans="1:27" ht="17.25" customHeight="1" x14ac:dyDescent="0.25">
      <c r="A333" s="10">
        <v>45618</v>
      </c>
      <c r="B333" s="11">
        <v>1560</v>
      </c>
      <c r="C333" s="11" t="s">
        <v>39</v>
      </c>
      <c r="D333" s="11">
        <v>44</v>
      </c>
      <c r="E333" s="12">
        <v>0.25694444444444442</v>
      </c>
      <c r="F333" s="12">
        <v>0.26041666666666669</v>
      </c>
      <c r="G333" s="12">
        <v>0.31944444444444442</v>
      </c>
      <c r="H333" s="12">
        <v>0.31180555555555556</v>
      </c>
      <c r="I333" s="12">
        <f t="shared" si="7"/>
        <v>5.1388888888888873E-2</v>
      </c>
      <c r="J333" s="11" t="s">
        <v>33</v>
      </c>
      <c r="K333" s="11"/>
      <c r="L333" s="11"/>
      <c r="M333" s="11"/>
      <c r="N333" s="12"/>
      <c r="O333" s="12"/>
      <c r="P333" s="11"/>
      <c r="Q333" s="11"/>
      <c r="R333" s="12"/>
      <c r="S333" s="12"/>
      <c r="T333" s="12"/>
      <c r="U333" s="12"/>
      <c r="V333" s="12"/>
      <c r="W333" s="12"/>
      <c r="X333" s="11"/>
      <c r="Y333" s="12"/>
      <c r="Z333" s="11"/>
      <c r="AA333" s="11"/>
    </row>
    <row r="334" spans="1:27" ht="17.25" customHeight="1" x14ac:dyDescent="0.25">
      <c r="A334" s="10">
        <v>45619</v>
      </c>
      <c r="B334" s="11">
        <v>2558</v>
      </c>
      <c r="C334" s="11" t="s">
        <v>38</v>
      </c>
      <c r="D334" s="11">
        <v>44</v>
      </c>
      <c r="E334" s="12">
        <v>0.25694444444444442</v>
      </c>
      <c r="F334" s="12">
        <v>0.18680555555555556</v>
      </c>
      <c r="G334" s="12">
        <v>0.33333333333333331</v>
      </c>
      <c r="H334" s="12">
        <v>0.38194444444444442</v>
      </c>
      <c r="I334" s="12">
        <f t="shared" si="7"/>
        <v>0.19513888888888886</v>
      </c>
      <c r="J334" s="11" t="s">
        <v>473</v>
      </c>
      <c r="K334" s="11" t="s">
        <v>474</v>
      </c>
      <c r="L334" s="11" t="s">
        <v>561</v>
      </c>
      <c r="M334" s="11"/>
      <c r="N334" s="12"/>
      <c r="O334" s="12"/>
      <c r="P334" s="11"/>
      <c r="Q334" s="11"/>
      <c r="R334" s="12"/>
      <c r="S334" s="12"/>
      <c r="T334" s="12"/>
      <c r="U334" s="12"/>
      <c r="V334" s="12"/>
      <c r="W334" s="12"/>
      <c r="X334" s="11"/>
      <c r="Y334" s="12"/>
      <c r="Z334" s="11"/>
      <c r="AA334" s="11"/>
    </row>
    <row r="335" spans="1:27" s="15" customFormat="1" ht="17.25" customHeight="1" x14ac:dyDescent="0.25">
      <c r="A335" s="18">
        <v>45620</v>
      </c>
      <c r="B335" s="14"/>
      <c r="C335" s="14"/>
      <c r="D335" s="14"/>
      <c r="E335" s="19"/>
      <c r="F335" s="14"/>
      <c r="G335" s="19"/>
      <c r="H335" s="14"/>
      <c r="I335" s="19">
        <f t="shared" si="7"/>
        <v>0</v>
      </c>
      <c r="J335" s="14"/>
      <c r="K335" s="14"/>
      <c r="L335" s="16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17.25" customHeight="1" x14ac:dyDescent="0.25">
      <c r="A336" s="10">
        <v>45621</v>
      </c>
      <c r="B336" s="11">
        <v>1560</v>
      </c>
      <c r="C336" s="11" t="s">
        <v>48</v>
      </c>
      <c r="D336" s="11">
        <v>44</v>
      </c>
      <c r="E336" s="12">
        <v>0.25694444444444442</v>
      </c>
      <c r="F336" s="12">
        <v>0.26944444444444443</v>
      </c>
      <c r="G336" s="12">
        <v>0.31944444444444442</v>
      </c>
      <c r="H336" s="12">
        <v>0.32361111111111113</v>
      </c>
      <c r="I336" s="12">
        <f t="shared" si="7"/>
        <v>5.4166666666666696E-2</v>
      </c>
      <c r="J336" s="11" t="s">
        <v>413</v>
      </c>
      <c r="K336" s="11" t="s">
        <v>50</v>
      </c>
      <c r="L336" s="11" t="s">
        <v>308</v>
      </c>
      <c r="M336" s="11"/>
      <c r="N336" s="12"/>
      <c r="O336" s="12"/>
      <c r="P336" s="11"/>
      <c r="Q336" s="11"/>
      <c r="R336" s="12"/>
      <c r="S336" s="12"/>
      <c r="T336" s="12"/>
      <c r="U336" s="12"/>
      <c r="V336" s="12"/>
      <c r="W336" s="12"/>
      <c r="X336" s="11"/>
      <c r="Y336" s="12"/>
      <c r="Z336" s="11"/>
      <c r="AA336" s="11"/>
    </row>
    <row r="337" spans="1:27" ht="17.25" customHeight="1" x14ac:dyDescent="0.25">
      <c r="A337" s="10">
        <v>45622</v>
      </c>
      <c r="B337" s="11">
        <v>1560</v>
      </c>
      <c r="C337" s="11" t="s">
        <v>35</v>
      </c>
      <c r="D337" s="11">
        <v>44</v>
      </c>
      <c r="E337" s="12">
        <v>0.25694444444444442</v>
      </c>
      <c r="F337" s="12">
        <v>0.26805555555555555</v>
      </c>
      <c r="G337" s="12">
        <v>0.31944444444444442</v>
      </c>
      <c r="H337" s="12">
        <v>0.32777777777777778</v>
      </c>
      <c r="I337" s="12">
        <f t="shared" si="7"/>
        <v>5.9722222222222232E-2</v>
      </c>
      <c r="J337" s="11" t="s">
        <v>506</v>
      </c>
      <c r="K337" s="11" t="s">
        <v>50</v>
      </c>
      <c r="L337" t="s">
        <v>562</v>
      </c>
      <c r="M337" s="11"/>
      <c r="N337" s="12"/>
      <c r="O337" s="12"/>
      <c r="P337" s="11"/>
      <c r="Q337" s="11"/>
      <c r="R337" s="12"/>
      <c r="S337" s="12"/>
      <c r="T337" s="12"/>
      <c r="U337" s="12"/>
      <c r="V337" s="12"/>
      <c r="W337" s="12"/>
      <c r="X337" s="11"/>
      <c r="Y337" s="12"/>
      <c r="Z337" s="11"/>
      <c r="AA337" s="11"/>
    </row>
    <row r="338" spans="1:27" ht="17.25" customHeight="1" x14ac:dyDescent="0.25">
      <c r="A338" s="10">
        <v>45623</v>
      </c>
      <c r="B338" s="11">
        <v>1560</v>
      </c>
      <c r="C338" s="11" t="s">
        <v>48</v>
      </c>
      <c r="D338" s="11">
        <v>42</v>
      </c>
      <c r="E338" s="12">
        <v>0.25694444444444442</v>
      </c>
      <c r="F338" s="12">
        <v>0.26666666666666666</v>
      </c>
      <c r="G338" s="12">
        <v>0.31944444444444442</v>
      </c>
      <c r="H338" s="12">
        <v>0.3215277777777778</v>
      </c>
      <c r="I338" s="12">
        <f t="shared" si="7"/>
        <v>5.4861111111111138E-2</v>
      </c>
      <c r="J338" s="11" t="s">
        <v>563</v>
      </c>
      <c r="K338" s="11" t="s">
        <v>50</v>
      </c>
      <c r="L338" s="11" t="s">
        <v>308</v>
      </c>
      <c r="M338" s="11"/>
      <c r="N338" s="12"/>
      <c r="O338" s="12"/>
      <c r="P338" s="11"/>
      <c r="Q338" s="11"/>
      <c r="R338" s="12"/>
      <c r="S338" s="12"/>
      <c r="T338" s="12"/>
      <c r="U338" s="12"/>
      <c r="V338" s="12"/>
      <c r="W338" s="12"/>
      <c r="X338" s="11"/>
      <c r="Y338" s="12"/>
      <c r="Z338" s="11"/>
      <c r="AA338" s="11"/>
    </row>
    <row r="339" spans="1:27" ht="17.25" customHeight="1" x14ac:dyDescent="0.25">
      <c r="A339" s="10">
        <v>45624</v>
      </c>
      <c r="B339" s="11">
        <v>1560</v>
      </c>
      <c r="C339" s="11" t="s">
        <v>35</v>
      </c>
      <c r="D339" s="11">
        <v>43</v>
      </c>
      <c r="E339" s="12">
        <v>0.25694444444444442</v>
      </c>
      <c r="F339" s="12">
        <v>0.27361111111111114</v>
      </c>
      <c r="G339" s="12">
        <v>0.31944444444444442</v>
      </c>
      <c r="H339" s="12">
        <v>0.32361111111111113</v>
      </c>
      <c r="I339" s="12">
        <f t="shared" si="7"/>
        <v>4.9999999999999989E-2</v>
      </c>
      <c r="J339" s="11" t="s">
        <v>413</v>
      </c>
      <c r="K339" s="11" t="s">
        <v>50</v>
      </c>
      <c r="L339" s="11" t="s">
        <v>308</v>
      </c>
      <c r="M339" s="11"/>
      <c r="N339" s="12"/>
      <c r="O339" s="12"/>
      <c r="P339" s="11"/>
      <c r="Q339" s="11"/>
      <c r="R339" s="12"/>
      <c r="S339" s="12"/>
      <c r="T339" s="12"/>
      <c r="U339" s="12"/>
      <c r="V339" s="12"/>
      <c r="W339" s="12"/>
      <c r="X339" s="11"/>
      <c r="Y339" s="12"/>
      <c r="Z339" s="11"/>
      <c r="AA339" s="11"/>
    </row>
    <row r="340" spans="1:27" ht="17.25" customHeight="1" x14ac:dyDescent="0.25">
      <c r="A340" s="10">
        <v>45625</v>
      </c>
      <c r="B340" s="11">
        <v>1560</v>
      </c>
      <c r="C340" s="11" t="s">
        <v>39</v>
      </c>
      <c r="D340" s="11">
        <v>44</v>
      </c>
      <c r="E340" s="12">
        <v>0.25694444444444442</v>
      </c>
      <c r="F340" s="12">
        <v>0.28888888888888886</v>
      </c>
      <c r="G340" s="12">
        <v>0.31944444444444442</v>
      </c>
      <c r="H340" s="12">
        <v>0.33750000000000002</v>
      </c>
      <c r="I340" s="12">
        <f t="shared" si="7"/>
        <v>4.861111111111116E-2</v>
      </c>
      <c r="J340" s="11" t="s">
        <v>564</v>
      </c>
      <c r="K340" s="11" t="s">
        <v>50</v>
      </c>
      <c r="L340" s="11" t="s">
        <v>308</v>
      </c>
      <c r="M340" s="11"/>
      <c r="N340" s="12"/>
      <c r="O340" s="12"/>
      <c r="P340" s="11"/>
      <c r="Q340" s="11"/>
      <c r="R340" s="12"/>
      <c r="S340" s="12"/>
      <c r="T340" s="12"/>
      <c r="U340" s="12"/>
      <c r="V340" s="12"/>
      <c r="W340" s="12"/>
      <c r="X340" s="12"/>
      <c r="Y340" s="12"/>
      <c r="Z340" s="11"/>
      <c r="AA340" s="11"/>
    </row>
    <row r="341" spans="1:27" ht="17.25" customHeight="1" x14ac:dyDescent="0.25">
      <c r="A341" s="10">
        <v>45626</v>
      </c>
      <c r="B341" s="11">
        <v>2558</v>
      </c>
      <c r="C341" s="11" t="s">
        <v>38</v>
      </c>
      <c r="D341" s="11">
        <v>44</v>
      </c>
      <c r="E341" s="12">
        <v>0.25694444444444442</v>
      </c>
      <c r="F341" s="12">
        <v>0.26527777777777778</v>
      </c>
      <c r="G341" s="12">
        <v>0.33333333333333331</v>
      </c>
      <c r="H341" s="12">
        <v>0.32361111111111113</v>
      </c>
      <c r="I341" s="12">
        <f t="shared" si="7"/>
        <v>5.8333333333333348E-2</v>
      </c>
      <c r="J341" s="11" t="s">
        <v>33</v>
      </c>
      <c r="K341" s="11"/>
      <c r="L341" s="11"/>
      <c r="M341" s="11"/>
      <c r="N341" s="12"/>
      <c r="O341" s="12"/>
      <c r="P341" s="11"/>
      <c r="Q341" s="11"/>
      <c r="R341" s="12"/>
      <c r="S341" s="11"/>
      <c r="T341" s="12"/>
      <c r="U341" s="12"/>
      <c r="V341" s="12"/>
      <c r="W341" s="12"/>
      <c r="X341" s="12"/>
      <c r="Y341" s="12"/>
      <c r="Z341" s="11"/>
      <c r="AA341" s="11"/>
    </row>
    <row r="342" spans="1:27" s="15" customFormat="1" ht="17.25" customHeight="1" x14ac:dyDescent="0.25">
      <c r="A342" s="18">
        <v>45627</v>
      </c>
      <c r="B342" s="14"/>
      <c r="C342" s="14"/>
      <c r="D342" s="14"/>
      <c r="E342" s="19"/>
      <c r="F342" s="14"/>
      <c r="G342" s="19"/>
      <c r="H342" s="14"/>
      <c r="I342" s="19">
        <f t="shared" si="7"/>
        <v>0</v>
      </c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ht="17.25" customHeight="1" x14ac:dyDescent="0.25">
      <c r="A343" s="10">
        <v>45628</v>
      </c>
      <c r="B343" s="11">
        <v>1560</v>
      </c>
      <c r="C343" s="11" t="s">
        <v>48</v>
      </c>
      <c r="D343" s="11">
        <v>46</v>
      </c>
      <c r="E343" s="12">
        <v>0.25694444444444442</v>
      </c>
      <c r="F343" s="12">
        <v>0.27569444444444446</v>
      </c>
      <c r="G343" s="12">
        <v>0.31944444444444442</v>
      </c>
      <c r="H343" s="12">
        <v>0.33055555555555555</v>
      </c>
      <c r="I343" s="12">
        <f t="shared" si="7"/>
        <v>5.4861111111111083E-2</v>
      </c>
      <c r="J343" s="11" t="s">
        <v>565</v>
      </c>
      <c r="K343" s="11" t="s">
        <v>50</v>
      </c>
      <c r="L343" s="11" t="s">
        <v>308</v>
      </c>
      <c r="M343" s="11"/>
      <c r="N343" s="12"/>
      <c r="O343" s="12"/>
      <c r="P343" s="11"/>
      <c r="Q343" s="11"/>
      <c r="R343" s="12"/>
      <c r="S343" s="12"/>
      <c r="T343" s="12"/>
      <c r="U343" s="12"/>
      <c r="V343" s="12"/>
      <c r="W343" s="12"/>
      <c r="X343" s="12"/>
      <c r="Y343" s="12"/>
      <c r="Z343" s="11"/>
      <c r="AA343" s="11"/>
    </row>
    <row r="344" spans="1:27" ht="17.25" customHeight="1" x14ac:dyDescent="0.25">
      <c r="A344" s="10">
        <v>45629</v>
      </c>
      <c r="B344" s="11">
        <v>1560</v>
      </c>
      <c r="C344" s="11" t="s">
        <v>38</v>
      </c>
      <c r="D344" s="11">
        <v>43</v>
      </c>
      <c r="E344" s="12">
        <v>0.25694444444444442</v>
      </c>
      <c r="F344" s="12">
        <v>0.26805555555555555</v>
      </c>
      <c r="G344" s="12">
        <v>0.31944444444444442</v>
      </c>
      <c r="H344" s="12">
        <v>0.3347222222222222</v>
      </c>
      <c r="I344" s="12">
        <f t="shared" si="7"/>
        <v>6.6666666666666652E-2</v>
      </c>
      <c r="J344" s="11" t="s">
        <v>566</v>
      </c>
      <c r="K344" s="11" t="s">
        <v>567</v>
      </c>
      <c r="L344" s="11" t="s">
        <v>568</v>
      </c>
      <c r="M344" s="11"/>
      <c r="N344" s="12"/>
      <c r="O344" s="12"/>
      <c r="P344" s="11"/>
      <c r="Q344" s="11"/>
      <c r="R344" s="12"/>
      <c r="S344" s="12"/>
      <c r="T344" s="12"/>
      <c r="U344" s="12"/>
      <c r="V344" s="12"/>
      <c r="W344" s="12"/>
      <c r="X344" s="12"/>
      <c r="Y344" s="12"/>
      <c r="Z344" s="11"/>
      <c r="AA344" s="11"/>
    </row>
    <row r="345" spans="1:27" ht="17.25" customHeight="1" x14ac:dyDescent="0.25">
      <c r="A345" s="10">
        <v>45995</v>
      </c>
      <c r="B345" s="11">
        <v>1560</v>
      </c>
      <c r="C345" s="11"/>
      <c r="D345" s="11"/>
      <c r="E345" s="12"/>
      <c r="F345" s="12"/>
      <c r="G345" s="12">
        <v>2.0833333333333332E-2</v>
      </c>
      <c r="H345" s="12">
        <v>4.5138888888888888E-2</v>
      </c>
      <c r="I345" s="12"/>
      <c r="J345" s="11">
        <v>1045</v>
      </c>
      <c r="K345" s="66" t="s">
        <v>569</v>
      </c>
      <c r="L345" s="11" t="s">
        <v>570</v>
      </c>
      <c r="M345" s="11"/>
      <c r="N345" s="12"/>
      <c r="O345" s="12"/>
      <c r="P345" s="11"/>
      <c r="Q345" s="11"/>
      <c r="R345" s="12"/>
      <c r="S345" s="12"/>
      <c r="T345" s="12"/>
      <c r="U345" s="12"/>
      <c r="V345" s="12"/>
      <c r="W345" s="12"/>
      <c r="X345" s="12"/>
      <c r="Y345" s="12"/>
      <c r="Z345" s="11"/>
      <c r="AA345" s="11"/>
    </row>
    <row r="346" spans="1:27" ht="17.25" customHeight="1" x14ac:dyDescent="0.25">
      <c r="A346" s="10">
        <v>45630</v>
      </c>
      <c r="B346" s="11">
        <v>2560</v>
      </c>
      <c r="C346" s="11" t="s">
        <v>35</v>
      </c>
      <c r="D346" s="11">
        <v>44</v>
      </c>
      <c r="E346" s="12">
        <v>0.25694444444444442</v>
      </c>
      <c r="F346" s="12">
        <v>0.27013888888888887</v>
      </c>
      <c r="G346" s="12">
        <v>0.31944444444444442</v>
      </c>
      <c r="H346" s="12">
        <v>0.34027777777777779</v>
      </c>
      <c r="I346" s="12">
        <f t="shared" si="7"/>
        <v>7.0138888888888917E-2</v>
      </c>
      <c r="J346" s="11" t="s">
        <v>571</v>
      </c>
      <c r="K346" s="11" t="s">
        <v>50</v>
      </c>
      <c r="L346" s="11" t="s">
        <v>308</v>
      </c>
      <c r="M346" s="11"/>
      <c r="N346" s="12"/>
      <c r="O346" s="12"/>
      <c r="P346" s="11"/>
      <c r="Q346" s="11"/>
      <c r="R346" s="12"/>
      <c r="S346" s="12"/>
      <c r="T346" s="12"/>
      <c r="U346" s="12"/>
      <c r="V346" s="12"/>
      <c r="W346" s="12"/>
      <c r="X346" s="12"/>
      <c r="Y346" s="12"/>
      <c r="Z346" s="11"/>
      <c r="AA346" s="11"/>
    </row>
    <row r="347" spans="1:27" ht="17.25" customHeight="1" x14ac:dyDescent="0.25">
      <c r="A347" s="10">
        <v>45631</v>
      </c>
      <c r="B347" s="11">
        <v>1560</v>
      </c>
      <c r="C347" s="11" t="s">
        <v>32</v>
      </c>
      <c r="D347" s="11">
        <v>42</v>
      </c>
      <c r="E347" s="12">
        <v>0.25694444444444442</v>
      </c>
      <c r="F347" s="12">
        <v>0.29166666666666669</v>
      </c>
      <c r="G347" s="12">
        <v>0.31944444444444442</v>
      </c>
      <c r="H347" s="12">
        <v>0.36875000000000002</v>
      </c>
      <c r="I347" s="12">
        <f t="shared" si="7"/>
        <v>7.7083333333333337E-2</v>
      </c>
      <c r="J347" s="11" t="s">
        <v>572</v>
      </c>
      <c r="K347" s="11" t="s">
        <v>573</v>
      </c>
      <c r="L347" s="11" t="s">
        <v>574</v>
      </c>
      <c r="M347" s="11"/>
      <c r="N347" s="12"/>
      <c r="O347" s="12"/>
      <c r="P347" s="11"/>
      <c r="Q347" s="11"/>
      <c r="R347" s="12"/>
      <c r="S347" s="12"/>
      <c r="T347" s="12"/>
      <c r="U347" s="12"/>
      <c r="V347" s="12"/>
      <c r="W347" s="12"/>
      <c r="X347" s="12"/>
      <c r="Y347" s="12"/>
      <c r="Z347" s="11"/>
      <c r="AA347" s="11"/>
    </row>
    <row r="348" spans="1:27" ht="17.25" customHeight="1" x14ac:dyDescent="0.25">
      <c r="A348" s="10">
        <v>45632</v>
      </c>
      <c r="B348" s="11">
        <v>1560</v>
      </c>
      <c r="C348" s="11" t="s">
        <v>38</v>
      </c>
      <c r="D348" s="11">
        <v>44</v>
      </c>
      <c r="E348" s="12">
        <v>0.25694444444444442</v>
      </c>
      <c r="F348" s="12">
        <v>0.33888888888888891</v>
      </c>
      <c r="G348" s="12">
        <v>0.31944444444444442</v>
      </c>
      <c r="H348" s="12">
        <v>0.4236111111111111</v>
      </c>
      <c r="I348" s="12">
        <f t="shared" si="7"/>
        <v>8.4722222222222199E-2</v>
      </c>
      <c r="J348" s="11" t="s">
        <v>575</v>
      </c>
      <c r="K348" s="11" t="s">
        <v>424</v>
      </c>
      <c r="L348" s="11" t="s">
        <v>540</v>
      </c>
      <c r="M348" s="11"/>
      <c r="N348" s="12"/>
      <c r="O348" s="12"/>
      <c r="P348" s="11"/>
      <c r="Q348" s="11"/>
      <c r="R348" s="12"/>
      <c r="S348" s="12"/>
      <c r="T348" s="12"/>
      <c r="U348" s="12"/>
      <c r="V348" s="12"/>
      <c r="W348" s="12"/>
      <c r="X348" s="12"/>
      <c r="Y348" s="12"/>
      <c r="Z348" s="11"/>
      <c r="AA348" s="11"/>
    </row>
    <row r="349" spans="1:27" ht="17.25" customHeight="1" x14ac:dyDescent="0.25">
      <c r="A349" s="10">
        <v>45633</v>
      </c>
      <c r="B349" s="11">
        <v>2558</v>
      </c>
      <c r="C349" s="11" t="s">
        <v>48</v>
      </c>
      <c r="D349" s="11">
        <v>44</v>
      </c>
      <c r="E349" s="12">
        <v>0.25694444444444442</v>
      </c>
      <c r="F349" s="12">
        <v>0.27361111111111114</v>
      </c>
      <c r="G349" s="12">
        <v>0.33333333333333331</v>
      </c>
      <c r="H349" s="12">
        <v>0.33194444444444443</v>
      </c>
      <c r="I349" s="12">
        <f t="shared" si="7"/>
        <v>5.8333333333333293E-2</v>
      </c>
      <c r="J349" s="11" t="s">
        <v>33</v>
      </c>
      <c r="K349" s="11"/>
      <c r="L349" s="11"/>
      <c r="M349" s="11"/>
      <c r="N349" s="12"/>
      <c r="O349" s="12"/>
      <c r="P349" s="11"/>
      <c r="Q349" s="11"/>
      <c r="R349" s="12"/>
      <c r="S349" s="12"/>
      <c r="T349" s="12"/>
      <c r="U349" s="12"/>
      <c r="V349" s="12"/>
      <c r="W349" s="12"/>
      <c r="X349" s="12"/>
      <c r="Y349" s="12"/>
      <c r="Z349" s="11"/>
      <c r="AA349" s="11"/>
    </row>
    <row r="350" spans="1:27" s="15" customFormat="1" ht="17.25" customHeight="1" x14ac:dyDescent="0.25">
      <c r="A350" s="18">
        <v>45634</v>
      </c>
      <c r="B350" s="14"/>
      <c r="C350" s="14"/>
      <c r="D350" s="14"/>
      <c r="E350" s="19"/>
      <c r="F350" s="19"/>
      <c r="G350" s="19"/>
      <c r="H350" s="19"/>
      <c r="I350" s="19">
        <f t="shared" si="7"/>
        <v>0</v>
      </c>
      <c r="J350" s="14"/>
      <c r="K350" s="14"/>
      <c r="L350" s="14"/>
      <c r="M350" s="14"/>
      <c r="N350" s="19"/>
      <c r="O350" s="19"/>
      <c r="P350" s="14"/>
      <c r="Q350" s="14"/>
      <c r="R350" s="19"/>
      <c r="S350" s="19"/>
      <c r="T350" s="19"/>
      <c r="U350" s="19"/>
      <c r="V350" s="19"/>
      <c r="W350" s="19"/>
      <c r="X350" s="19"/>
      <c r="Y350" s="19"/>
      <c r="Z350" s="14"/>
      <c r="AA350" s="14"/>
    </row>
    <row r="351" spans="1:27" ht="17.25" customHeight="1" x14ac:dyDescent="0.25">
      <c r="A351" s="10">
        <v>45635</v>
      </c>
      <c r="B351" s="11">
        <v>1560</v>
      </c>
      <c r="C351" s="11" t="s">
        <v>48</v>
      </c>
      <c r="D351" s="11">
        <v>44</v>
      </c>
      <c r="E351" s="12">
        <v>0.25694444444444442</v>
      </c>
      <c r="F351" s="12">
        <v>0.25208333333333333</v>
      </c>
      <c r="G351" s="12">
        <v>0.31944444444444442</v>
      </c>
      <c r="H351" s="12">
        <v>0.31180555555555556</v>
      </c>
      <c r="I351" s="12">
        <f t="shared" si="7"/>
        <v>5.9722222222222232E-2</v>
      </c>
      <c r="J351" s="11" t="s">
        <v>33</v>
      </c>
      <c r="K351" s="11"/>
      <c r="L351" s="11"/>
      <c r="M351" s="11"/>
      <c r="N351" s="12"/>
      <c r="O351" s="12"/>
      <c r="P351" s="11"/>
      <c r="Q351" s="11"/>
      <c r="R351" s="12"/>
      <c r="S351" s="12"/>
      <c r="T351" s="12"/>
      <c r="U351" s="12"/>
      <c r="V351" s="12"/>
      <c r="W351" s="12"/>
      <c r="X351" s="11"/>
      <c r="Y351" s="12"/>
      <c r="Z351" s="11"/>
      <c r="AA351" s="11"/>
    </row>
    <row r="352" spans="1:27" ht="17.25" customHeight="1" x14ac:dyDescent="0.25">
      <c r="A352" s="10">
        <v>45636</v>
      </c>
      <c r="B352" s="11">
        <v>1560</v>
      </c>
      <c r="C352" s="11" t="s">
        <v>38</v>
      </c>
      <c r="D352" s="11">
        <v>44</v>
      </c>
      <c r="E352" s="12">
        <v>0.25694444444444442</v>
      </c>
      <c r="F352" s="12">
        <v>0.30069444444444443</v>
      </c>
      <c r="G352" s="12">
        <v>0.31944444444444442</v>
      </c>
      <c r="H352" s="12">
        <v>0.35555555555555557</v>
      </c>
      <c r="I352" s="12">
        <f t="shared" si="7"/>
        <v>5.4861111111111138E-2</v>
      </c>
      <c r="J352" s="11" t="s">
        <v>576</v>
      </c>
      <c r="K352" s="11" t="s">
        <v>50</v>
      </c>
      <c r="L352" s="11" t="s">
        <v>308</v>
      </c>
      <c r="M352" s="11"/>
      <c r="N352" s="12"/>
      <c r="O352" s="12"/>
      <c r="P352" s="11"/>
      <c r="Q352" s="11"/>
      <c r="R352" s="12"/>
      <c r="S352" s="12"/>
      <c r="T352" s="12"/>
      <c r="U352" s="12"/>
      <c r="V352" s="12"/>
      <c r="W352" s="12"/>
      <c r="X352" s="11"/>
      <c r="Y352" s="12"/>
      <c r="Z352" s="11"/>
      <c r="AA352" s="11"/>
    </row>
    <row r="353" spans="1:27" ht="17.25" customHeight="1" x14ac:dyDescent="0.25">
      <c r="A353" s="10">
        <v>45637</v>
      </c>
      <c r="B353" s="11">
        <v>1560</v>
      </c>
      <c r="C353" s="11" t="s">
        <v>35</v>
      </c>
      <c r="D353" s="11">
        <v>43</v>
      </c>
      <c r="E353" s="12">
        <v>0.25694444444444442</v>
      </c>
      <c r="F353" s="12">
        <v>0.2590277777777778</v>
      </c>
      <c r="G353" s="12">
        <v>0.31944444444444442</v>
      </c>
      <c r="H353" s="12">
        <v>0.32291666666666669</v>
      </c>
      <c r="I353" s="12">
        <f t="shared" si="7"/>
        <v>6.3888888888888884E-2</v>
      </c>
      <c r="J353" s="11" t="s">
        <v>33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7.25" customHeight="1" x14ac:dyDescent="0.25">
      <c r="A354" s="10">
        <v>45638</v>
      </c>
      <c r="B354" s="11">
        <v>1560</v>
      </c>
      <c r="C354" s="11" t="s">
        <v>38</v>
      </c>
      <c r="D354" s="11">
        <v>43</v>
      </c>
      <c r="E354" s="12">
        <v>0.25694444444444442</v>
      </c>
      <c r="F354" s="12">
        <v>0.25694444444444442</v>
      </c>
      <c r="G354" s="12">
        <v>0.31944444444444442</v>
      </c>
      <c r="H354" s="12">
        <v>0.32222222222222224</v>
      </c>
      <c r="I354" s="12">
        <f t="shared" si="7"/>
        <v>6.5277777777777823E-2</v>
      </c>
      <c r="J354" s="11" t="s">
        <v>33</v>
      </c>
      <c r="K354" s="11"/>
      <c r="L354" s="11"/>
      <c r="M354" s="11"/>
      <c r="N354" s="12"/>
      <c r="O354" s="12"/>
      <c r="P354" s="11"/>
      <c r="Q354" s="11"/>
      <c r="R354" s="12"/>
      <c r="S354" s="12"/>
      <c r="T354" s="12"/>
      <c r="U354" s="12"/>
      <c r="V354" s="12"/>
      <c r="W354" s="12"/>
      <c r="X354" s="11"/>
      <c r="Y354" s="12"/>
      <c r="Z354" s="11"/>
      <c r="AA354" s="11"/>
    </row>
    <row r="355" spans="1:27" ht="17.25" customHeight="1" x14ac:dyDescent="0.25">
      <c r="A355" s="10">
        <v>45639</v>
      </c>
      <c r="B355" s="11">
        <v>1560</v>
      </c>
      <c r="C355" s="11" t="s">
        <v>39</v>
      </c>
      <c r="D355" s="11">
        <v>42</v>
      </c>
      <c r="E355" s="12">
        <v>0.25694444444444442</v>
      </c>
      <c r="F355" s="12">
        <v>0.26805555555555555</v>
      </c>
      <c r="G355" s="12">
        <v>0.31944444444444442</v>
      </c>
      <c r="H355" s="12">
        <v>0.32708333333333334</v>
      </c>
      <c r="I355" s="12">
        <f t="shared" si="7"/>
        <v>5.902777777777779E-2</v>
      </c>
      <c r="J355" s="11" t="s">
        <v>330</v>
      </c>
      <c r="K355" s="11" t="s">
        <v>50</v>
      </c>
      <c r="L355" s="11" t="s">
        <v>308</v>
      </c>
      <c r="M355" s="11"/>
      <c r="N355" s="12"/>
      <c r="O355" s="12"/>
      <c r="P355" s="11"/>
      <c r="Q355" s="11"/>
      <c r="R355" s="12"/>
      <c r="S355" s="12"/>
      <c r="T355" s="12"/>
      <c r="U355" s="12"/>
      <c r="V355" s="12"/>
      <c r="W355" s="12"/>
      <c r="X355" s="11"/>
      <c r="Y355" s="12"/>
      <c r="Z355" s="11"/>
      <c r="AA355" s="11"/>
    </row>
    <row r="356" spans="1:27" ht="17.25" customHeight="1" x14ac:dyDescent="0.25">
      <c r="A356" s="10">
        <v>45640</v>
      </c>
      <c r="B356" s="11">
        <v>2558</v>
      </c>
      <c r="C356" s="11" t="s">
        <v>38</v>
      </c>
      <c r="D356" s="11">
        <v>44</v>
      </c>
      <c r="E356" s="12">
        <v>0.25694444444444442</v>
      </c>
      <c r="F356" s="12">
        <v>0.26111111111111113</v>
      </c>
      <c r="G356" s="12">
        <v>0.33333333333333331</v>
      </c>
      <c r="H356" s="12">
        <v>0.32777777777777778</v>
      </c>
      <c r="I356" s="12">
        <f t="shared" si="7"/>
        <v>6.6666666666666652E-2</v>
      </c>
      <c r="J356" s="11" t="s">
        <v>33</v>
      </c>
      <c r="K356" s="11"/>
      <c r="L356" s="11"/>
      <c r="M356" s="11"/>
      <c r="N356" s="12"/>
      <c r="O356" s="12"/>
      <c r="P356" s="11"/>
      <c r="Q356" s="11"/>
      <c r="R356" s="12"/>
      <c r="S356" s="12"/>
      <c r="T356" s="12"/>
      <c r="U356" s="12"/>
      <c r="V356" s="12"/>
      <c r="W356" s="12"/>
      <c r="X356" s="11"/>
      <c r="Y356" s="12"/>
      <c r="Z356" s="11"/>
      <c r="AA356" s="11"/>
    </row>
    <row r="357" spans="1:27" s="15" customFormat="1" ht="17.25" customHeight="1" x14ac:dyDescent="0.25">
      <c r="A357" s="18">
        <v>45641</v>
      </c>
      <c r="B357" s="14"/>
      <c r="C357" s="14"/>
      <c r="D357" s="14"/>
      <c r="E357" s="19"/>
      <c r="F357" s="19"/>
      <c r="G357" s="19"/>
      <c r="H357" s="19"/>
      <c r="I357" s="19">
        <f t="shared" si="7"/>
        <v>0</v>
      </c>
      <c r="J357" s="14"/>
      <c r="K357" s="14"/>
      <c r="L357" s="14"/>
      <c r="M357" s="14"/>
      <c r="N357" s="14"/>
      <c r="O357" s="14"/>
      <c r="P357" s="14"/>
      <c r="Q357" s="14"/>
      <c r="R357" s="19"/>
      <c r="S357" s="19"/>
      <c r="T357" s="19"/>
      <c r="U357" s="19"/>
      <c r="V357" s="19"/>
      <c r="W357" s="19"/>
      <c r="X357" s="14"/>
      <c r="Y357" s="19"/>
      <c r="Z357" s="14"/>
      <c r="AA357" s="14"/>
    </row>
    <row r="358" spans="1:27" ht="17.25" customHeight="1" x14ac:dyDescent="0.25">
      <c r="A358" s="10">
        <v>45642</v>
      </c>
      <c r="B358" s="11">
        <v>1560</v>
      </c>
      <c r="C358" s="11" t="s">
        <v>38</v>
      </c>
      <c r="D358" s="11">
        <v>42</v>
      </c>
      <c r="E358" s="12">
        <v>0.25694444444444442</v>
      </c>
      <c r="F358" s="12">
        <v>0.27013888888888887</v>
      </c>
      <c r="G358" s="12">
        <v>0.31944444444444442</v>
      </c>
      <c r="H358" s="12">
        <v>0.33611111111111114</v>
      </c>
      <c r="I358" s="12">
        <f t="shared" si="7"/>
        <v>6.5972222222222265E-2</v>
      </c>
      <c r="J358" s="11" t="s">
        <v>577</v>
      </c>
      <c r="K358" s="11" t="s">
        <v>578</v>
      </c>
      <c r="L358" s="11" t="s">
        <v>540</v>
      </c>
      <c r="M358" s="11"/>
      <c r="N358" s="11"/>
      <c r="O358" s="11"/>
      <c r="P358" s="11"/>
      <c r="Q358" s="11"/>
      <c r="R358" s="12"/>
      <c r="S358" s="12"/>
      <c r="T358" s="12"/>
      <c r="U358" s="12"/>
      <c r="V358" s="12"/>
      <c r="W358" s="12"/>
      <c r="X358" s="11"/>
      <c r="Y358" s="12"/>
      <c r="Z358" s="11"/>
      <c r="AA358" s="11"/>
    </row>
    <row r="359" spans="1:27" ht="17.25" customHeight="1" x14ac:dyDescent="0.25">
      <c r="A359" s="10">
        <v>45643</v>
      </c>
      <c r="B359" s="11">
        <v>1560</v>
      </c>
      <c r="C359" s="11" t="s">
        <v>35</v>
      </c>
      <c r="D359" s="11">
        <v>44</v>
      </c>
      <c r="E359" s="12">
        <v>0.25694444444444442</v>
      </c>
      <c r="F359" s="12">
        <v>0.24236111111111111</v>
      </c>
      <c r="G359" s="12">
        <v>0.31944444444444442</v>
      </c>
      <c r="H359" s="12">
        <v>0.31111111111111112</v>
      </c>
      <c r="I359" s="12">
        <f t="shared" si="7"/>
        <v>6.8750000000000006E-2</v>
      </c>
      <c r="J359" s="11" t="s">
        <v>33</v>
      </c>
      <c r="K359" s="11"/>
      <c r="L359" s="11"/>
      <c r="M359" s="11"/>
      <c r="N359" s="12"/>
      <c r="O359" s="12"/>
      <c r="P359" s="11"/>
      <c r="Q359" s="11"/>
      <c r="R359" s="12"/>
      <c r="S359" s="12"/>
      <c r="T359" s="12"/>
      <c r="U359" s="12"/>
      <c r="V359" s="12"/>
      <c r="W359" s="12"/>
      <c r="X359" s="11"/>
      <c r="Y359" s="12"/>
      <c r="Z359" s="11"/>
      <c r="AA359" s="11"/>
    </row>
    <row r="360" spans="1:27" ht="17.25" customHeight="1" x14ac:dyDescent="0.25">
      <c r="A360" s="10">
        <v>45644</v>
      </c>
      <c r="B360" s="11">
        <v>1560</v>
      </c>
      <c r="C360" s="11" t="s">
        <v>38</v>
      </c>
      <c r="D360" s="11">
        <v>44</v>
      </c>
      <c r="E360" s="12">
        <v>0.25694444444444442</v>
      </c>
      <c r="F360" s="12">
        <v>0.24236111111111111</v>
      </c>
      <c r="G360" s="12">
        <v>0.31944444444444442</v>
      </c>
      <c r="H360" s="12">
        <v>0.55486111111111114</v>
      </c>
      <c r="I360" s="12">
        <f t="shared" si="7"/>
        <v>0.3125</v>
      </c>
      <c r="J360" s="11" t="s">
        <v>579</v>
      </c>
      <c r="K360" s="11" t="s">
        <v>103</v>
      </c>
      <c r="L360" s="11" t="s">
        <v>580</v>
      </c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7.25" customHeight="1" x14ac:dyDescent="0.25">
      <c r="A361" s="10">
        <v>45645</v>
      </c>
      <c r="B361" s="11">
        <v>1560</v>
      </c>
      <c r="C361" s="11" t="s">
        <v>35</v>
      </c>
      <c r="D361" s="11">
        <v>44</v>
      </c>
      <c r="E361" s="12">
        <v>0.25694444444444442</v>
      </c>
      <c r="F361" s="12">
        <v>0.26111111111111113</v>
      </c>
      <c r="G361" s="12">
        <v>0.31944444444444442</v>
      </c>
      <c r="H361" s="12">
        <v>0.31805555555555554</v>
      </c>
      <c r="I361" s="12">
        <f t="shared" si="7"/>
        <v>5.6944444444444409E-2</v>
      </c>
      <c r="J361" s="10" t="s">
        <v>33</v>
      </c>
      <c r="K361" s="11"/>
      <c r="L361" s="11"/>
      <c r="M361" s="11"/>
      <c r="N361" s="12"/>
      <c r="O361" s="12"/>
      <c r="P361" s="11"/>
      <c r="Q361" s="11"/>
      <c r="R361" s="12"/>
      <c r="S361" s="12"/>
      <c r="T361" s="12"/>
      <c r="U361" s="12"/>
      <c r="V361" s="12"/>
      <c r="W361" s="12"/>
      <c r="X361" s="11"/>
      <c r="Y361" s="12"/>
      <c r="Z361" s="11"/>
      <c r="AA361" s="11"/>
    </row>
    <row r="362" spans="1:27" ht="17.25" customHeight="1" x14ac:dyDescent="0.25">
      <c r="A362" s="10">
        <v>45646</v>
      </c>
      <c r="B362" s="11">
        <v>1560</v>
      </c>
      <c r="C362" s="11" t="s">
        <v>39</v>
      </c>
      <c r="D362" s="11">
        <v>41</v>
      </c>
      <c r="E362" s="12">
        <v>0.25694444444444442</v>
      </c>
      <c r="F362" s="12">
        <v>0.26041666666666669</v>
      </c>
      <c r="G362" s="12">
        <v>0.31944444444444442</v>
      </c>
      <c r="H362" s="12">
        <v>0.31597222222222221</v>
      </c>
      <c r="I362" s="12">
        <f t="shared" si="7"/>
        <v>5.5555555555555525E-2</v>
      </c>
      <c r="J362" s="11" t="s">
        <v>33</v>
      </c>
      <c r="K362" s="11"/>
      <c r="L362" s="11"/>
      <c r="M362" s="11"/>
      <c r="N362" s="12"/>
      <c r="O362" s="12"/>
      <c r="P362" s="11"/>
      <c r="Q362" s="11"/>
      <c r="R362" s="12"/>
      <c r="S362" s="12"/>
      <c r="T362" s="12"/>
      <c r="U362" s="12"/>
      <c r="V362" s="12"/>
      <c r="W362" s="12"/>
      <c r="X362" s="11"/>
      <c r="Y362" s="12"/>
      <c r="Z362" s="11"/>
      <c r="AA362" s="11"/>
    </row>
    <row r="363" spans="1:27" ht="17.25" customHeight="1" x14ac:dyDescent="0.25">
      <c r="A363" s="10">
        <v>45647</v>
      </c>
      <c r="B363" s="11">
        <v>2558</v>
      </c>
      <c r="C363" s="11" t="s">
        <v>46</v>
      </c>
      <c r="D363" s="11">
        <v>43</v>
      </c>
      <c r="E363" s="12">
        <v>0.25694444444444442</v>
      </c>
      <c r="F363" s="12">
        <v>0.27430555555555558</v>
      </c>
      <c r="G363" s="12">
        <v>0.33333333333333331</v>
      </c>
      <c r="H363" s="12">
        <v>0.33055555555555555</v>
      </c>
      <c r="I363" s="12">
        <f t="shared" si="7"/>
        <v>5.6249999999999967E-2</v>
      </c>
      <c r="J363" s="17" t="s">
        <v>33</v>
      </c>
      <c r="K363" s="11"/>
      <c r="L363" s="11"/>
      <c r="M363" s="11"/>
      <c r="N363" s="12"/>
      <c r="O363" s="12"/>
      <c r="P363" s="11"/>
      <c r="Q363" s="11"/>
      <c r="R363" s="12"/>
      <c r="S363" s="12"/>
      <c r="T363" s="12"/>
      <c r="U363" s="12"/>
      <c r="V363" s="12"/>
      <c r="W363" s="12"/>
      <c r="X363" s="11"/>
      <c r="Y363" s="12"/>
      <c r="Z363" s="11"/>
      <c r="AA363" s="11"/>
    </row>
    <row r="364" spans="1:27" s="15" customFormat="1" ht="17.25" customHeight="1" x14ac:dyDescent="0.25">
      <c r="A364" s="18">
        <v>45648</v>
      </c>
      <c r="B364" s="14"/>
      <c r="C364" s="14"/>
      <c r="D364" s="14"/>
      <c r="E364" s="19"/>
      <c r="F364" s="19"/>
      <c r="G364" s="19"/>
      <c r="H364" s="19"/>
      <c r="I364" s="19">
        <f t="shared" si="7"/>
        <v>0</v>
      </c>
      <c r="J364" s="14"/>
      <c r="K364" s="14"/>
      <c r="L364" s="14"/>
      <c r="M364" s="14"/>
      <c r="N364" s="14"/>
      <c r="O364" s="14"/>
      <c r="P364" s="14"/>
      <c r="Q364" s="14"/>
      <c r="R364" s="19"/>
      <c r="S364" s="19"/>
      <c r="T364" s="19"/>
      <c r="U364" s="19"/>
      <c r="V364" s="19"/>
      <c r="W364" s="19"/>
      <c r="X364" s="14"/>
      <c r="Y364" s="19"/>
      <c r="Z364" s="14"/>
      <c r="AA364" s="14"/>
    </row>
    <row r="365" spans="1:27" ht="17.25" customHeight="1" x14ac:dyDescent="0.25">
      <c r="A365" s="10">
        <v>45649</v>
      </c>
      <c r="B365" s="11">
        <v>1560</v>
      </c>
      <c r="C365" s="11" t="s">
        <v>38</v>
      </c>
      <c r="D365" s="11">
        <v>44</v>
      </c>
      <c r="E365" s="12">
        <v>0.25694444444444442</v>
      </c>
      <c r="F365" s="12">
        <v>0.28055555555555556</v>
      </c>
      <c r="G365" s="12">
        <v>0.31944444444444442</v>
      </c>
      <c r="H365" s="12">
        <v>0.34583333333333333</v>
      </c>
      <c r="I365" s="12">
        <f t="shared" si="7"/>
        <v>6.5277777777777768E-2</v>
      </c>
      <c r="J365" s="11" t="s">
        <v>581</v>
      </c>
      <c r="K365" s="11" t="s">
        <v>404</v>
      </c>
      <c r="L365" s="11" t="s">
        <v>582</v>
      </c>
      <c r="M365" s="11"/>
      <c r="N365" s="12"/>
      <c r="O365" s="12"/>
      <c r="P365" s="11"/>
      <c r="Q365" s="11"/>
      <c r="R365" s="12"/>
      <c r="S365" s="12"/>
      <c r="T365" s="12"/>
      <c r="U365" s="12"/>
      <c r="V365" s="12"/>
      <c r="W365" s="12"/>
      <c r="X365" s="11"/>
      <c r="Y365" s="12"/>
      <c r="Z365" s="11"/>
      <c r="AA365" s="11"/>
    </row>
    <row r="366" spans="1:27" s="54" customFormat="1" ht="17.25" customHeight="1" x14ac:dyDescent="0.25">
      <c r="A366" s="51" t="s">
        <v>372</v>
      </c>
      <c r="B366" s="52">
        <v>1560</v>
      </c>
      <c r="C366" s="52" t="s">
        <v>39</v>
      </c>
      <c r="D366" s="52"/>
      <c r="E366" s="53">
        <v>0.25694444444444442</v>
      </c>
      <c r="F366" s="53"/>
      <c r="G366" s="53">
        <v>0.31944444444444442</v>
      </c>
      <c r="H366" s="53"/>
      <c r="I366" s="53">
        <f t="shared" si="7"/>
        <v>0</v>
      </c>
      <c r="J366" s="52"/>
      <c r="K366" s="52"/>
      <c r="L366" s="52" t="s">
        <v>583</v>
      </c>
      <c r="M366" s="52"/>
      <c r="N366" s="53"/>
      <c r="O366" s="53"/>
      <c r="P366" s="52"/>
      <c r="Q366" s="52"/>
      <c r="R366" s="53"/>
      <c r="S366" s="53"/>
      <c r="T366" s="53"/>
      <c r="U366" s="53"/>
      <c r="V366" s="53"/>
      <c r="W366" s="53"/>
      <c r="X366" s="52"/>
      <c r="Y366" s="53"/>
      <c r="Z366" s="52"/>
      <c r="AA366" s="52"/>
    </row>
    <row r="367" spans="1:27" s="54" customFormat="1" ht="17.25" customHeight="1" x14ac:dyDescent="0.25">
      <c r="A367" s="51">
        <v>45651</v>
      </c>
      <c r="B367" s="52"/>
      <c r="C367" s="52"/>
      <c r="D367" s="52"/>
      <c r="E367" s="53"/>
      <c r="F367" s="53"/>
      <c r="G367" s="53"/>
      <c r="H367" s="53"/>
      <c r="I367" s="53"/>
      <c r="J367" s="52"/>
      <c r="K367" s="52"/>
      <c r="L367" s="64" t="s">
        <v>584</v>
      </c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</row>
    <row r="368" spans="1:27" s="13" customFormat="1" ht="17.25" customHeight="1" x14ac:dyDescent="0.25">
      <c r="A368" s="10">
        <v>45652</v>
      </c>
      <c r="B368" s="11">
        <v>1560</v>
      </c>
      <c r="C368" s="11" t="s">
        <v>585</v>
      </c>
      <c r="D368" s="11">
        <v>43</v>
      </c>
      <c r="E368" s="12">
        <v>0.25694444444444442</v>
      </c>
      <c r="F368" s="12">
        <v>0.81180555555555556</v>
      </c>
      <c r="G368" s="12">
        <v>0.31944444444444442</v>
      </c>
      <c r="H368" s="12">
        <v>0.90069444444444446</v>
      </c>
      <c r="I368" s="12">
        <f t="shared" ref="I368:I369" si="8">H368-F368</f>
        <v>8.8888888888888906E-2</v>
      </c>
      <c r="J368" s="11" t="s">
        <v>586</v>
      </c>
      <c r="K368" s="11" t="s">
        <v>587</v>
      </c>
      <c r="L368" s="11" t="s">
        <v>588</v>
      </c>
      <c r="M368" s="11"/>
      <c r="N368" s="12"/>
      <c r="O368" s="12"/>
      <c r="P368" s="11"/>
      <c r="Q368" s="11"/>
      <c r="R368" s="12"/>
      <c r="S368" s="12"/>
      <c r="T368" s="12"/>
      <c r="U368" s="12"/>
      <c r="V368" s="12"/>
      <c r="W368" s="12"/>
      <c r="X368" s="11"/>
      <c r="Y368" s="12"/>
      <c r="Z368" s="11"/>
      <c r="AA368" s="11"/>
    </row>
    <row r="369" spans="1:27" s="13" customFormat="1" ht="17.25" customHeight="1" x14ac:dyDescent="0.25">
      <c r="A369" s="10">
        <v>46017</v>
      </c>
      <c r="B369" s="11">
        <v>1560</v>
      </c>
      <c r="C369" s="11" t="s">
        <v>39</v>
      </c>
      <c r="D369" s="11">
        <v>44</v>
      </c>
      <c r="E369" s="12">
        <v>0.81944444444444442</v>
      </c>
      <c r="F369" s="12">
        <v>0.82013888888888886</v>
      </c>
      <c r="G369" s="12">
        <v>0.875</v>
      </c>
      <c r="H369" s="12">
        <v>0.87013888888888891</v>
      </c>
      <c r="I369" s="12">
        <f t="shared" si="8"/>
        <v>5.0000000000000044E-2</v>
      </c>
      <c r="J369" s="11" t="s">
        <v>316</v>
      </c>
      <c r="K369" s="11" t="s">
        <v>82</v>
      </c>
      <c r="L369" s="11" t="s">
        <v>308</v>
      </c>
      <c r="M369" s="11"/>
      <c r="N369" s="12"/>
      <c r="O369" s="12"/>
      <c r="P369" s="11"/>
      <c r="Q369" s="11"/>
      <c r="R369" s="12"/>
      <c r="S369" s="12"/>
      <c r="T369" s="12"/>
      <c r="U369" s="12"/>
      <c r="V369" s="12"/>
      <c r="W369" s="12"/>
      <c r="X369" s="11"/>
      <c r="Y369" s="12"/>
      <c r="Z369" s="11"/>
      <c r="AA369" s="11"/>
    </row>
    <row r="370" spans="1:27" ht="17.25" customHeight="1" x14ac:dyDescent="0.25">
      <c r="A370" s="10">
        <v>45653</v>
      </c>
      <c r="B370" s="11">
        <v>1560</v>
      </c>
      <c r="C370" s="11" t="s">
        <v>589</v>
      </c>
      <c r="D370" s="11">
        <v>44</v>
      </c>
      <c r="E370" s="12">
        <v>0.25694444444444442</v>
      </c>
      <c r="F370" s="12">
        <v>0.25</v>
      </c>
      <c r="G370" s="12">
        <v>0.31944444444444442</v>
      </c>
      <c r="H370" s="12">
        <v>0.43888888888888888</v>
      </c>
      <c r="I370" s="12">
        <f t="shared" si="7"/>
        <v>0.18888888888888888</v>
      </c>
      <c r="J370" s="11" t="s">
        <v>590</v>
      </c>
      <c r="K370" s="11" t="s">
        <v>591</v>
      </c>
      <c r="L370" s="11" t="s">
        <v>592</v>
      </c>
      <c r="M370" s="11"/>
      <c r="N370" s="12"/>
      <c r="O370" s="12"/>
      <c r="P370" s="11"/>
      <c r="Q370" s="11"/>
      <c r="R370" s="12"/>
      <c r="S370" s="12"/>
      <c r="T370" s="12"/>
      <c r="U370" s="12"/>
      <c r="V370" s="12"/>
      <c r="W370" s="12"/>
      <c r="X370" s="11"/>
      <c r="Y370" s="12"/>
      <c r="Z370" s="11"/>
      <c r="AA370" s="11"/>
    </row>
    <row r="371" spans="1:27" ht="17.25" customHeight="1" x14ac:dyDescent="0.25">
      <c r="A371" s="10">
        <v>45654</v>
      </c>
      <c r="B371" s="11">
        <v>2558</v>
      </c>
      <c r="C371" s="11" t="s">
        <v>593</v>
      </c>
      <c r="D371" s="11">
        <v>44</v>
      </c>
      <c r="E371" s="12">
        <v>0.25694444444444442</v>
      </c>
      <c r="F371" s="12">
        <v>0.24791666666666667</v>
      </c>
      <c r="G371" s="12">
        <v>0.33333333333333331</v>
      </c>
      <c r="H371" s="12">
        <v>0.31944444444444442</v>
      </c>
      <c r="I371" s="12">
        <f t="shared" si="7"/>
        <v>7.1527777777777746E-2</v>
      </c>
      <c r="J371" s="11" t="s">
        <v>33</v>
      </c>
      <c r="K371" s="11"/>
      <c r="M371" s="11"/>
      <c r="N371" s="12"/>
      <c r="O371" s="12"/>
      <c r="P371" s="11"/>
      <c r="Q371" s="11"/>
      <c r="R371" s="12"/>
      <c r="S371" s="12"/>
      <c r="T371" s="12"/>
      <c r="U371" s="12"/>
      <c r="V371" s="12"/>
      <c r="W371" s="12"/>
      <c r="X371" s="11"/>
      <c r="Y371" s="12"/>
      <c r="Z371" s="11"/>
      <c r="AA371" s="11"/>
    </row>
    <row r="372" spans="1:27" s="15" customFormat="1" ht="17.25" customHeight="1" x14ac:dyDescent="0.25">
      <c r="A372" s="18">
        <v>45655</v>
      </c>
      <c r="B372" s="14"/>
      <c r="C372" s="14"/>
      <c r="D372" s="14"/>
      <c r="E372" s="19"/>
      <c r="F372" s="19"/>
      <c r="G372" s="19"/>
      <c r="H372" s="19"/>
      <c r="I372" s="19">
        <f t="shared" si="7"/>
        <v>0</v>
      </c>
      <c r="J372" s="14"/>
      <c r="K372" s="14"/>
      <c r="L372" s="14"/>
      <c r="M372" s="14"/>
      <c r="N372" s="19"/>
      <c r="O372" s="19"/>
      <c r="P372" s="14"/>
      <c r="Q372" s="14"/>
      <c r="R372" s="19"/>
      <c r="S372" s="19"/>
      <c r="T372" s="19"/>
      <c r="U372" s="19"/>
      <c r="V372" s="19"/>
      <c r="W372" s="19"/>
      <c r="X372" s="14"/>
      <c r="Y372" s="19"/>
      <c r="Z372" s="14"/>
      <c r="AA372" s="14"/>
    </row>
    <row r="373" spans="1:27" ht="17.25" customHeight="1" x14ac:dyDescent="0.25">
      <c r="A373" s="10">
        <v>45656</v>
      </c>
      <c r="B373" s="11">
        <v>1560</v>
      </c>
      <c r="C373" s="11" t="s">
        <v>589</v>
      </c>
      <c r="D373" s="11">
        <v>44</v>
      </c>
      <c r="E373" s="12">
        <v>0.25694444444444442</v>
      </c>
      <c r="F373" s="12">
        <v>0.27152777777777776</v>
      </c>
      <c r="G373" s="12">
        <v>0.31944444444444442</v>
      </c>
      <c r="H373" s="12">
        <v>0.33333333333333331</v>
      </c>
      <c r="I373" s="12">
        <f t="shared" si="7"/>
        <v>6.1805555555555558E-2</v>
      </c>
      <c r="J373" s="11" t="s">
        <v>33</v>
      </c>
      <c r="K373" s="11"/>
      <c r="L373" s="11"/>
      <c r="M373" s="11"/>
      <c r="N373" s="12"/>
      <c r="O373" s="12"/>
      <c r="P373" s="11"/>
      <c r="Q373" s="11"/>
      <c r="R373" s="12"/>
      <c r="S373" s="12"/>
      <c r="T373" s="12"/>
      <c r="U373" s="12"/>
      <c r="V373" s="12"/>
      <c r="W373" s="12"/>
      <c r="X373" s="12"/>
      <c r="Y373" s="12"/>
      <c r="Z373" s="11"/>
      <c r="AA373" s="11"/>
    </row>
    <row r="374" spans="1:27" ht="17.25" customHeight="1" x14ac:dyDescent="0.25">
      <c r="A374" s="10">
        <v>45657</v>
      </c>
      <c r="B374" s="11">
        <v>1560</v>
      </c>
      <c r="C374" s="11" t="s">
        <v>593</v>
      </c>
      <c r="D374" s="11">
        <v>42</v>
      </c>
      <c r="E374" s="12">
        <v>0.25694444444444442</v>
      </c>
      <c r="F374" s="12">
        <v>0.24652777777777779</v>
      </c>
      <c r="G374" s="12">
        <v>0.31944444444444442</v>
      </c>
      <c r="H374" s="12">
        <v>0.32083333333333336</v>
      </c>
      <c r="I374" s="12">
        <f t="shared" si="7"/>
        <v>7.4305555555555569E-2</v>
      </c>
      <c r="J374" s="11" t="s">
        <v>33</v>
      </c>
      <c r="K374" s="11"/>
      <c r="L374" s="11"/>
      <c r="M374" s="11"/>
      <c r="N374" s="12"/>
      <c r="O374" s="12"/>
      <c r="P374" s="11"/>
      <c r="Q374" s="11"/>
      <c r="R374" s="12"/>
      <c r="S374" s="11"/>
      <c r="T374" s="12"/>
      <c r="U374" s="12"/>
      <c r="V374" s="12"/>
      <c r="W374" s="12"/>
      <c r="X374" s="12"/>
      <c r="Y374" s="12"/>
      <c r="Z374" s="11"/>
      <c r="AA374" s="11"/>
    </row>
    <row r="375" spans="1:27" ht="17.25" customHeight="1" x14ac:dyDescent="0.25">
      <c r="A375" s="10"/>
      <c r="B375" s="11"/>
      <c r="C375" s="11"/>
      <c r="D375" s="11"/>
      <c r="E375" s="12"/>
      <c r="F375" s="11"/>
      <c r="G375" s="12"/>
      <c r="H375" s="11"/>
      <c r="I375" s="12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7.25" customHeight="1" x14ac:dyDescent="0.25">
      <c r="A376" s="10"/>
      <c r="B376" s="11"/>
      <c r="C376" s="11"/>
      <c r="D376" s="11"/>
      <c r="E376" s="12"/>
      <c r="F376" s="12"/>
      <c r="G376" s="12"/>
      <c r="H376" s="12"/>
      <c r="I376" s="12"/>
      <c r="J376" s="11"/>
      <c r="K376" s="11"/>
      <c r="L376" s="11"/>
      <c r="M376" s="11"/>
      <c r="N376" s="12"/>
      <c r="O376" s="12"/>
      <c r="P376" s="11"/>
      <c r="Q376" s="11"/>
      <c r="R376" s="12"/>
      <c r="S376" s="12"/>
      <c r="T376" s="12"/>
      <c r="U376" s="12"/>
      <c r="V376" s="12"/>
      <c r="W376" s="12"/>
      <c r="X376" s="12"/>
      <c r="Y376" s="12"/>
      <c r="Z376" s="11"/>
      <c r="AA376" s="11"/>
    </row>
    <row r="377" spans="1:27" ht="17.25" customHeight="1" x14ac:dyDescent="0.25">
      <c r="A377" s="10"/>
      <c r="B377" s="11"/>
      <c r="C377" s="11"/>
      <c r="D377" s="11"/>
      <c r="E377" s="12"/>
      <c r="F377" s="12"/>
      <c r="G377" s="12"/>
      <c r="H377" s="12"/>
      <c r="I377" s="12"/>
      <c r="J377" s="11"/>
      <c r="K377" s="11"/>
      <c r="L377" s="11"/>
      <c r="M377" s="11"/>
      <c r="N377" s="12"/>
      <c r="O377" s="12"/>
      <c r="P377" s="11"/>
      <c r="Q377" s="11"/>
      <c r="R377" s="12"/>
      <c r="S377" s="12"/>
      <c r="T377" s="12"/>
      <c r="U377" s="12"/>
      <c r="V377" s="12"/>
      <c r="W377" s="12"/>
      <c r="X377" s="12"/>
      <c r="Y377" s="12"/>
      <c r="Z377" s="11"/>
      <c r="AA377" s="11"/>
    </row>
    <row r="378" spans="1:27" ht="17.25" customHeight="1" x14ac:dyDescent="0.25">
      <c r="A378" s="10"/>
      <c r="B378" s="11"/>
      <c r="C378" s="11"/>
      <c r="D378" s="11"/>
      <c r="E378" s="12"/>
      <c r="F378" s="12"/>
      <c r="G378" s="12"/>
      <c r="H378" s="12"/>
      <c r="I378" s="12"/>
      <c r="J378" s="11"/>
      <c r="K378" s="11"/>
      <c r="L378" s="11"/>
      <c r="M378" s="11"/>
      <c r="N378" s="12"/>
      <c r="O378" s="12"/>
      <c r="P378" s="11"/>
      <c r="Q378" s="11"/>
      <c r="R378" s="12"/>
      <c r="S378" s="12"/>
      <c r="T378" s="12"/>
      <c r="U378" s="12"/>
      <c r="V378" s="12"/>
      <c r="W378" s="12"/>
      <c r="X378" s="12"/>
      <c r="Y378" s="12"/>
      <c r="Z378" s="11"/>
      <c r="AA378" s="11"/>
    </row>
    <row r="379" spans="1:27" ht="17.25" customHeight="1" x14ac:dyDescent="0.25">
      <c r="A379" s="10"/>
      <c r="B379" s="11"/>
      <c r="C379" s="11"/>
      <c r="D379" s="11"/>
      <c r="E379" s="12"/>
      <c r="F379" s="12"/>
      <c r="G379" s="12"/>
      <c r="H379" s="12"/>
      <c r="I379" s="12"/>
      <c r="J379" s="11"/>
      <c r="K379" s="11"/>
      <c r="L379" s="11"/>
      <c r="M379" s="11"/>
      <c r="N379" s="12"/>
      <c r="O379" s="12"/>
      <c r="P379" s="11"/>
      <c r="Q379" s="11"/>
      <c r="R379" s="12"/>
      <c r="S379" s="12"/>
      <c r="T379" s="12"/>
      <c r="U379" s="12"/>
      <c r="V379" s="12"/>
      <c r="W379" s="12"/>
      <c r="X379" s="12"/>
      <c r="Y379" s="12"/>
      <c r="Z379" s="11"/>
      <c r="AA379" s="11"/>
    </row>
    <row r="380" spans="1:27" ht="17.25" customHeight="1" x14ac:dyDescent="0.25">
      <c r="A380" s="10"/>
      <c r="B380" s="11"/>
      <c r="C380" s="11"/>
      <c r="D380" s="11"/>
      <c r="E380" s="12"/>
      <c r="F380" s="12"/>
      <c r="G380" s="12"/>
      <c r="H380" s="12"/>
      <c r="I380" s="12"/>
      <c r="J380" s="11"/>
      <c r="K380" s="11"/>
      <c r="L380" s="11"/>
      <c r="M380" s="11"/>
      <c r="N380" s="12"/>
      <c r="O380" s="12"/>
      <c r="P380" s="11"/>
      <c r="Q380" s="11"/>
      <c r="R380" s="12"/>
      <c r="S380" s="12"/>
      <c r="T380" s="12"/>
      <c r="U380" s="12"/>
      <c r="V380" s="12"/>
      <c r="W380" s="12"/>
      <c r="X380" s="12"/>
      <c r="Y380" s="12"/>
      <c r="Z380" s="11"/>
      <c r="AA380" s="11"/>
    </row>
    <row r="381" spans="1:27" ht="17.25" customHeight="1" x14ac:dyDescent="0.25">
      <c r="A381" s="10"/>
      <c r="B381" s="11"/>
      <c r="C381" s="11"/>
      <c r="D381" s="11"/>
      <c r="E381" s="12"/>
      <c r="F381" s="12"/>
      <c r="G381" s="12"/>
      <c r="H381" s="12"/>
      <c r="I381" s="12"/>
      <c r="J381" s="11"/>
      <c r="K381" s="11"/>
      <c r="L381" s="11"/>
      <c r="M381" s="11"/>
      <c r="N381" s="12"/>
      <c r="O381" s="12"/>
      <c r="P381" s="11"/>
      <c r="Q381" s="11"/>
      <c r="R381" s="12"/>
      <c r="S381" s="12"/>
      <c r="T381" s="12"/>
      <c r="U381" s="12"/>
      <c r="V381" s="12"/>
      <c r="W381" s="12"/>
      <c r="X381" s="12"/>
      <c r="Y381" s="12"/>
      <c r="Z381" s="11"/>
      <c r="AA381" s="11"/>
    </row>
  </sheetData>
  <protectedRanges>
    <protectedRange algorithmName="SHA-512" hashValue="v3eOvA65DjfEsUiltxduyqKeCSn+Sg2H05qTVWdUg0iRIHXesfSDG20+IQvhwON7EoSeMPkp+q2/MF73CXhPAg==" saltValue="5PxHcPwXFFvhxF0uUA2N+Q==" spinCount="100000" sqref="I7 I376:I381" name="Rango1_1"/>
    <protectedRange algorithmName="SHA-512" hashValue="v3eOvA65DjfEsUiltxduyqKeCSn+Sg2H05qTVWdUg0iRIHXesfSDG20+IQvhwON7EoSeMPkp+q2/MF73CXhPAg==" saltValue="5PxHcPwXFFvhxF0uUA2N+Q==" spinCount="100000" sqref="I8:I375" name="Rango1"/>
  </protectedRanges>
  <mergeCells count="31">
    <mergeCell ref="Z4:Z6"/>
    <mergeCell ref="AA4:AA6"/>
    <mergeCell ref="N5:N6"/>
    <mergeCell ref="O5:O6"/>
    <mergeCell ref="P5:P6"/>
    <mergeCell ref="Q5:Q6"/>
    <mergeCell ref="R5:R6"/>
    <mergeCell ref="S5:S6"/>
    <mergeCell ref="R4:S4"/>
    <mergeCell ref="T4:T6"/>
    <mergeCell ref="U4:U6"/>
    <mergeCell ref="V4:V6"/>
    <mergeCell ref="W4:W6"/>
    <mergeCell ref="X4:X6"/>
    <mergeCell ref="P4:Q4"/>
    <mergeCell ref="A2:Z2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  <mergeCell ref="M4:M6"/>
    <mergeCell ref="N4:O4"/>
    <mergeCell ref="Y4:Y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8CF4-4C26-406F-A15C-088E915BA514}">
  <sheetPr>
    <tabColor rgb="FFFFFF00"/>
  </sheetPr>
  <dimension ref="A2:CR426"/>
  <sheetViews>
    <sheetView topLeftCell="C1" zoomScaleNormal="100" workbookViewId="0">
      <pane ySplit="6" topLeftCell="A274" activePane="bottomLeft" state="frozen"/>
      <selection activeCell="C1" sqref="C1"/>
      <selection pane="bottomLeft" activeCell="L408" sqref="L408"/>
    </sheetView>
  </sheetViews>
  <sheetFormatPr baseColWidth="10" defaultColWidth="8.7109375" defaultRowHeight="15" x14ac:dyDescent="0.25"/>
  <cols>
    <col min="2" max="2" width="15.28515625" style="1" customWidth="1"/>
    <col min="3" max="3" width="11" bestFit="1" customWidth="1"/>
    <col min="4" max="4" width="9.140625"/>
    <col min="5" max="5" width="7.140625" customWidth="1"/>
    <col min="6" max="6" width="6.140625" customWidth="1"/>
    <col min="7" max="7" width="5.7109375" customWidth="1"/>
    <col min="8" max="8" width="7.7109375" customWidth="1"/>
    <col min="9" max="9" width="24.42578125" customWidth="1"/>
    <col min="10" max="10" width="18.140625" customWidth="1"/>
    <col min="11" max="11" width="13.42578125" customWidth="1"/>
    <col min="12" max="12" width="84.42578125" customWidth="1"/>
    <col min="13" max="13" width="19" bestFit="1" customWidth="1"/>
    <col min="14" max="15" width="7.140625" customWidth="1"/>
    <col min="16" max="16" width="6.5703125" customWidth="1"/>
    <col min="17" max="17" width="6.42578125" customWidth="1"/>
    <col min="18" max="18" width="8.42578125" customWidth="1"/>
    <col min="19" max="19" width="9.28515625" bestFit="1" customWidth="1"/>
    <col min="20" max="20" width="12.5703125" bestFit="1" customWidth="1"/>
    <col min="21" max="23" width="11.7109375" customWidth="1"/>
    <col min="24" max="24" width="14.85546875" bestFit="1" customWidth="1"/>
    <col min="25" max="25" width="10.7109375" customWidth="1"/>
    <col min="26" max="26" width="25.42578125" customWidth="1"/>
    <col min="27" max="27" width="0.28515625" hidden="1" customWidth="1"/>
    <col min="28" max="28" width="10.85546875" customWidth="1"/>
    <col min="29" max="30" width="10.28515625" customWidth="1"/>
    <col min="31" max="31" width="10" customWidth="1"/>
  </cols>
  <sheetData>
    <row r="2" spans="1:32" ht="36" x14ac:dyDescent="0.55000000000000004">
      <c r="A2" s="297" t="s">
        <v>0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7"/>
      <c r="W2" s="297"/>
      <c r="X2" s="297"/>
      <c r="Y2" s="297"/>
      <c r="Z2" s="297"/>
      <c r="AB2" s="128"/>
      <c r="AC2" s="128"/>
      <c r="AD2" s="128"/>
      <c r="AE2" s="128"/>
    </row>
    <row r="4" spans="1:32" x14ac:dyDescent="0.25">
      <c r="A4" s="300" t="s">
        <v>1</v>
      </c>
      <c r="B4" s="298" t="s">
        <v>2</v>
      </c>
      <c r="C4" s="298" t="s">
        <v>3</v>
      </c>
      <c r="D4" s="298" t="s">
        <v>4</v>
      </c>
      <c r="E4" s="298" t="s">
        <v>5</v>
      </c>
      <c r="F4" s="298" t="s">
        <v>6</v>
      </c>
      <c r="G4" s="298" t="s">
        <v>7</v>
      </c>
      <c r="H4" s="298" t="s">
        <v>8</v>
      </c>
      <c r="I4" s="298" t="s">
        <v>9</v>
      </c>
      <c r="J4" s="302" t="s">
        <v>10</v>
      </c>
      <c r="K4" s="298" t="s">
        <v>11</v>
      </c>
      <c r="L4" s="298" t="s">
        <v>12</v>
      </c>
      <c r="M4" s="298" t="s">
        <v>13</v>
      </c>
      <c r="N4" s="298" t="s">
        <v>14</v>
      </c>
      <c r="O4" s="305"/>
      <c r="P4" s="298" t="s">
        <v>15</v>
      </c>
      <c r="Q4" s="305"/>
      <c r="R4" s="306" t="s">
        <v>16</v>
      </c>
      <c r="S4" s="307"/>
      <c r="T4" s="305" t="s">
        <v>17</v>
      </c>
      <c r="U4" s="298" t="s">
        <v>18</v>
      </c>
      <c r="V4" s="298" t="s">
        <v>19</v>
      </c>
      <c r="W4" s="298" t="s">
        <v>20</v>
      </c>
      <c r="X4" s="298" t="s">
        <v>21</v>
      </c>
      <c r="Y4" s="302" t="s">
        <v>22</v>
      </c>
      <c r="Z4" s="298" t="s">
        <v>207</v>
      </c>
      <c r="AA4" s="300" t="s">
        <v>24</v>
      </c>
      <c r="AB4" s="306" t="s">
        <v>594</v>
      </c>
      <c r="AC4" s="307"/>
      <c r="AD4" s="306" t="s">
        <v>595</v>
      </c>
      <c r="AE4" s="311"/>
      <c r="AF4" s="300" t="s">
        <v>1</v>
      </c>
    </row>
    <row r="5" spans="1:32" ht="15" customHeight="1" x14ac:dyDescent="0.25">
      <c r="A5" s="301"/>
      <c r="B5" s="299"/>
      <c r="C5" s="299"/>
      <c r="D5" s="299"/>
      <c r="E5" s="299"/>
      <c r="F5" s="299"/>
      <c r="G5" s="299"/>
      <c r="H5" s="299"/>
      <c r="I5" s="299"/>
      <c r="J5" s="303"/>
      <c r="K5" s="299"/>
      <c r="L5" s="299"/>
      <c r="M5" s="299"/>
      <c r="N5" s="298" t="s">
        <v>25</v>
      </c>
      <c r="O5" s="298" t="s">
        <v>26</v>
      </c>
      <c r="P5" s="298" t="s">
        <v>25</v>
      </c>
      <c r="Q5" s="298" t="s">
        <v>26</v>
      </c>
      <c r="R5" s="299" t="s">
        <v>27</v>
      </c>
      <c r="S5" s="299" t="s">
        <v>28</v>
      </c>
      <c r="T5" s="299"/>
      <c r="U5" s="299"/>
      <c r="V5" s="299"/>
      <c r="W5" s="299"/>
      <c r="X5" s="299"/>
      <c r="Y5" s="303"/>
      <c r="Z5" s="299"/>
      <c r="AA5" s="301"/>
      <c r="AB5" s="303" t="s">
        <v>596</v>
      </c>
      <c r="AC5" s="303" t="s">
        <v>597</v>
      </c>
      <c r="AD5" s="303" t="s">
        <v>596</v>
      </c>
      <c r="AE5" s="309" t="s">
        <v>597</v>
      </c>
      <c r="AF5" s="301"/>
    </row>
    <row r="6" spans="1:32" x14ac:dyDescent="0.25">
      <c r="A6" s="304"/>
      <c r="B6" s="299"/>
      <c r="C6" s="299"/>
      <c r="D6" s="299"/>
      <c r="E6" s="299"/>
      <c r="F6" s="299"/>
      <c r="G6" s="299"/>
      <c r="H6" s="299"/>
      <c r="I6" s="299"/>
      <c r="J6" s="303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299"/>
      <c r="W6" s="299"/>
      <c r="X6" s="299"/>
      <c r="Y6" s="303"/>
      <c r="Z6" s="299"/>
      <c r="AA6" s="301"/>
      <c r="AB6" s="303"/>
      <c r="AC6" s="303"/>
      <c r="AD6" s="303"/>
      <c r="AE6" s="310"/>
      <c r="AF6" s="304"/>
    </row>
    <row r="7" spans="1:32" s="9" customFormat="1" x14ac:dyDescent="0.25">
      <c r="A7" s="6">
        <v>45658</v>
      </c>
      <c r="B7" s="7" t="s">
        <v>598</v>
      </c>
      <c r="C7" s="7" t="s">
        <v>599</v>
      </c>
      <c r="D7" s="7"/>
      <c r="E7" s="8"/>
      <c r="F7" s="8"/>
      <c r="G7" s="8"/>
      <c r="H7" s="8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8"/>
      <c r="Z7" s="7"/>
      <c r="AA7" s="7"/>
      <c r="AB7" s="7"/>
      <c r="AC7" s="7"/>
      <c r="AD7" s="7"/>
      <c r="AE7" s="129"/>
      <c r="AF7" s="158">
        <v>45658</v>
      </c>
    </row>
    <row r="8" spans="1:32" s="13" customFormat="1" x14ac:dyDescent="0.25">
      <c r="A8" s="10">
        <v>45659</v>
      </c>
      <c r="B8" s="11" t="s">
        <v>598</v>
      </c>
      <c r="C8" s="11" t="s">
        <v>39</v>
      </c>
      <c r="D8" s="11">
        <v>44</v>
      </c>
      <c r="E8" s="12">
        <v>0.25694444444444442</v>
      </c>
      <c r="F8" s="12">
        <v>0.27083333333333331</v>
      </c>
      <c r="G8" s="12">
        <v>0.31944444444444442</v>
      </c>
      <c r="H8" s="12">
        <v>0.37986111111111109</v>
      </c>
      <c r="I8" s="12">
        <f t="shared" ref="I8:I33" si="0">H8-F8</f>
        <v>0.10902777777777778</v>
      </c>
      <c r="J8" s="11">
        <v>87</v>
      </c>
      <c r="K8" s="11" t="s">
        <v>600</v>
      </c>
      <c r="L8" s="11" t="s">
        <v>601</v>
      </c>
      <c r="M8" s="11"/>
      <c r="N8" s="12">
        <v>0.27152777777777776</v>
      </c>
      <c r="O8" s="12">
        <v>0.38194444444444442</v>
      </c>
      <c r="P8" s="11">
        <v>0</v>
      </c>
      <c r="Q8" s="11">
        <v>0</v>
      </c>
      <c r="R8" s="12">
        <v>0.27152777777777776</v>
      </c>
      <c r="S8" s="12">
        <v>0.3659722222222222</v>
      </c>
      <c r="T8" s="12">
        <v>0.27291666666666664</v>
      </c>
      <c r="U8" s="12">
        <v>0.3</v>
      </c>
      <c r="V8" s="12">
        <v>0.3</v>
      </c>
      <c r="W8" s="12">
        <v>0.3659722222222222</v>
      </c>
      <c r="X8" s="12"/>
      <c r="Y8" s="12">
        <v>4.8611111111111112E-3</v>
      </c>
      <c r="Z8" s="11" t="s">
        <v>602</v>
      </c>
      <c r="AA8" s="11" t="s">
        <v>603</v>
      </c>
      <c r="AB8" s="168">
        <v>48</v>
      </c>
      <c r="AC8" s="168"/>
      <c r="AD8" s="168"/>
      <c r="AE8" s="168">
        <v>0</v>
      </c>
      <c r="AF8" s="159">
        <v>45659</v>
      </c>
    </row>
    <row r="9" spans="1:32" x14ac:dyDescent="0.25">
      <c r="A9" s="2">
        <v>45660</v>
      </c>
      <c r="B9" s="3" t="s">
        <v>598</v>
      </c>
      <c r="C9" s="3" t="s">
        <v>35</v>
      </c>
      <c r="D9" s="3">
        <v>43</v>
      </c>
      <c r="E9" s="4">
        <v>0.25694444444444442</v>
      </c>
      <c r="F9" s="4">
        <v>0.25347222222222221</v>
      </c>
      <c r="G9" s="4">
        <v>0.31944444444444442</v>
      </c>
      <c r="H9" s="4">
        <v>0.31944444444444442</v>
      </c>
      <c r="I9" s="4">
        <f t="shared" si="0"/>
        <v>6.597222222222221E-2</v>
      </c>
      <c r="J9" s="3">
        <v>0</v>
      </c>
      <c r="K9" s="3" t="s">
        <v>354</v>
      </c>
      <c r="L9" s="3" t="s">
        <v>33</v>
      </c>
      <c r="M9" s="3"/>
      <c r="N9" s="4">
        <v>0.25277777777777777</v>
      </c>
      <c r="O9" s="4">
        <v>0.31388888888888888</v>
      </c>
      <c r="P9" s="11">
        <v>0</v>
      </c>
      <c r="Q9" s="11">
        <v>0</v>
      </c>
      <c r="R9" s="4">
        <v>0.25347222222222221</v>
      </c>
      <c r="S9" s="4">
        <v>0.31597222222222221</v>
      </c>
      <c r="T9" s="4">
        <v>0.25555555555555554</v>
      </c>
      <c r="U9" s="4">
        <v>0.28958333333333336</v>
      </c>
      <c r="V9" s="4">
        <v>0.28958333333333336</v>
      </c>
      <c r="W9" s="4">
        <v>0.30833333333333335</v>
      </c>
      <c r="X9" s="3"/>
      <c r="Y9" s="4">
        <v>0.31388888888888888</v>
      </c>
      <c r="Z9" s="3" t="s">
        <v>40</v>
      </c>
      <c r="AA9" s="3" t="s">
        <v>603</v>
      </c>
      <c r="AB9" s="169">
        <v>30</v>
      </c>
      <c r="AC9" s="169"/>
      <c r="AD9" s="169"/>
      <c r="AE9" s="169">
        <v>5</v>
      </c>
      <c r="AF9" s="160">
        <v>45660</v>
      </c>
    </row>
    <row r="10" spans="1:32" x14ac:dyDescent="0.25">
      <c r="A10" s="2">
        <v>45661</v>
      </c>
      <c r="B10" s="3" t="s">
        <v>598</v>
      </c>
      <c r="C10" s="3" t="s">
        <v>39</v>
      </c>
      <c r="D10" s="3">
        <v>44</v>
      </c>
      <c r="E10" s="4">
        <v>0.25694444444444442</v>
      </c>
      <c r="F10" s="4">
        <v>0.25347222222222221</v>
      </c>
      <c r="G10" s="4">
        <v>0.33333333333333331</v>
      </c>
      <c r="H10" s="4">
        <v>0.3298611111111111</v>
      </c>
      <c r="I10" s="4">
        <f t="shared" si="0"/>
        <v>7.6388888888888895E-2</v>
      </c>
      <c r="J10" s="3">
        <v>0</v>
      </c>
      <c r="K10" s="3" t="s">
        <v>354</v>
      </c>
      <c r="L10" s="3" t="s">
        <v>33</v>
      </c>
      <c r="M10" s="3"/>
      <c r="N10" s="4">
        <v>0.26041666666666669</v>
      </c>
      <c r="O10" s="4">
        <v>0.3298611111111111</v>
      </c>
      <c r="P10" s="11">
        <v>0</v>
      </c>
      <c r="Q10" s="11">
        <v>0</v>
      </c>
      <c r="R10" s="4">
        <v>0.2590277777777778</v>
      </c>
      <c r="S10" s="4">
        <v>0.31736111111111109</v>
      </c>
      <c r="T10" s="4">
        <v>0.26041666666666669</v>
      </c>
      <c r="U10" s="4">
        <v>0.28194444444444444</v>
      </c>
      <c r="V10" s="4">
        <v>0.28333333333333333</v>
      </c>
      <c r="W10" s="4">
        <v>0.31527777777777777</v>
      </c>
      <c r="X10" s="3"/>
      <c r="Y10" s="4">
        <v>0.3298611111111111</v>
      </c>
      <c r="Z10" s="3" t="s">
        <v>602</v>
      </c>
      <c r="AA10" s="3"/>
      <c r="AB10" s="169">
        <v>29</v>
      </c>
      <c r="AC10" s="169"/>
      <c r="AD10" s="169"/>
      <c r="AE10" s="169">
        <v>4</v>
      </c>
      <c r="AF10" s="160">
        <v>45661</v>
      </c>
    </row>
    <row r="11" spans="1:32" s="15" customFormat="1" x14ac:dyDescent="0.25">
      <c r="A11" s="6">
        <v>45662</v>
      </c>
      <c r="B11" s="7" t="s">
        <v>598</v>
      </c>
      <c r="C11" s="7" t="s">
        <v>213</v>
      </c>
      <c r="D11" s="7"/>
      <c r="E11" s="8"/>
      <c r="F11" s="8"/>
      <c r="G11" s="8"/>
      <c r="H11" s="8"/>
      <c r="I11" s="8"/>
      <c r="J11" s="7"/>
      <c r="K11" s="7"/>
      <c r="L11" s="14"/>
      <c r="M11" s="14"/>
      <c r="N11" s="14"/>
      <c r="O11" s="14"/>
      <c r="P11" s="11">
        <v>0</v>
      </c>
      <c r="Q11" s="11">
        <v>0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70"/>
      <c r="AC11" s="170"/>
      <c r="AD11" s="170"/>
      <c r="AE11" s="170"/>
      <c r="AF11" s="158">
        <v>45662</v>
      </c>
    </row>
    <row r="12" spans="1:32" x14ac:dyDescent="0.25">
      <c r="A12" s="2">
        <v>45663</v>
      </c>
      <c r="B12" s="3" t="s">
        <v>598</v>
      </c>
      <c r="C12" s="3" t="s">
        <v>38</v>
      </c>
      <c r="D12" s="3">
        <v>44</v>
      </c>
      <c r="E12" s="4">
        <v>0.16666666666666666</v>
      </c>
      <c r="F12" s="4">
        <v>0.19166666666666668</v>
      </c>
      <c r="G12" s="4">
        <v>0.22916666666666666</v>
      </c>
      <c r="H12" s="4">
        <v>0.24652777777777779</v>
      </c>
      <c r="I12" s="4">
        <f t="shared" ref="I12:I13" si="1">H12-F12</f>
        <v>5.486111111111111E-2</v>
      </c>
      <c r="J12" s="3">
        <v>25</v>
      </c>
      <c r="K12" s="3" t="s">
        <v>50</v>
      </c>
      <c r="L12" s="3" t="s">
        <v>604</v>
      </c>
      <c r="M12" s="3"/>
      <c r="N12" s="4">
        <v>0.19305555555555556</v>
      </c>
      <c r="O12" s="4">
        <v>0.24722222222222223</v>
      </c>
      <c r="P12" s="11">
        <v>0</v>
      </c>
      <c r="Q12" s="11">
        <v>0</v>
      </c>
      <c r="R12" s="4">
        <v>0.19305555555555556</v>
      </c>
      <c r="S12" s="4">
        <v>0.24374999999999999</v>
      </c>
      <c r="T12" s="4">
        <v>0.19652777777777777</v>
      </c>
      <c r="U12" s="4">
        <v>0.21666666666666667</v>
      </c>
      <c r="V12" s="4">
        <v>0.21736111111111112</v>
      </c>
      <c r="W12" s="4">
        <v>0.24305555555555555</v>
      </c>
      <c r="X12" s="3"/>
      <c r="Y12" s="4">
        <v>0.24652777777777779</v>
      </c>
      <c r="Z12" s="3" t="s">
        <v>605</v>
      </c>
      <c r="AA12" s="3"/>
      <c r="AB12" s="169">
        <v>45</v>
      </c>
      <c r="AC12" s="169"/>
      <c r="AD12" s="169"/>
      <c r="AE12" s="169">
        <v>12</v>
      </c>
      <c r="AF12" s="160">
        <v>45663</v>
      </c>
    </row>
    <row r="13" spans="1:32" x14ac:dyDescent="0.25">
      <c r="A13" s="2">
        <v>45664</v>
      </c>
      <c r="B13" s="3" t="s">
        <v>598</v>
      </c>
      <c r="C13" s="3" t="s">
        <v>39</v>
      </c>
      <c r="D13" s="3">
        <v>44</v>
      </c>
      <c r="E13" s="4">
        <v>0.21527777777777779</v>
      </c>
      <c r="F13" s="4">
        <v>0.23125000000000001</v>
      </c>
      <c r="G13" s="4">
        <v>0.27777777777777779</v>
      </c>
      <c r="H13" s="4">
        <v>0.28472222222222221</v>
      </c>
      <c r="I13" s="4">
        <f t="shared" si="1"/>
        <v>5.3472222222222199E-2</v>
      </c>
      <c r="J13" s="3">
        <v>10</v>
      </c>
      <c r="K13" s="3" t="s">
        <v>50</v>
      </c>
      <c r="L13" s="3" t="s">
        <v>604</v>
      </c>
      <c r="M13" s="3"/>
      <c r="N13" s="4">
        <v>0.2326388888888889</v>
      </c>
      <c r="O13" s="4">
        <v>0.28680555555555554</v>
      </c>
      <c r="P13" s="11">
        <v>0</v>
      </c>
      <c r="Q13" s="11">
        <v>0</v>
      </c>
      <c r="R13" s="4">
        <v>0.23125000000000001</v>
      </c>
      <c r="S13" s="4">
        <v>0.28472222222222221</v>
      </c>
      <c r="T13" s="4">
        <v>0.23958333333333334</v>
      </c>
      <c r="U13" s="4">
        <v>0.25694444444444442</v>
      </c>
      <c r="V13" s="4">
        <v>0.25763888888888886</v>
      </c>
      <c r="W13" s="4">
        <v>0.28402777777777777</v>
      </c>
      <c r="X13" s="3"/>
      <c r="Y13" s="4">
        <v>0.28472222222222221</v>
      </c>
      <c r="Z13" s="3" t="s">
        <v>602</v>
      </c>
      <c r="AA13" s="3"/>
      <c r="AB13" s="169">
        <v>34</v>
      </c>
      <c r="AC13" s="169"/>
      <c r="AD13" s="169"/>
      <c r="AE13" s="169">
        <v>12</v>
      </c>
      <c r="AF13" s="160">
        <v>45664</v>
      </c>
    </row>
    <row r="14" spans="1:32" x14ac:dyDescent="0.25">
      <c r="A14" s="2">
        <v>45665</v>
      </c>
      <c r="B14" s="3" t="s">
        <v>598</v>
      </c>
      <c r="C14" s="3" t="s">
        <v>35</v>
      </c>
      <c r="D14" s="3">
        <v>44</v>
      </c>
      <c r="E14" s="4">
        <v>0.21527777777777779</v>
      </c>
      <c r="F14" s="4">
        <v>0.21944444444444444</v>
      </c>
      <c r="G14" s="4">
        <v>0.27777777777777779</v>
      </c>
      <c r="H14" s="4">
        <v>0.27986111111111112</v>
      </c>
      <c r="I14" s="4">
        <f t="shared" si="0"/>
        <v>6.0416666666666674E-2</v>
      </c>
      <c r="J14" s="3">
        <v>0</v>
      </c>
      <c r="K14" s="3" t="s">
        <v>354</v>
      </c>
      <c r="L14" s="3" t="s">
        <v>33</v>
      </c>
      <c r="M14" s="3"/>
      <c r="N14" s="4">
        <v>0.22222222222222221</v>
      </c>
      <c r="O14" s="4">
        <v>0.28819444444444442</v>
      </c>
      <c r="P14" s="11">
        <v>0</v>
      </c>
      <c r="Q14" s="11">
        <v>0</v>
      </c>
      <c r="R14" s="4">
        <v>0.22013888888888888</v>
      </c>
      <c r="S14" s="4">
        <v>0.27569444444444446</v>
      </c>
      <c r="T14" s="4">
        <v>0.22152777777777777</v>
      </c>
      <c r="U14" s="4">
        <v>0.24652777777777779</v>
      </c>
      <c r="V14" s="4">
        <v>0.24930555555555556</v>
      </c>
      <c r="W14" s="4">
        <v>0.27569444444444446</v>
      </c>
      <c r="X14" s="3"/>
      <c r="Y14" s="4">
        <v>0.27986111111111112</v>
      </c>
      <c r="Z14" s="3" t="s">
        <v>40</v>
      </c>
      <c r="AA14" s="3"/>
      <c r="AB14" s="169">
        <v>41</v>
      </c>
      <c r="AC14" s="169"/>
      <c r="AD14" s="169"/>
      <c r="AE14" s="169">
        <v>10</v>
      </c>
      <c r="AF14" s="160">
        <v>45665</v>
      </c>
    </row>
    <row r="15" spans="1:32" x14ac:dyDescent="0.25">
      <c r="A15" s="2">
        <v>45666</v>
      </c>
      <c r="B15" s="3" t="s">
        <v>598</v>
      </c>
      <c r="C15" s="3" t="s">
        <v>48</v>
      </c>
      <c r="D15" s="3">
        <v>44</v>
      </c>
      <c r="E15" s="4">
        <v>0.21527777777777779</v>
      </c>
      <c r="F15" s="4">
        <v>0.20555555555555555</v>
      </c>
      <c r="G15" s="4">
        <v>0.27777777777777779</v>
      </c>
      <c r="H15" s="4">
        <v>0.26666666666666666</v>
      </c>
      <c r="I15" s="4">
        <f t="shared" si="0"/>
        <v>6.1111111111111116E-2</v>
      </c>
      <c r="J15" s="3">
        <v>0</v>
      </c>
      <c r="K15" s="3" t="s">
        <v>354</v>
      </c>
      <c r="L15" s="3" t="s">
        <v>33</v>
      </c>
      <c r="M15" s="3"/>
      <c r="N15" s="3" t="s">
        <v>213</v>
      </c>
      <c r="O15" s="3" t="s">
        <v>213</v>
      </c>
      <c r="P15" s="11">
        <v>0</v>
      </c>
      <c r="Q15" s="11">
        <v>0</v>
      </c>
      <c r="R15" s="4">
        <v>0.20624999999999999</v>
      </c>
      <c r="S15" s="4">
        <v>0.25</v>
      </c>
      <c r="T15" s="4">
        <v>0.20833333333333334</v>
      </c>
      <c r="U15" s="4">
        <v>0.22638888888888889</v>
      </c>
      <c r="V15" s="4">
        <v>0.23055555555555557</v>
      </c>
      <c r="W15" s="4">
        <v>0.24861111111111112</v>
      </c>
      <c r="X15" s="3"/>
      <c r="Y15" s="4">
        <v>0.26666666666666666</v>
      </c>
      <c r="Z15" s="3" t="s">
        <v>602</v>
      </c>
      <c r="AA15" s="3"/>
      <c r="AB15" s="169">
        <v>41</v>
      </c>
      <c r="AC15" s="169"/>
      <c r="AD15" s="169"/>
      <c r="AE15" s="169">
        <v>11</v>
      </c>
      <c r="AF15" s="160">
        <v>45666</v>
      </c>
    </row>
    <row r="16" spans="1:32" x14ac:dyDescent="0.25">
      <c r="A16" s="2">
        <v>45667</v>
      </c>
      <c r="B16" s="3" t="s">
        <v>598</v>
      </c>
      <c r="C16" s="3" t="s">
        <v>39</v>
      </c>
      <c r="D16" s="3">
        <v>43</v>
      </c>
      <c r="E16" s="4">
        <v>0.21527777777777779</v>
      </c>
      <c r="F16" s="4">
        <v>0.23055555555555557</v>
      </c>
      <c r="G16" s="4">
        <v>0.27777777777777779</v>
      </c>
      <c r="H16" s="4">
        <v>0.27708333333333335</v>
      </c>
      <c r="I16" s="4">
        <f t="shared" si="0"/>
        <v>4.6527777777777779E-2</v>
      </c>
      <c r="J16" s="3">
        <v>0</v>
      </c>
      <c r="K16" s="3" t="s">
        <v>354</v>
      </c>
      <c r="L16" s="3" t="s">
        <v>33</v>
      </c>
      <c r="M16" s="3"/>
      <c r="N16" s="3" t="s">
        <v>213</v>
      </c>
      <c r="O16" s="3" t="s">
        <v>213</v>
      </c>
      <c r="P16" s="11">
        <v>0</v>
      </c>
      <c r="Q16" s="11">
        <v>0</v>
      </c>
      <c r="R16" s="4">
        <v>0.23055555555555557</v>
      </c>
      <c r="S16" s="4">
        <v>0.27569444444444446</v>
      </c>
      <c r="T16" s="4">
        <v>0.23402777777777778</v>
      </c>
      <c r="U16" s="4">
        <v>0.25486111111111109</v>
      </c>
      <c r="V16" s="4">
        <v>0.25763888888888886</v>
      </c>
      <c r="W16" s="4">
        <v>0.27361111111111114</v>
      </c>
      <c r="X16" s="3"/>
      <c r="Y16" s="4">
        <v>0.27708333333333335</v>
      </c>
      <c r="Z16" s="3" t="s">
        <v>602</v>
      </c>
      <c r="AA16" s="3"/>
      <c r="AB16" s="169">
        <v>35</v>
      </c>
      <c r="AC16" s="169"/>
      <c r="AD16" s="169"/>
      <c r="AE16" s="169">
        <v>12</v>
      </c>
      <c r="AF16" s="160">
        <v>45667</v>
      </c>
    </row>
    <row r="17" spans="1:32" x14ac:dyDescent="0.25">
      <c r="A17" s="2">
        <v>45668</v>
      </c>
      <c r="B17" s="3" t="s">
        <v>598</v>
      </c>
      <c r="C17" s="3" t="s">
        <v>46</v>
      </c>
      <c r="D17" s="3">
        <v>42</v>
      </c>
      <c r="E17" s="4">
        <v>0.25694444444444442</v>
      </c>
      <c r="F17" s="4">
        <v>0.2326388888888889</v>
      </c>
      <c r="G17" s="4">
        <v>0.31944444444444442</v>
      </c>
      <c r="H17" s="4">
        <v>0.30694444444444446</v>
      </c>
      <c r="I17" s="4">
        <f t="shared" si="0"/>
        <v>7.4305555555555569E-2</v>
      </c>
      <c r="J17" s="3">
        <v>0</v>
      </c>
      <c r="K17" s="3" t="s">
        <v>354</v>
      </c>
      <c r="L17" s="3" t="s">
        <v>33</v>
      </c>
      <c r="M17" s="3"/>
      <c r="N17" s="4">
        <v>0.22222222222222221</v>
      </c>
      <c r="O17" s="4">
        <v>0.2986111111111111</v>
      </c>
      <c r="P17" s="11">
        <v>0</v>
      </c>
      <c r="Q17" s="11">
        <v>0</v>
      </c>
      <c r="R17" s="4">
        <v>0.23541666666666666</v>
      </c>
      <c r="S17" s="4">
        <v>0.29444444444444445</v>
      </c>
      <c r="T17" s="4">
        <v>0.2388888888888889</v>
      </c>
      <c r="U17" s="4">
        <v>0.26944444444444443</v>
      </c>
      <c r="V17" s="4">
        <v>0.27916666666666667</v>
      </c>
      <c r="W17" s="4">
        <v>0.2902777777777778</v>
      </c>
      <c r="X17" s="3"/>
      <c r="Y17" s="4">
        <v>0.2986111111111111</v>
      </c>
      <c r="Z17" s="3" t="s">
        <v>602</v>
      </c>
      <c r="AA17" s="3"/>
      <c r="AB17" s="169">
        <v>48</v>
      </c>
      <c r="AC17" s="169"/>
      <c r="AD17" s="169"/>
      <c r="AE17" s="169">
        <v>1</v>
      </c>
      <c r="AF17" s="160">
        <v>45668</v>
      </c>
    </row>
    <row r="18" spans="1:32" s="15" customFormat="1" x14ac:dyDescent="0.25">
      <c r="A18" s="6">
        <v>45669</v>
      </c>
      <c r="B18" s="7" t="s">
        <v>598</v>
      </c>
      <c r="C18" s="7" t="s">
        <v>213</v>
      </c>
      <c r="D18" s="7"/>
      <c r="E18" s="7"/>
      <c r="F18" s="7"/>
      <c r="G18" s="7"/>
      <c r="H18" s="7"/>
      <c r="I18" s="8">
        <f t="shared" si="0"/>
        <v>0</v>
      </c>
      <c r="J18" s="7"/>
      <c r="K18" s="7"/>
      <c r="L18" s="14"/>
      <c r="M18" s="14"/>
      <c r="N18" s="14"/>
      <c r="O18" s="14"/>
      <c r="P18" s="11">
        <v>0</v>
      </c>
      <c r="Q18" s="11">
        <v>0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70"/>
      <c r="AC18" s="170"/>
      <c r="AD18" s="170"/>
      <c r="AE18" s="170"/>
      <c r="AF18" s="158">
        <v>45669</v>
      </c>
    </row>
    <row r="19" spans="1:32" x14ac:dyDescent="0.25">
      <c r="A19" s="2">
        <v>45670</v>
      </c>
      <c r="B19" s="3" t="s">
        <v>598</v>
      </c>
      <c r="C19" s="3" t="s">
        <v>48</v>
      </c>
      <c r="D19" s="3">
        <v>43</v>
      </c>
      <c r="E19" s="4">
        <v>0.16666666666666666</v>
      </c>
      <c r="F19" s="4">
        <v>0.17083333333333334</v>
      </c>
      <c r="G19" s="4">
        <v>0.21111111111111111</v>
      </c>
      <c r="H19" s="4">
        <v>0.2361111111111111</v>
      </c>
      <c r="I19" s="4">
        <f t="shared" si="0"/>
        <v>6.5277777777777768E-2</v>
      </c>
      <c r="J19" s="2" t="s">
        <v>606</v>
      </c>
      <c r="K19" s="3" t="s">
        <v>607</v>
      </c>
      <c r="L19" s="3" t="s">
        <v>608</v>
      </c>
      <c r="M19" s="3"/>
      <c r="N19" s="4">
        <v>0.1701388888888889</v>
      </c>
      <c r="O19" s="4">
        <v>0.2361111111111111</v>
      </c>
      <c r="P19" s="11">
        <v>0</v>
      </c>
      <c r="Q19" s="11">
        <v>0</v>
      </c>
      <c r="R19" s="4">
        <v>0.17083333333333334</v>
      </c>
      <c r="S19" s="4">
        <v>0.23194444444444445</v>
      </c>
      <c r="T19" s="4">
        <v>0.17430555555555555</v>
      </c>
      <c r="U19" s="4">
        <v>0.20624999999999999</v>
      </c>
      <c r="V19" s="4">
        <v>0.2076388888888889</v>
      </c>
      <c r="W19" s="4">
        <v>0.23194444444444445</v>
      </c>
      <c r="X19" s="3"/>
      <c r="Y19" s="4">
        <v>0.2361111111111111</v>
      </c>
      <c r="Z19" s="3" t="s">
        <v>40</v>
      </c>
      <c r="AA19" s="3"/>
      <c r="AB19" s="169">
        <v>46</v>
      </c>
      <c r="AC19" s="169"/>
      <c r="AD19" s="169"/>
      <c r="AE19" s="169">
        <v>16</v>
      </c>
      <c r="AF19" s="160">
        <v>45670</v>
      </c>
    </row>
    <row r="20" spans="1:32" x14ac:dyDescent="0.25">
      <c r="A20" s="2">
        <v>45671</v>
      </c>
      <c r="B20" s="3" t="s">
        <v>598</v>
      </c>
      <c r="C20" s="3" t="s">
        <v>38</v>
      </c>
      <c r="D20" s="3">
        <v>44</v>
      </c>
      <c r="E20" s="4">
        <v>0.21527777777777779</v>
      </c>
      <c r="F20" s="4">
        <v>0.1986111111111111</v>
      </c>
      <c r="G20" s="4">
        <v>0.27777777777777779</v>
      </c>
      <c r="H20" s="4">
        <v>0.26944444444444443</v>
      </c>
      <c r="I20" s="4">
        <f t="shared" si="0"/>
        <v>7.0833333333333331E-2</v>
      </c>
      <c r="J20" s="3">
        <v>0</v>
      </c>
      <c r="K20" s="3" t="s">
        <v>354</v>
      </c>
      <c r="L20" s="3" t="s">
        <v>33</v>
      </c>
      <c r="M20" s="3"/>
      <c r="N20" s="4">
        <v>0.2013888888888889</v>
      </c>
      <c r="O20" s="4">
        <v>0.2673611111111111</v>
      </c>
      <c r="P20" s="11">
        <v>0</v>
      </c>
      <c r="Q20" s="11">
        <v>0</v>
      </c>
      <c r="R20" s="4">
        <v>0.19930555555555557</v>
      </c>
      <c r="S20" s="4">
        <v>0.2673611111111111</v>
      </c>
      <c r="T20" s="4">
        <v>0.20277777777777778</v>
      </c>
      <c r="U20" s="4">
        <v>0.23541666666666666</v>
      </c>
      <c r="V20" s="4">
        <v>0.23541666666666666</v>
      </c>
      <c r="W20" s="4">
        <v>0.26666666666666666</v>
      </c>
      <c r="X20" s="3"/>
      <c r="Y20" s="4">
        <v>0.26944444444444443</v>
      </c>
      <c r="Z20" s="3" t="s">
        <v>40</v>
      </c>
      <c r="AA20" s="3"/>
      <c r="AB20" s="169">
        <v>45</v>
      </c>
      <c r="AC20" s="169"/>
      <c r="AD20" s="169"/>
      <c r="AE20" s="169">
        <v>16</v>
      </c>
      <c r="AF20" s="160">
        <v>45671</v>
      </c>
    </row>
    <row r="21" spans="1:32" x14ac:dyDescent="0.25">
      <c r="A21" s="2">
        <v>45672</v>
      </c>
      <c r="B21" s="3" t="s">
        <v>598</v>
      </c>
      <c r="C21" s="3" t="s">
        <v>39</v>
      </c>
      <c r="D21" s="3">
        <v>44</v>
      </c>
      <c r="E21" s="4">
        <v>0.21527777777777779</v>
      </c>
      <c r="F21" s="4">
        <v>0.23055555555555557</v>
      </c>
      <c r="G21" s="4">
        <v>0.27777777777777779</v>
      </c>
      <c r="H21" s="4">
        <v>0.28263888888888888</v>
      </c>
      <c r="I21" s="4">
        <f t="shared" si="0"/>
        <v>5.2083333333333315E-2</v>
      </c>
      <c r="J21" s="5">
        <v>7</v>
      </c>
      <c r="K21" s="3" t="s">
        <v>609</v>
      </c>
      <c r="L21" s="3" t="s">
        <v>604</v>
      </c>
      <c r="M21" s="3"/>
      <c r="N21" s="4">
        <v>0.2326388888888889</v>
      </c>
      <c r="O21" s="4">
        <v>0.28125</v>
      </c>
      <c r="P21" s="11">
        <v>0</v>
      </c>
      <c r="Q21" s="11">
        <v>0</v>
      </c>
      <c r="R21" s="4">
        <v>0.23194444444444445</v>
      </c>
      <c r="S21" s="4">
        <v>0.27847222222222223</v>
      </c>
      <c r="T21" s="4">
        <v>0.23541666666666666</v>
      </c>
      <c r="U21" s="4">
        <v>0.25555555555555554</v>
      </c>
      <c r="V21" s="4">
        <v>0.2590277777777778</v>
      </c>
      <c r="W21" s="4">
        <v>0.27777777777777779</v>
      </c>
      <c r="X21" s="3"/>
      <c r="Y21" s="4">
        <v>0.28263888888888888</v>
      </c>
      <c r="Z21" s="3" t="s">
        <v>602</v>
      </c>
      <c r="AA21" s="3"/>
      <c r="AB21" s="3">
        <v>40</v>
      </c>
      <c r="AC21" s="3"/>
      <c r="AD21" s="3"/>
      <c r="AE21" s="3">
        <v>16</v>
      </c>
      <c r="AF21" s="160">
        <v>45672</v>
      </c>
    </row>
    <row r="22" spans="1:32" x14ac:dyDescent="0.25">
      <c r="A22" s="2">
        <v>45673</v>
      </c>
      <c r="B22" s="3" t="s">
        <v>598</v>
      </c>
      <c r="C22" s="3" t="s">
        <v>46</v>
      </c>
      <c r="D22" s="3">
        <v>44</v>
      </c>
      <c r="E22" s="4">
        <v>0.21527777777777779</v>
      </c>
      <c r="F22" s="4">
        <v>0.26041666666666669</v>
      </c>
      <c r="G22" s="4">
        <v>0.27777777777777779</v>
      </c>
      <c r="H22" s="4">
        <v>0.31736111111111109</v>
      </c>
      <c r="I22" s="4">
        <f t="shared" si="0"/>
        <v>5.6944444444444409E-2</v>
      </c>
      <c r="J22" s="3" t="s">
        <v>610</v>
      </c>
      <c r="K22" s="3" t="s">
        <v>611</v>
      </c>
      <c r="L22" s="3" t="s">
        <v>604</v>
      </c>
      <c r="M22" s="3"/>
      <c r="N22" s="3" t="s">
        <v>213</v>
      </c>
      <c r="O22" s="3" t="s">
        <v>213</v>
      </c>
      <c r="P22" s="11">
        <v>0</v>
      </c>
      <c r="Q22" s="11">
        <v>0</v>
      </c>
      <c r="R22" s="4">
        <v>0.26111111111111113</v>
      </c>
      <c r="S22" s="4">
        <v>0.31388888888888888</v>
      </c>
      <c r="T22" s="4">
        <v>0.26458333333333334</v>
      </c>
      <c r="U22" s="4">
        <v>0.29166666666666669</v>
      </c>
      <c r="V22" s="4">
        <v>0.29166666666666669</v>
      </c>
      <c r="W22" s="4">
        <v>0.31319444444444444</v>
      </c>
      <c r="X22" s="3"/>
      <c r="Y22" s="4">
        <v>0.31736111111111109</v>
      </c>
      <c r="Z22" s="3" t="s">
        <v>602</v>
      </c>
      <c r="AA22" s="3"/>
      <c r="AB22" s="3">
        <v>29</v>
      </c>
      <c r="AC22" s="3"/>
      <c r="AD22" s="3"/>
      <c r="AE22" s="3">
        <v>14</v>
      </c>
      <c r="AF22" s="160">
        <v>45673</v>
      </c>
    </row>
    <row r="23" spans="1:32" x14ac:dyDescent="0.25">
      <c r="A23" s="2">
        <v>45674</v>
      </c>
      <c r="B23" s="3" t="s">
        <v>598</v>
      </c>
      <c r="C23" s="3" t="s">
        <v>35</v>
      </c>
      <c r="D23" s="3">
        <v>44</v>
      </c>
      <c r="E23" s="4">
        <v>0.21527777777777779</v>
      </c>
      <c r="F23" s="4">
        <v>0.20902777777777778</v>
      </c>
      <c r="G23" s="4">
        <v>0.27777777777777779</v>
      </c>
      <c r="H23" s="4">
        <v>0.2673611111111111</v>
      </c>
      <c r="I23" s="4">
        <f t="shared" si="0"/>
        <v>5.833333333333332E-2</v>
      </c>
      <c r="J23" s="3">
        <v>0</v>
      </c>
      <c r="K23" s="3" t="s">
        <v>354</v>
      </c>
      <c r="L23" s="3" t="s">
        <v>33</v>
      </c>
      <c r="M23" s="3"/>
      <c r="N23" s="4">
        <v>0.2048611111111111</v>
      </c>
      <c r="O23" s="4">
        <v>0.2673611111111111</v>
      </c>
      <c r="P23" s="11">
        <v>0</v>
      </c>
      <c r="Q23" s="11">
        <v>0</v>
      </c>
      <c r="R23" s="4">
        <v>0.20902777777777778</v>
      </c>
      <c r="S23" s="4">
        <v>0.26319444444444445</v>
      </c>
      <c r="T23" s="4">
        <v>0.21180555555555555</v>
      </c>
      <c r="U23" s="4">
        <v>0.23958333333333334</v>
      </c>
      <c r="V23" s="4">
        <v>0.24305555555555555</v>
      </c>
      <c r="W23" s="4">
        <v>0.26250000000000001</v>
      </c>
      <c r="X23" s="3"/>
      <c r="Y23" s="4">
        <v>0.2673611111111111</v>
      </c>
      <c r="Z23" s="3" t="s">
        <v>602</v>
      </c>
      <c r="AA23" s="3"/>
      <c r="AB23" s="3">
        <v>43</v>
      </c>
      <c r="AC23" s="3"/>
      <c r="AD23" s="3"/>
      <c r="AE23" s="3">
        <v>13</v>
      </c>
      <c r="AF23" s="160">
        <v>45674</v>
      </c>
    </row>
    <row r="24" spans="1:32" x14ac:dyDescent="0.25">
      <c r="A24" s="2">
        <v>45675</v>
      </c>
      <c r="B24" s="3" t="s">
        <v>598</v>
      </c>
      <c r="C24" s="3" t="s">
        <v>38</v>
      </c>
      <c r="D24" s="3">
        <v>42</v>
      </c>
      <c r="E24" s="4">
        <v>0.25694444444444442</v>
      </c>
      <c r="F24" s="4">
        <v>0.26527777777777778</v>
      </c>
      <c r="G24" s="4">
        <v>0.31944444444444442</v>
      </c>
      <c r="H24" s="4">
        <v>0.32013888888888886</v>
      </c>
      <c r="I24" s="4">
        <f t="shared" si="0"/>
        <v>5.4861111111111083E-2</v>
      </c>
      <c r="J24" s="3">
        <v>0</v>
      </c>
      <c r="K24" s="3" t="s">
        <v>354</v>
      </c>
      <c r="L24" s="3" t="s">
        <v>33</v>
      </c>
      <c r="M24" s="3"/>
      <c r="N24" s="4">
        <v>0.26597222222222222</v>
      </c>
      <c r="O24" s="4">
        <v>0.32291666666666669</v>
      </c>
      <c r="P24" s="3">
        <v>0</v>
      </c>
      <c r="Q24" s="11">
        <v>0</v>
      </c>
      <c r="R24" s="4">
        <v>0.26527777777777778</v>
      </c>
      <c r="S24" s="4">
        <v>0.31944444444444442</v>
      </c>
      <c r="T24" s="4">
        <v>0.26597222222222222</v>
      </c>
      <c r="U24" s="4">
        <v>0.29236111111111113</v>
      </c>
      <c r="V24" s="4">
        <v>0.29236111111111113</v>
      </c>
      <c r="W24" s="4">
        <v>0.31874999999999998</v>
      </c>
      <c r="X24" s="3"/>
      <c r="Y24" s="4">
        <v>0.32013888888888886</v>
      </c>
      <c r="Z24" s="3" t="s">
        <v>40</v>
      </c>
      <c r="AA24" s="3"/>
      <c r="AB24" s="3">
        <v>39</v>
      </c>
      <c r="AC24" s="3"/>
      <c r="AD24" s="3"/>
      <c r="AE24" s="3">
        <v>6</v>
      </c>
      <c r="AF24" s="160">
        <v>45675</v>
      </c>
    </row>
    <row r="25" spans="1:32" s="15" customFormat="1" ht="16.5" customHeight="1" x14ac:dyDescent="0.25">
      <c r="A25" s="6">
        <v>45676</v>
      </c>
      <c r="B25" s="7" t="s">
        <v>598</v>
      </c>
      <c r="C25" s="7" t="s">
        <v>213</v>
      </c>
      <c r="D25" s="7"/>
      <c r="E25" s="7"/>
      <c r="F25" s="7"/>
      <c r="G25" s="7"/>
      <c r="H25" s="7"/>
      <c r="I25" s="8">
        <f t="shared" si="0"/>
        <v>0</v>
      </c>
      <c r="J25" s="7"/>
      <c r="K25" s="7"/>
      <c r="L25" s="16"/>
      <c r="M25" s="14"/>
      <c r="N25" s="14"/>
      <c r="O25" s="14"/>
      <c r="P25" s="3">
        <v>0</v>
      </c>
      <c r="Q25" s="11">
        <v>0</v>
      </c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58">
        <v>45676</v>
      </c>
    </row>
    <row r="26" spans="1:32" x14ac:dyDescent="0.25">
      <c r="A26" s="2">
        <v>45677</v>
      </c>
      <c r="B26" s="3" t="s">
        <v>598</v>
      </c>
      <c r="C26" s="3" t="s">
        <v>35</v>
      </c>
      <c r="D26" s="3">
        <v>42</v>
      </c>
      <c r="E26" s="4">
        <v>0.1736111111111111</v>
      </c>
      <c r="F26" s="4">
        <v>0.19513888888888889</v>
      </c>
      <c r="G26" s="4">
        <v>0.22916666666666666</v>
      </c>
      <c r="H26" s="4">
        <v>0.25486111111111109</v>
      </c>
      <c r="I26" s="4">
        <f t="shared" si="0"/>
        <v>5.9722222222222204E-2</v>
      </c>
      <c r="J26" s="3" t="s">
        <v>612</v>
      </c>
      <c r="K26" s="3" t="s">
        <v>548</v>
      </c>
      <c r="L26" s="3" t="s">
        <v>613</v>
      </c>
      <c r="M26" s="3"/>
      <c r="N26" s="4">
        <v>0.19513888888888889</v>
      </c>
      <c r="O26" s="4">
        <v>0.25694444444444442</v>
      </c>
      <c r="P26" s="3">
        <v>0</v>
      </c>
      <c r="Q26" s="11">
        <v>0</v>
      </c>
      <c r="R26" s="4">
        <v>0.19513888888888889</v>
      </c>
      <c r="S26" s="4">
        <v>0.25208333333333333</v>
      </c>
      <c r="T26" s="4">
        <v>0.19791666666666666</v>
      </c>
      <c r="U26" s="4">
        <v>0.22569444444444445</v>
      </c>
      <c r="V26" s="4">
        <v>0.22708333333333333</v>
      </c>
      <c r="W26" s="4">
        <v>0.25138888888888888</v>
      </c>
      <c r="X26" s="3"/>
      <c r="Y26" s="4">
        <v>0.25486111111111109</v>
      </c>
      <c r="Z26" s="3" t="s">
        <v>97</v>
      </c>
      <c r="AA26" s="3"/>
      <c r="AB26" s="3">
        <v>36</v>
      </c>
      <c r="AC26" s="3"/>
      <c r="AD26" s="3"/>
      <c r="AE26" s="3">
        <v>13</v>
      </c>
      <c r="AF26" s="160">
        <v>45677</v>
      </c>
    </row>
    <row r="27" spans="1:32" x14ac:dyDescent="0.25">
      <c r="A27" s="2">
        <v>45678</v>
      </c>
      <c r="B27" s="3" t="s">
        <v>598</v>
      </c>
      <c r="C27" s="3" t="s">
        <v>46</v>
      </c>
      <c r="D27" s="3">
        <v>43</v>
      </c>
      <c r="E27" s="4">
        <v>0.21527777777777779</v>
      </c>
      <c r="F27" s="4">
        <v>0.20902777777777778</v>
      </c>
      <c r="G27" s="4">
        <v>0.27777777777777779</v>
      </c>
      <c r="H27" s="4">
        <v>0.2673611111111111</v>
      </c>
      <c r="I27" s="4">
        <f t="shared" si="0"/>
        <v>5.833333333333332E-2</v>
      </c>
      <c r="J27" s="3">
        <v>0</v>
      </c>
      <c r="K27" s="3">
        <v>0</v>
      </c>
      <c r="L27" s="3" t="s">
        <v>33</v>
      </c>
      <c r="M27" s="3"/>
      <c r="N27" s="4">
        <v>0.21111111111111111</v>
      </c>
      <c r="O27" s="4">
        <v>0.2638888888888889</v>
      </c>
      <c r="P27" s="3">
        <v>0</v>
      </c>
      <c r="Q27" s="11">
        <v>0</v>
      </c>
      <c r="R27" s="4">
        <v>0.21041666666666667</v>
      </c>
      <c r="S27" s="4">
        <v>0.26111111111111113</v>
      </c>
      <c r="T27" s="4">
        <v>0.21180555555555555</v>
      </c>
      <c r="U27" s="4">
        <v>0.2361111111111111</v>
      </c>
      <c r="V27" s="4">
        <v>0.23819444444444443</v>
      </c>
      <c r="W27" s="4">
        <v>0.26041666666666669</v>
      </c>
      <c r="X27" s="3"/>
      <c r="Y27" s="4">
        <v>0.26250000000000001</v>
      </c>
      <c r="Z27" s="3" t="s">
        <v>97</v>
      </c>
      <c r="AA27" s="3" t="s">
        <v>614</v>
      </c>
      <c r="AB27" s="3">
        <v>45</v>
      </c>
      <c r="AC27" s="3"/>
      <c r="AD27" s="3"/>
      <c r="AE27" s="3">
        <v>10</v>
      </c>
      <c r="AF27" s="160">
        <v>45678</v>
      </c>
    </row>
    <row r="28" spans="1:32" x14ac:dyDescent="0.25">
      <c r="A28" s="2">
        <v>45679</v>
      </c>
      <c r="B28" s="3" t="s">
        <v>598</v>
      </c>
      <c r="C28" s="3" t="s">
        <v>38</v>
      </c>
      <c r="D28" s="3">
        <v>43</v>
      </c>
      <c r="E28" s="4">
        <v>0.21527777777777779</v>
      </c>
      <c r="F28" s="4">
        <v>0.2048611111111111</v>
      </c>
      <c r="G28" s="4">
        <v>0.27777777777777779</v>
      </c>
      <c r="H28" s="4">
        <v>0.26597222222222222</v>
      </c>
      <c r="I28" s="4">
        <f t="shared" si="0"/>
        <v>6.1111111111111116E-2</v>
      </c>
      <c r="J28" s="3">
        <v>0</v>
      </c>
      <c r="K28" s="3">
        <v>0</v>
      </c>
      <c r="L28" s="3" t="s">
        <v>33</v>
      </c>
      <c r="M28" s="3"/>
      <c r="N28" s="4">
        <v>0.20624999999999999</v>
      </c>
      <c r="O28" s="4">
        <v>0.26319444444444445</v>
      </c>
      <c r="P28" s="3">
        <v>0</v>
      </c>
      <c r="Q28" s="11">
        <v>0</v>
      </c>
      <c r="R28" s="4">
        <v>0.21041666666666667</v>
      </c>
      <c r="S28" s="4">
        <v>0.25486111111111109</v>
      </c>
      <c r="T28" s="4">
        <v>0.21180555555555555</v>
      </c>
      <c r="U28" s="4">
        <v>0.2298611111111111</v>
      </c>
      <c r="V28" s="4">
        <v>0.23055555555555557</v>
      </c>
      <c r="W28" s="4">
        <v>0.25347222222222221</v>
      </c>
      <c r="X28" s="3"/>
      <c r="Y28" s="4">
        <v>0.26180555555555557</v>
      </c>
      <c r="Z28" s="3" t="s">
        <v>97</v>
      </c>
      <c r="AA28" s="3"/>
      <c r="AB28" s="3">
        <v>41</v>
      </c>
      <c r="AC28" s="3"/>
      <c r="AD28" s="3"/>
      <c r="AE28" s="3">
        <v>6</v>
      </c>
      <c r="AF28" s="160">
        <v>45679</v>
      </c>
    </row>
    <row r="29" spans="1:32" x14ac:dyDescent="0.25">
      <c r="A29" s="2">
        <v>45680</v>
      </c>
      <c r="B29" s="3" t="s">
        <v>598</v>
      </c>
      <c r="C29" s="3" t="s">
        <v>48</v>
      </c>
      <c r="D29" s="3">
        <v>45</v>
      </c>
      <c r="E29" s="4">
        <v>0.21527777777777779</v>
      </c>
      <c r="F29" s="4">
        <v>0.21111111111111111</v>
      </c>
      <c r="G29" s="4">
        <v>0.27777777777777779</v>
      </c>
      <c r="H29" s="4">
        <v>0.26805555555555555</v>
      </c>
      <c r="I29" s="4">
        <f t="shared" si="0"/>
        <v>5.6944444444444436E-2</v>
      </c>
      <c r="J29" s="3">
        <v>0</v>
      </c>
      <c r="K29" s="3">
        <v>0</v>
      </c>
      <c r="L29" s="3" t="s">
        <v>33</v>
      </c>
      <c r="M29" s="3"/>
      <c r="N29" s="4">
        <v>0.21180555555555555</v>
      </c>
      <c r="O29" s="4">
        <v>0.26874999999999999</v>
      </c>
      <c r="P29" s="3">
        <v>0</v>
      </c>
      <c r="Q29" s="11">
        <v>0</v>
      </c>
      <c r="R29" s="4">
        <v>0.21180555555555555</v>
      </c>
      <c r="S29" s="4">
        <v>0.26180555555555557</v>
      </c>
      <c r="T29" s="4">
        <v>0.21527777777777779</v>
      </c>
      <c r="U29" s="4">
        <v>0.2388888888888889</v>
      </c>
      <c r="V29" s="4">
        <v>0.23958333333333334</v>
      </c>
      <c r="W29" s="4">
        <v>0.26111111111111113</v>
      </c>
      <c r="X29" s="3"/>
      <c r="Y29" s="4">
        <v>0.26805555555555555</v>
      </c>
      <c r="Z29" s="3" t="s">
        <v>97</v>
      </c>
      <c r="AA29" s="3" t="s">
        <v>615</v>
      </c>
      <c r="AB29" s="3">
        <v>48</v>
      </c>
      <c r="AC29" s="3"/>
      <c r="AD29" s="3"/>
      <c r="AE29" s="3">
        <v>10</v>
      </c>
      <c r="AF29" s="160">
        <v>45680</v>
      </c>
    </row>
    <row r="30" spans="1:32" x14ac:dyDescent="0.25">
      <c r="A30" s="2">
        <v>45681</v>
      </c>
      <c r="B30" s="3" t="s">
        <v>598</v>
      </c>
      <c r="C30" s="3" t="s">
        <v>38</v>
      </c>
      <c r="D30" s="3">
        <v>43</v>
      </c>
      <c r="E30" s="4">
        <v>0.21527777777777779</v>
      </c>
      <c r="F30" s="4">
        <v>0.20972222222222223</v>
      </c>
      <c r="G30" s="4">
        <v>0.27777777777777779</v>
      </c>
      <c r="H30" s="4">
        <v>0.27777777777777779</v>
      </c>
      <c r="I30" s="4">
        <f t="shared" si="0"/>
        <v>6.8055555555555564E-2</v>
      </c>
      <c r="J30" s="3">
        <v>0</v>
      </c>
      <c r="K30" s="3">
        <v>0</v>
      </c>
      <c r="L30" s="3" t="s">
        <v>33</v>
      </c>
      <c r="M30" s="3"/>
      <c r="N30" s="4">
        <v>0.21111111111111111</v>
      </c>
      <c r="O30" s="4">
        <v>0.2722222222222222</v>
      </c>
      <c r="P30" s="3">
        <v>0</v>
      </c>
      <c r="Q30" s="11">
        <v>0</v>
      </c>
      <c r="R30" s="4">
        <v>0.21041666666666667</v>
      </c>
      <c r="S30" s="4">
        <v>0.26250000000000001</v>
      </c>
      <c r="T30" s="4">
        <v>0.21249999999999999</v>
      </c>
      <c r="U30" s="4">
        <v>0.23472222222222222</v>
      </c>
      <c r="V30" s="4">
        <v>0.23541666666666666</v>
      </c>
      <c r="W30" s="4">
        <v>0.26111111111111113</v>
      </c>
      <c r="X30" s="4">
        <v>0.21875</v>
      </c>
      <c r="Y30" s="4">
        <v>0.2722222222222222</v>
      </c>
      <c r="Z30" s="3" t="s">
        <v>97</v>
      </c>
      <c r="AA30" s="3"/>
      <c r="AB30" s="3">
        <v>38</v>
      </c>
      <c r="AC30" s="3"/>
      <c r="AD30" s="3"/>
      <c r="AE30" s="3">
        <v>6</v>
      </c>
      <c r="AF30" s="160">
        <v>45681</v>
      </c>
    </row>
    <row r="31" spans="1:32" x14ac:dyDescent="0.25">
      <c r="A31" s="2">
        <v>45682</v>
      </c>
      <c r="B31" s="3" t="s">
        <v>598</v>
      </c>
      <c r="C31" s="3" t="s">
        <v>48</v>
      </c>
      <c r="D31" s="3">
        <v>43</v>
      </c>
      <c r="E31" s="4">
        <v>0.25694444444444442</v>
      </c>
      <c r="F31" s="4">
        <v>0.25486111111111109</v>
      </c>
      <c r="G31" s="4">
        <v>0.31944444444444442</v>
      </c>
      <c r="H31" s="4">
        <v>0.31319444444444444</v>
      </c>
      <c r="I31" s="4">
        <f t="shared" si="0"/>
        <v>5.8333333333333348E-2</v>
      </c>
      <c r="J31" s="3">
        <v>0</v>
      </c>
      <c r="K31" s="3">
        <v>0</v>
      </c>
      <c r="L31" s="3" t="s">
        <v>33</v>
      </c>
      <c r="M31" s="3"/>
      <c r="N31" s="4">
        <v>0.25624999999999998</v>
      </c>
      <c r="O31" s="4">
        <v>0.31388888888888888</v>
      </c>
      <c r="P31" s="3">
        <v>0</v>
      </c>
      <c r="Q31" s="11">
        <v>0</v>
      </c>
      <c r="R31" s="4">
        <v>0.25624999999999998</v>
      </c>
      <c r="S31" s="3"/>
      <c r="T31" s="4">
        <v>0.25972222222222224</v>
      </c>
      <c r="U31" s="4">
        <v>0.28263888888888888</v>
      </c>
      <c r="V31" s="4">
        <v>0.28402777777777777</v>
      </c>
      <c r="W31" s="4">
        <v>0.3034722222222222</v>
      </c>
      <c r="X31" s="4">
        <v>0.2673611111111111</v>
      </c>
      <c r="Y31" s="4">
        <v>0.31319444444444444</v>
      </c>
      <c r="Z31" s="3" t="s">
        <v>97</v>
      </c>
      <c r="AA31" s="3"/>
      <c r="AB31" s="3">
        <v>33</v>
      </c>
      <c r="AC31" s="3"/>
      <c r="AD31" s="3"/>
      <c r="AE31" s="3">
        <v>10</v>
      </c>
      <c r="AF31" s="160">
        <v>45682</v>
      </c>
    </row>
    <row r="32" spans="1:32" x14ac:dyDescent="0.25">
      <c r="A32" s="2">
        <v>45684</v>
      </c>
      <c r="B32" s="3" t="s">
        <v>598</v>
      </c>
      <c r="C32" s="3" t="s">
        <v>35</v>
      </c>
      <c r="D32" s="3">
        <v>44</v>
      </c>
      <c r="E32" s="4">
        <v>0.1736111111111111</v>
      </c>
      <c r="F32" s="4">
        <v>0.19513888888888889</v>
      </c>
      <c r="G32" s="4">
        <v>0.22916666666666666</v>
      </c>
      <c r="H32" s="4">
        <v>0.25624999999999998</v>
      </c>
      <c r="I32" s="4">
        <f t="shared" si="0"/>
        <v>6.1111111111111088E-2</v>
      </c>
      <c r="J32" s="3" t="s">
        <v>616</v>
      </c>
      <c r="K32" s="3" t="s">
        <v>382</v>
      </c>
      <c r="L32" s="3" t="s">
        <v>617</v>
      </c>
      <c r="M32" s="3"/>
      <c r="N32" s="4">
        <v>0.19583333333333333</v>
      </c>
      <c r="O32" s="4">
        <v>0.25347222222222221</v>
      </c>
      <c r="P32" s="3">
        <v>0</v>
      </c>
      <c r="Q32" s="11">
        <v>0</v>
      </c>
      <c r="R32" s="4">
        <v>0.19513888888888889</v>
      </c>
      <c r="S32" s="4">
        <v>0.25069444444444444</v>
      </c>
      <c r="T32" s="4">
        <v>0.2</v>
      </c>
      <c r="U32" s="4">
        <v>0.22916666666666666</v>
      </c>
      <c r="V32" s="4">
        <v>0.23125000000000001</v>
      </c>
      <c r="W32" s="4">
        <v>0.24930555555555556</v>
      </c>
      <c r="X32" s="4">
        <v>0.21180555555555555</v>
      </c>
      <c r="Y32" s="4">
        <v>0.25277777777777777</v>
      </c>
      <c r="Z32" s="3" t="s">
        <v>602</v>
      </c>
      <c r="AA32" s="3"/>
      <c r="AB32" s="3">
        <v>38</v>
      </c>
      <c r="AC32" s="3"/>
      <c r="AD32" s="3"/>
      <c r="AE32" s="3">
        <v>15</v>
      </c>
      <c r="AF32" s="160">
        <v>45684</v>
      </c>
    </row>
    <row r="33" spans="1:32" x14ac:dyDescent="0.25">
      <c r="A33" s="2">
        <v>45685</v>
      </c>
      <c r="B33" s="3" t="s">
        <v>598</v>
      </c>
      <c r="C33" s="3" t="s">
        <v>38</v>
      </c>
      <c r="D33" s="3">
        <v>43</v>
      </c>
      <c r="E33" s="4">
        <v>0.21527777777777779</v>
      </c>
      <c r="F33" s="4">
        <v>0.2361111111111111</v>
      </c>
      <c r="G33" s="4">
        <v>0.27777777777777779</v>
      </c>
      <c r="H33" s="4">
        <v>0.29097222222222224</v>
      </c>
      <c r="I33" s="4">
        <f t="shared" si="0"/>
        <v>5.4861111111111138E-2</v>
      </c>
      <c r="J33" s="3" t="s">
        <v>618</v>
      </c>
      <c r="K33" s="3" t="s">
        <v>619</v>
      </c>
      <c r="L33" s="3" t="s">
        <v>620</v>
      </c>
      <c r="M33" s="3"/>
      <c r="N33" s="4">
        <v>0.23055555555555557</v>
      </c>
      <c r="O33" s="4">
        <v>0.28541666666666665</v>
      </c>
      <c r="P33" s="3">
        <v>0</v>
      </c>
      <c r="Q33" s="11">
        <v>0</v>
      </c>
      <c r="R33" s="4">
        <v>0.2298611111111111</v>
      </c>
      <c r="S33" s="4">
        <v>0.27847222222222223</v>
      </c>
      <c r="T33" s="4">
        <v>0.23125000000000001</v>
      </c>
      <c r="U33" s="4">
        <v>0.25</v>
      </c>
      <c r="V33" s="4">
        <v>0.25069444444444444</v>
      </c>
      <c r="W33" s="4">
        <v>0.27777777777777779</v>
      </c>
      <c r="X33" s="4">
        <v>0.21527777777777779</v>
      </c>
      <c r="Y33" s="4">
        <v>0.29097222222222224</v>
      </c>
      <c r="Z33" s="3" t="s">
        <v>97</v>
      </c>
      <c r="AA33" s="3"/>
      <c r="AB33" s="3">
        <v>32</v>
      </c>
      <c r="AC33" s="3"/>
      <c r="AD33" s="3"/>
      <c r="AE33" s="3">
        <v>16</v>
      </c>
      <c r="AF33" s="160">
        <v>45685</v>
      </c>
    </row>
    <row r="34" spans="1:32" x14ac:dyDescent="0.25">
      <c r="A34" s="2">
        <v>45686</v>
      </c>
      <c r="B34" s="3" t="s">
        <v>598</v>
      </c>
      <c r="C34" s="3" t="s">
        <v>35</v>
      </c>
      <c r="D34" s="3">
        <v>44</v>
      </c>
      <c r="E34" s="4">
        <v>0.21527777777777779</v>
      </c>
      <c r="F34" s="4">
        <v>0.20555555555555555</v>
      </c>
      <c r="G34" s="4">
        <v>0.27777777777777779</v>
      </c>
      <c r="H34" s="4">
        <v>0.26805555555555555</v>
      </c>
      <c r="I34" s="4">
        <f>H34-F34</f>
        <v>6.25E-2</v>
      </c>
      <c r="J34" s="3">
        <v>0</v>
      </c>
      <c r="K34" s="3">
        <v>0</v>
      </c>
      <c r="L34" s="3" t="s">
        <v>33</v>
      </c>
      <c r="M34" s="3">
        <v>12</v>
      </c>
      <c r="N34" s="4">
        <v>0.20624999999999999</v>
      </c>
      <c r="O34" s="4">
        <v>0.26805555555555555</v>
      </c>
      <c r="P34" s="3">
        <v>0</v>
      </c>
      <c r="Q34" s="11">
        <v>0</v>
      </c>
      <c r="R34" s="4">
        <v>0.20624999999999999</v>
      </c>
      <c r="S34" s="4">
        <v>0.25555555555555554</v>
      </c>
      <c r="T34" s="4">
        <v>0.21041666666666667</v>
      </c>
      <c r="U34" s="4">
        <v>0.25486111111111109</v>
      </c>
      <c r="V34" s="4">
        <v>0.22847222222222222</v>
      </c>
      <c r="W34" s="4">
        <v>0.25555555555555554</v>
      </c>
      <c r="X34" s="4">
        <v>0.21319444444444444</v>
      </c>
      <c r="Y34" s="4">
        <v>0.26805555555555555</v>
      </c>
      <c r="Z34" s="3" t="s">
        <v>97</v>
      </c>
      <c r="AA34" s="3" t="s">
        <v>614</v>
      </c>
      <c r="AB34" s="3">
        <v>36</v>
      </c>
      <c r="AC34" s="3"/>
      <c r="AD34" s="3"/>
      <c r="AE34" s="3">
        <v>10</v>
      </c>
      <c r="AF34" s="160">
        <v>45686</v>
      </c>
    </row>
    <row r="35" spans="1:32" x14ac:dyDescent="0.25">
      <c r="A35" s="2">
        <v>45687</v>
      </c>
      <c r="B35" s="3" t="s">
        <v>598</v>
      </c>
      <c r="C35" s="3" t="s">
        <v>48</v>
      </c>
      <c r="D35" s="3">
        <v>44</v>
      </c>
      <c r="E35" s="4">
        <v>0.21527777777777779</v>
      </c>
      <c r="F35" s="4">
        <v>0.21180555555555555</v>
      </c>
      <c r="G35" s="4">
        <v>0.27777777777777779</v>
      </c>
      <c r="H35" s="4">
        <v>0.27361111111111114</v>
      </c>
      <c r="I35" s="4">
        <f t="shared" ref="I35:I98" si="2">H35-F35</f>
        <v>6.1805555555555586E-2</v>
      </c>
      <c r="J35" s="3">
        <v>0</v>
      </c>
      <c r="K35" s="3">
        <v>0</v>
      </c>
      <c r="L35" s="3" t="s">
        <v>33</v>
      </c>
      <c r="M35" s="3">
        <v>11</v>
      </c>
      <c r="N35" s="4">
        <v>0.21388888888888888</v>
      </c>
      <c r="O35" s="4">
        <v>0.27291666666666664</v>
      </c>
      <c r="P35" s="3">
        <v>0</v>
      </c>
      <c r="Q35" s="11">
        <v>0</v>
      </c>
      <c r="R35" s="4">
        <v>0.22222222222222221</v>
      </c>
      <c r="S35" s="4">
        <v>0.25</v>
      </c>
      <c r="T35" s="4">
        <v>0.22222222222222221</v>
      </c>
      <c r="U35" s="4">
        <v>0.2361111111111111</v>
      </c>
      <c r="V35" s="4">
        <v>0.2361111111111111</v>
      </c>
      <c r="W35" s="4">
        <v>0.25694444444444442</v>
      </c>
      <c r="X35" s="4">
        <v>0.21388888888888888</v>
      </c>
      <c r="Y35" s="4">
        <v>0.27361111111111114</v>
      </c>
      <c r="Z35" s="3" t="s">
        <v>97</v>
      </c>
      <c r="AA35" s="3" t="s">
        <v>614</v>
      </c>
      <c r="AB35" s="3">
        <v>30</v>
      </c>
      <c r="AC35" s="3"/>
      <c r="AD35" s="3"/>
      <c r="AE35" s="3">
        <v>10</v>
      </c>
      <c r="AF35" s="160">
        <v>45687</v>
      </c>
    </row>
    <row r="36" spans="1:32" x14ac:dyDescent="0.25">
      <c r="A36" s="2">
        <v>45688</v>
      </c>
      <c r="B36" s="3" t="s">
        <v>598</v>
      </c>
      <c r="C36" s="3" t="s">
        <v>46</v>
      </c>
      <c r="D36" s="3">
        <v>44</v>
      </c>
      <c r="E36" s="4">
        <v>0.21527777777777779</v>
      </c>
      <c r="F36" s="4">
        <v>0.20555555555555555</v>
      </c>
      <c r="G36" s="4">
        <v>0.27777777777777779</v>
      </c>
      <c r="H36" s="4">
        <v>0.27152777777777776</v>
      </c>
      <c r="I36" s="4">
        <f t="shared" si="2"/>
        <v>6.597222222222221E-2</v>
      </c>
      <c r="J36" s="3">
        <v>0</v>
      </c>
      <c r="K36" s="3">
        <v>0</v>
      </c>
      <c r="L36" s="3" t="s">
        <v>33</v>
      </c>
      <c r="M36" s="3">
        <v>11</v>
      </c>
      <c r="N36" s="4">
        <v>0.20555555555555555</v>
      </c>
      <c r="O36" s="4">
        <v>0.27430555555555558</v>
      </c>
      <c r="P36" s="3">
        <v>0</v>
      </c>
      <c r="Q36" s="11">
        <v>0</v>
      </c>
      <c r="R36" s="4">
        <v>0.20624999999999999</v>
      </c>
      <c r="S36" s="4">
        <v>0.2673611111111111</v>
      </c>
      <c r="T36" s="4">
        <v>0.2076388888888889</v>
      </c>
      <c r="U36" s="4">
        <v>0.23958333333333334</v>
      </c>
      <c r="V36" s="4">
        <v>0.24097222222222223</v>
      </c>
      <c r="W36" s="4">
        <v>0.2673611111111111</v>
      </c>
      <c r="X36" s="4">
        <v>0.21458333333333332</v>
      </c>
      <c r="Y36" s="4">
        <v>0.27152777777777776</v>
      </c>
      <c r="Z36" s="3" t="s">
        <v>97</v>
      </c>
      <c r="AA36" s="3" t="s">
        <v>614</v>
      </c>
      <c r="AB36" s="3">
        <v>25</v>
      </c>
      <c r="AC36" s="3"/>
      <c r="AD36" s="3"/>
      <c r="AE36" s="3">
        <v>14</v>
      </c>
      <c r="AF36" s="160">
        <v>45688</v>
      </c>
    </row>
    <row r="37" spans="1:32" x14ac:dyDescent="0.25">
      <c r="A37" s="25">
        <v>45689</v>
      </c>
      <c r="B37" s="26" t="s">
        <v>598</v>
      </c>
      <c r="C37" s="26" t="s">
        <v>32</v>
      </c>
      <c r="D37" s="26">
        <v>44</v>
      </c>
      <c r="E37" s="27">
        <v>0.25694444444444442</v>
      </c>
      <c r="F37" s="27">
        <v>0.23055555555555557</v>
      </c>
      <c r="G37" s="27">
        <v>0.31944444444444442</v>
      </c>
      <c r="H37" s="27">
        <v>0.28680555555555554</v>
      </c>
      <c r="I37" s="27">
        <f t="shared" si="2"/>
        <v>5.6249999999999967E-2</v>
      </c>
      <c r="J37" s="3">
        <v>0</v>
      </c>
      <c r="K37" s="3">
        <v>0</v>
      </c>
      <c r="L37" s="26" t="s">
        <v>33</v>
      </c>
      <c r="M37" s="26">
        <v>12</v>
      </c>
      <c r="N37" s="27">
        <v>0.2326388888888889</v>
      </c>
      <c r="O37" s="27">
        <v>0.29166666666666669</v>
      </c>
      <c r="P37" s="3">
        <v>0</v>
      </c>
      <c r="Q37" s="11">
        <v>0</v>
      </c>
      <c r="R37" s="27">
        <v>0.23055555555555557</v>
      </c>
      <c r="S37" s="27">
        <v>0.27847222222222223</v>
      </c>
      <c r="T37" s="27">
        <v>0.23472222222222222</v>
      </c>
      <c r="U37" s="27">
        <v>0.25694444444444442</v>
      </c>
      <c r="V37" s="27">
        <v>0.25694444444444442</v>
      </c>
      <c r="W37" s="27">
        <v>0.27777777777777779</v>
      </c>
      <c r="X37" s="27">
        <v>0.24791666666666667</v>
      </c>
      <c r="Y37" s="27">
        <v>0.28680555555555554</v>
      </c>
      <c r="Z37" s="26" t="s">
        <v>97</v>
      </c>
      <c r="AA37" s="26" t="s">
        <v>614</v>
      </c>
      <c r="AB37" s="26">
        <v>32</v>
      </c>
      <c r="AC37" s="26"/>
      <c r="AD37" s="26"/>
      <c r="AE37" s="26">
        <v>8</v>
      </c>
      <c r="AF37" s="161">
        <v>45689</v>
      </c>
    </row>
    <row r="38" spans="1:32" x14ac:dyDescent="0.25">
      <c r="A38" s="29">
        <v>45691</v>
      </c>
      <c r="B38" s="30" t="s">
        <v>621</v>
      </c>
      <c r="C38" s="30" t="s">
        <v>32</v>
      </c>
      <c r="D38" s="30">
        <v>43</v>
      </c>
      <c r="E38" s="31">
        <v>0.16666666666666666</v>
      </c>
      <c r="F38" s="31">
        <v>0.17708333333333334</v>
      </c>
      <c r="G38" s="31">
        <v>0.22916666666666666</v>
      </c>
      <c r="H38" s="31">
        <v>0.2298611111111111</v>
      </c>
      <c r="I38" s="27">
        <f t="shared" si="2"/>
        <v>5.2777777777777757E-2</v>
      </c>
      <c r="J38" s="3">
        <v>0</v>
      </c>
      <c r="K38" s="3">
        <v>0</v>
      </c>
      <c r="L38" s="26" t="s">
        <v>33</v>
      </c>
      <c r="M38" s="30">
        <v>12</v>
      </c>
      <c r="N38" s="32" t="s">
        <v>622</v>
      </c>
      <c r="O38" s="33">
        <v>0.22916666666666666</v>
      </c>
      <c r="P38" s="3">
        <v>0</v>
      </c>
      <c r="Q38" s="11">
        <v>0</v>
      </c>
      <c r="R38" s="32" t="s">
        <v>623</v>
      </c>
      <c r="S38" s="32" t="s">
        <v>624</v>
      </c>
      <c r="T38" s="32" t="s">
        <v>625</v>
      </c>
      <c r="U38" s="32" t="s">
        <v>626</v>
      </c>
      <c r="V38" s="32" t="s">
        <v>627</v>
      </c>
      <c r="W38" s="32" t="s">
        <v>628</v>
      </c>
      <c r="X38" s="32" t="s">
        <v>629</v>
      </c>
      <c r="Y38" s="32" t="s">
        <v>630</v>
      </c>
      <c r="Z38" s="32" t="s">
        <v>631</v>
      </c>
      <c r="AA38" s="34" t="s">
        <v>632</v>
      </c>
      <c r="AB38" s="30">
        <v>30</v>
      </c>
      <c r="AC38" s="30"/>
      <c r="AD38" s="30"/>
      <c r="AE38" s="30">
        <v>22</v>
      </c>
      <c r="AF38" s="162">
        <v>45691</v>
      </c>
    </row>
    <row r="39" spans="1:32" s="28" customFormat="1" x14ac:dyDescent="0.25">
      <c r="A39" s="35">
        <v>45692</v>
      </c>
      <c r="B39" s="36" t="s">
        <v>621</v>
      </c>
      <c r="C39" s="36" t="s">
        <v>39</v>
      </c>
      <c r="D39" s="36">
        <v>45</v>
      </c>
      <c r="E39" s="39">
        <v>0.21527777777777779</v>
      </c>
      <c r="F39" s="39">
        <v>0.21527777777777779</v>
      </c>
      <c r="G39" s="39">
        <v>0.27777777777777779</v>
      </c>
      <c r="H39" s="39">
        <v>0.27152777777777776</v>
      </c>
      <c r="I39" s="38">
        <f t="shared" si="2"/>
        <v>5.6249999999999967E-2</v>
      </c>
      <c r="J39" s="3">
        <v>0</v>
      </c>
      <c r="K39" s="3">
        <v>0</v>
      </c>
      <c r="L39" s="36" t="s">
        <v>33</v>
      </c>
      <c r="M39" s="36">
        <v>13</v>
      </c>
      <c r="N39" s="39">
        <v>0.21527777777777779</v>
      </c>
      <c r="O39" s="39">
        <v>0.27638888888888891</v>
      </c>
      <c r="P39" s="3">
        <v>0</v>
      </c>
      <c r="Q39" s="11">
        <v>0</v>
      </c>
      <c r="R39" s="39">
        <v>0.21527777777777779</v>
      </c>
      <c r="S39" s="39">
        <v>0.26319444444444445</v>
      </c>
      <c r="T39" s="39">
        <v>0.22013888888888888</v>
      </c>
      <c r="U39" s="39">
        <v>0.24097222222222223</v>
      </c>
      <c r="V39" s="39">
        <v>0.24166666666666667</v>
      </c>
      <c r="W39" s="39">
        <v>0.26319444444444445</v>
      </c>
      <c r="X39" s="39">
        <v>0.22569444444444445</v>
      </c>
      <c r="Y39" s="39">
        <v>0.27152777777777776</v>
      </c>
      <c r="Z39" s="36" t="s">
        <v>97</v>
      </c>
      <c r="AA39" s="36" t="s">
        <v>603</v>
      </c>
      <c r="AB39" s="36">
        <v>33</v>
      </c>
      <c r="AC39" s="36"/>
      <c r="AD39" s="36"/>
      <c r="AE39" s="36" t="s">
        <v>633</v>
      </c>
      <c r="AF39" s="163">
        <v>45692</v>
      </c>
    </row>
    <row r="40" spans="1:32" s="28" customFormat="1" x14ac:dyDescent="0.25">
      <c r="A40" s="35">
        <v>45693</v>
      </c>
      <c r="B40" s="36" t="s">
        <v>621</v>
      </c>
      <c r="C40" s="36" t="s">
        <v>48</v>
      </c>
      <c r="D40" s="36">
        <v>44</v>
      </c>
      <c r="E40" s="39">
        <v>0.21527777777777779</v>
      </c>
      <c r="F40" s="39">
        <v>0.2361111111111111</v>
      </c>
      <c r="G40" s="39">
        <v>0.27777777777777779</v>
      </c>
      <c r="H40" s="39">
        <v>0.29722222222222222</v>
      </c>
      <c r="I40" s="38">
        <f t="shared" si="2"/>
        <v>6.1111111111111116E-2</v>
      </c>
      <c r="J40" s="39">
        <v>1.9444444444444445E-2</v>
      </c>
      <c r="K40" s="36" t="s">
        <v>50</v>
      </c>
      <c r="L40" s="36" t="s">
        <v>604</v>
      </c>
      <c r="M40" s="36">
        <v>12</v>
      </c>
      <c r="N40" s="39">
        <v>0.23680555555555555</v>
      </c>
      <c r="O40" s="39">
        <v>0.29722222222222222</v>
      </c>
      <c r="P40" s="36">
        <v>0</v>
      </c>
      <c r="Q40" s="36">
        <v>0</v>
      </c>
      <c r="R40" s="39">
        <v>0.2361111111111111</v>
      </c>
      <c r="S40" s="39">
        <v>0.29305555555555557</v>
      </c>
      <c r="T40" s="39">
        <v>0.23819444444444443</v>
      </c>
      <c r="U40" s="39">
        <v>0.26250000000000001</v>
      </c>
      <c r="V40" s="39">
        <v>0.26319444444444445</v>
      </c>
      <c r="W40" s="39">
        <v>0.29305555555555557</v>
      </c>
      <c r="X40" s="39">
        <v>0.24930555555555556</v>
      </c>
      <c r="Y40" s="39">
        <v>0.29722222222222222</v>
      </c>
      <c r="Z40" s="36" t="s">
        <v>97</v>
      </c>
      <c r="AA40" s="36" t="s">
        <v>603</v>
      </c>
      <c r="AB40" s="36">
        <v>33</v>
      </c>
      <c r="AC40" s="36"/>
      <c r="AD40" s="36"/>
      <c r="AE40" s="36">
        <v>14</v>
      </c>
      <c r="AF40" s="163">
        <v>45693</v>
      </c>
    </row>
    <row r="41" spans="1:32" s="28" customFormat="1" ht="27.75" customHeight="1" x14ac:dyDescent="0.25">
      <c r="A41" s="62">
        <v>45694</v>
      </c>
      <c r="B41" s="60" t="s">
        <v>621</v>
      </c>
      <c r="C41" s="60" t="s">
        <v>32</v>
      </c>
      <c r="D41" s="60">
        <v>45</v>
      </c>
      <c r="E41" s="63">
        <v>0.21527777777777779</v>
      </c>
      <c r="F41" s="63">
        <v>0.31597222222222221</v>
      </c>
      <c r="G41" s="63">
        <v>0.25277777777777777</v>
      </c>
      <c r="H41" s="63">
        <v>0.39166666666666666</v>
      </c>
      <c r="I41" s="63">
        <f t="shared" si="2"/>
        <v>7.5694444444444453E-2</v>
      </c>
      <c r="J41" s="63">
        <v>0.10069444444444445</v>
      </c>
      <c r="K41" s="60" t="s">
        <v>634</v>
      </c>
      <c r="L41" s="61" t="s">
        <v>635</v>
      </c>
      <c r="M41" s="60">
        <v>12</v>
      </c>
      <c r="N41" s="63">
        <v>0.31874999999999998</v>
      </c>
      <c r="O41" s="63">
        <v>0.39305555555555555</v>
      </c>
      <c r="P41" s="60">
        <v>0</v>
      </c>
      <c r="Q41" s="60">
        <v>0</v>
      </c>
      <c r="R41" s="63">
        <v>0.31944444444444442</v>
      </c>
      <c r="S41" s="63">
        <v>0.3923611111111111</v>
      </c>
      <c r="T41" s="63">
        <v>0.32222222222222224</v>
      </c>
      <c r="U41" s="63">
        <v>0.35</v>
      </c>
      <c r="V41" s="63">
        <v>0.35069444444444442</v>
      </c>
      <c r="W41" s="63">
        <v>0.3923611111111111</v>
      </c>
      <c r="X41" s="63">
        <v>0.33194444444444443</v>
      </c>
      <c r="Y41" s="63">
        <v>0.39166666666666666</v>
      </c>
      <c r="Z41" s="60" t="s">
        <v>97</v>
      </c>
      <c r="AA41" s="60" t="s">
        <v>615</v>
      </c>
      <c r="AB41" s="60">
        <v>37</v>
      </c>
      <c r="AC41" s="60"/>
      <c r="AD41" s="60"/>
      <c r="AE41" s="60">
        <v>14</v>
      </c>
      <c r="AF41" s="164">
        <v>45694</v>
      </c>
    </row>
    <row r="42" spans="1:32" s="28" customFormat="1" x14ac:dyDescent="0.25">
      <c r="A42" s="35">
        <v>45695</v>
      </c>
      <c r="B42" s="36" t="s">
        <v>621</v>
      </c>
      <c r="C42" s="36" t="s">
        <v>48</v>
      </c>
      <c r="D42" s="36">
        <v>43</v>
      </c>
      <c r="E42" s="39">
        <v>0.21527777777777779</v>
      </c>
      <c r="F42" s="39">
        <v>0.2</v>
      </c>
      <c r="G42" s="39">
        <v>0.27777777777777779</v>
      </c>
      <c r="H42" s="39">
        <v>0.26597222222222222</v>
      </c>
      <c r="I42" s="38">
        <f t="shared" si="2"/>
        <v>6.597222222222221E-2</v>
      </c>
      <c r="J42" s="36">
        <v>0</v>
      </c>
      <c r="K42" s="36">
        <v>0</v>
      </c>
      <c r="L42" s="36" t="s">
        <v>33</v>
      </c>
      <c r="M42" s="36">
        <v>11</v>
      </c>
      <c r="N42" s="39">
        <v>0.2013888888888889</v>
      </c>
      <c r="O42" s="39">
        <v>0.26250000000000001</v>
      </c>
      <c r="P42" s="36">
        <v>0</v>
      </c>
      <c r="Q42" s="36">
        <v>0</v>
      </c>
      <c r="R42" s="39">
        <v>0.20277777777777778</v>
      </c>
      <c r="S42" s="39">
        <v>0.25486111111111109</v>
      </c>
      <c r="T42" s="39">
        <v>0.20555555555555555</v>
      </c>
      <c r="U42" s="39">
        <v>0.23402777777777778</v>
      </c>
      <c r="V42" s="39">
        <v>0.23472222222222222</v>
      </c>
      <c r="W42" s="39">
        <v>0.25347222222222221</v>
      </c>
      <c r="X42" s="39">
        <v>0.21388888888888888</v>
      </c>
      <c r="Y42" s="39">
        <v>0.26111111111111113</v>
      </c>
      <c r="Z42" s="37" t="s">
        <v>97</v>
      </c>
      <c r="AA42" s="37" t="s">
        <v>614</v>
      </c>
      <c r="AB42" s="36">
        <v>28</v>
      </c>
      <c r="AC42" s="36"/>
      <c r="AD42" s="36"/>
      <c r="AE42" s="36">
        <v>15</v>
      </c>
      <c r="AF42" s="163">
        <v>45695</v>
      </c>
    </row>
    <row r="43" spans="1:32" s="28" customFormat="1" x14ac:dyDescent="0.25">
      <c r="A43" s="35">
        <v>45696</v>
      </c>
      <c r="B43" s="36" t="s">
        <v>621</v>
      </c>
      <c r="C43" s="36" t="s">
        <v>35</v>
      </c>
      <c r="D43" s="36">
        <v>44</v>
      </c>
      <c r="E43" s="65">
        <v>0.25694444444444442</v>
      </c>
      <c r="F43" s="65">
        <v>0.25</v>
      </c>
      <c r="G43" s="65">
        <v>0.31944444444444442</v>
      </c>
      <c r="H43" s="65">
        <v>0.31041666666666667</v>
      </c>
      <c r="I43" s="38">
        <f t="shared" si="2"/>
        <v>6.0416666666666674E-2</v>
      </c>
      <c r="J43" s="36">
        <v>0</v>
      </c>
      <c r="K43" s="36">
        <v>0</v>
      </c>
      <c r="L43" s="36" t="s">
        <v>636</v>
      </c>
      <c r="M43" s="36">
        <v>12</v>
      </c>
      <c r="N43" s="39">
        <v>0.24930555555555556</v>
      </c>
      <c r="O43" s="39">
        <v>0.31111111111111112</v>
      </c>
      <c r="P43" s="36">
        <v>0</v>
      </c>
      <c r="Q43" s="36">
        <v>0</v>
      </c>
      <c r="R43" s="39">
        <v>0.25277777777777777</v>
      </c>
      <c r="S43" s="39">
        <v>0.30416666666666664</v>
      </c>
      <c r="T43" s="39">
        <v>0.25277777777777777</v>
      </c>
      <c r="U43" s="65" t="s">
        <v>637</v>
      </c>
      <c r="V43" s="37" t="s">
        <v>637</v>
      </c>
      <c r="W43" s="65" t="s">
        <v>638</v>
      </c>
      <c r="X43" s="37" t="s">
        <v>639</v>
      </c>
      <c r="Y43" s="37" t="s">
        <v>640</v>
      </c>
      <c r="Z43" s="37" t="s">
        <v>97</v>
      </c>
      <c r="AA43" s="36" t="s">
        <v>641</v>
      </c>
      <c r="AB43" s="36">
        <v>30</v>
      </c>
      <c r="AC43" s="36"/>
      <c r="AD43" s="36"/>
      <c r="AE43" s="36">
        <v>14</v>
      </c>
      <c r="AF43" s="163">
        <v>45696</v>
      </c>
    </row>
    <row r="44" spans="1:32" s="28" customFormat="1" x14ac:dyDescent="0.25">
      <c r="A44" s="35">
        <v>45698</v>
      </c>
      <c r="B44" s="36" t="s">
        <v>621</v>
      </c>
      <c r="C44" s="36" t="s">
        <v>32</v>
      </c>
      <c r="D44" s="36">
        <v>44</v>
      </c>
      <c r="E44" s="39">
        <v>0.1736111111111111</v>
      </c>
      <c r="F44" s="39">
        <v>0.15833333333333333</v>
      </c>
      <c r="G44" s="39">
        <v>0.22916666666666666</v>
      </c>
      <c r="H44" s="39">
        <v>0.21875</v>
      </c>
      <c r="I44" s="38">
        <f t="shared" si="2"/>
        <v>6.0416666666666674E-2</v>
      </c>
      <c r="J44" s="36">
        <v>0</v>
      </c>
      <c r="K44" s="36">
        <v>0</v>
      </c>
      <c r="L44" s="67" t="s">
        <v>33</v>
      </c>
      <c r="M44" s="36">
        <v>10</v>
      </c>
      <c r="N44" s="39">
        <v>0.15763888888888888</v>
      </c>
      <c r="O44" s="39">
        <v>0.22013888888888888</v>
      </c>
      <c r="P44" s="36">
        <v>0</v>
      </c>
      <c r="Q44" s="36">
        <v>0</v>
      </c>
      <c r="R44" s="39">
        <v>0.16041666666666668</v>
      </c>
      <c r="S44" s="39">
        <v>0.21319444444444444</v>
      </c>
      <c r="T44" s="39">
        <v>0.16319444444444445</v>
      </c>
      <c r="U44" s="39">
        <v>0.18819444444444444</v>
      </c>
      <c r="V44" s="39">
        <v>0.18888888888888888</v>
      </c>
      <c r="W44" s="39">
        <v>0.21249999999999999</v>
      </c>
      <c r="X44" s="39">
        <v>0.1736111111111111</v>
      </c>
      <c r="Y44" s="39">
        <v>0.21736111111111112</v>
      </c>
      <c r="Z44" s="36" t="s">
        <v>97</v>
      </c>
      <c r="AA44" s="36" t="s">
        <v>614</v>
      </c>
      <c r="AB44" s="36">
        <v>37</v>
      </c>
      <c r="AC44" s="36"/>
      <c r="AD44" s="36"/>
      <c r="AE44" s="36">
        <v>4</v>
      </c>
      <c r="AF44" s="163">
        <v>45698</v>
      </c>
    </row>
    <row r="45" spans="1:32" s="28" customFormat="1" x14ac:dyDescent="0.25">
      <c r="A45" s="35">
        <v>45699</v>
      </c>
      <c r="B45" s="36" t="s">
        <v>621</v>
      </c>
      <c r="C45" s="36" t="s">
        <v>48</v>
      </c>
      <c r="D45" s="36">
        <v>44</v>
      </c>
      <c r="E45" s="39">
        <v>0.21527777777777779</v>
      </c>
      <c r="F45" s="39">
        <v>0.23402777777777778</v>
      </c>
      <c r="G45" s="39">
        <v>0.27777777777777779</v>
      </c>
      <c r="H45" s="39">
        <v>0.28541666666666665</v>
      </c>
      <c r="I45" s="38">
        <f t="shared" si="2"/>
        <v>5.1388888888888873E-2</v>
      </c>
      <c r="J45" s="39">
        <v>1.3194444444444444E-2</v>
      </c>
      <c r="K45" s="36" t="s">
        <v>50</v>
      </c>
      <c r="L45" s="36" t="s">
        <v>642</v>
      </c>
      <c r="M45" s="36">
        <v>11</v>
      </c>
      <c r="N45" s="39">
        <v>0.2361111111111111</v>
      </c>
      <c r="O45" s="39">
        <v>0.28819444444444442</v>
      </c>
      <c r="P45" s="36">
        <v>0</v>
      </c>
      <c r="Q45" s="36">
        <v>0</v>
      </c>
      <c r="R45" s="39">
        <v>0.23541666666666666</v>
      </c>
      <c r="S45" s="39">
        <v>0.27986111111111112</v>
      </c>
      <c r="T45" s="39">
        <v>0.2388888888888889</v>
      </c>
      <c r="U45" s="39">
        <v>0.25972222222222224</v>
      </c>
      <c r="V45" s="39">
        <v>0.26041666666666669</v>
      </c>
      <c r="W45" s="39">
        <v>0.28055555555555556</v>
      </c>
      <c r="X45" s="39">
        <v>0.25277777777777777</v>
      </c>
      <c r="Y45" s="39">
        <v>0.28541666666666665</v>
      </c>
      <c r="Z45" s="36" t="s">
        <v>40</v>
      </c>
      <c r="AA45" s="36" t="s">
        <v>641</v>
      </c>
      <c r="AB45" s="36">
        <v>38</v>
      </c>
      <c r="AC45" s="36"/>
      <c r="AD45" s="36"/>
      <c r="AE45" s="36">
        <v>4</v>
      </c>
      <c r="AF45" s="163">
        <v>45699</v>
      </c>
    </row>
    <row r="46" spans="1:32" s="28" customFormat="1" x14ac:dyDescent="0.25">
      <c r="A46" s="35">
        <v>45700</v>
      </c>
      <c r="B46" s="36" t="s">
        <v>621</v>
      </c>
      <c r="C46" s="36" t="s">
        <v>35</v>
      </c>
      <c r="D46" s="36">
        <v>44</v>
      </c>
      <c r="E46" s="39">
        <v>0.21527777777777779</v>
      </c>
      <c r="F46" s="39">
        <v>0.22777777777777777</v>
      </c>
      <c r="G46" s="39">
        <v>0.27777777777777779</v>
      </c>
      <c r="H46" s="39">
        <v>0.28055555555555556</v>
      </c>
      <c r="I46" s="38">
        <f t="shared" si="2"/>
        <v>5.2777777777777785E-2</v>
      </c>
      <c r="J46" s="36">
        <v>0</v>
      </c>
      <c r="K46" s="36">
        <v>0</v>
      </c>
      <c r="L46" s="36" t="s">
        <v>33</v>
      </c>
      <c r="M46" s="36">
        <v>12</v>
      </c>
      <c r="N46" s="39">
        <v>0.23194444444444445</v>
      </c>
      <c r="O46" s="39">
        <v>0.28055555555555556</v>
      </c>
      <c r="P46" s="36">
        <v>0</v>
      </c>
      <c r="Q46" s="36">
        <v>0</v>
      </c>
      <c r="R46" s="39">
        <v>0.2326388888888889</v>
      </c>
      <c r="S46" s="39">
        <v>0.27777777777777779</v>
      </c>
      <c r="T46" s="39">
        <v>0.23819444444444443</v>
      </c>
      <c r="U46" s="39">
        <v>0.25694444444444442</v>
      </c>
      <c r="V46" s="69">
        <v>2.442361111111111</v>
      </c>
      <c r="W46" s="39">
        <v>0.27777777777777779</v>
      </c>
      <c r="X46" s="39">
        <v>0.25555555555555554</v>
      </c>
      <c r="Y46" s="39">
        <v>0.22777777777777777</v>
      </c>
      <c r="Z46" s="36" t="s">
        <v>97</v>
      </c>
      <c r="AA46" s="36" t="s">
        <v>603</v>
      </c>
      <c r="AB46" s="36">
        <v>28</v>
      </c>
      <c r="AC46" s="36"/>
      <c r="AD46" s="36"/>
      <c r="AE46" s="36">
        <v>8</v>
      </c>
      <c r="AF46" s="163">
        <v>45700</v>
      </c>
    </row>
    <row r="47" spans="1:32" s="28" customFormat="1" x14ac:dyDescent="0.25">
      <c r="A47" s="35">
        <v>45701</v>
      </c>
      <c r="B47" s="36" t="s">
        <v>621</v>
      </c>
      <c r="C47" s="36" t="s">
        <v>39</v>
      </c>
      <c r="D47" s="36">
        <v>43</v>
      </c>
      <c r="E47" s="39">
        <v>0.21527777777777779</v>
      </c>
      <c r="F47" s="39">
        <v>0.28749999999999998</v>
      </c>
      <c r="G47" s="39">
        <v>0.27777777777777779</v>
      </c>
      <c r="H47" s="39">
        <v>0.34583333333333333</v>
      </c>
      <c r="I47" s="38">
        <f t="shared" si="2"/>
        <v>5.8333333333333348E-2</v>
      </c>
      <c r="J47" s="39">
        <v>7.2222222222222215E-2</v>
      </c>
      <c r="K47" s="36" t="s">
        <v>50</v>
      </c>
      <c r="L47" s="36" t="s">
        <v>643</v>
      </c>
      <c r="M47" s="36">
        <v>11</v>
      </c>
      <c r="N47" s="39">
        <v>0.28958333333333336</v>
      </c>
      <c r="O47" s="39">
        <v>0.34513888888888888</v>
      </c>
      <c r="P47" s="36">
        <v>0</v>
      </c>
      <c r="Q47" s="36">
        <v>0</v>
      </c>
      <c r="R47" s="39">
        <v>0.28888888888888886</v>
      </c>
      <c r="S47" s="39">
        <v>0.33750000000000002</v>
      </c>
      <c r="T47" s="39">
        <v>0.29166666666666669</v>
      </c>
      <c r="U47" s="39">
        <v>0.33611111111111114</v>
      </c>
      <c r="V47" s="39">
        <v>0.31180555555555556</v>
      </c>
      <c r="W47" s="39">
        <v>0.34027777777777779</v>
      </c>
      <c r="X47" s="39">
        <v>0.30416666666666664</v>
      </c>
      <c r="Y47" s="39">
        <v>0.30069444444444443</v>
      </c>
      <c r="Z47" s="36" t="s">
        <v>97</v>
      </c>
      <c r="AA47" s="36" t="s">
        <v>603</v>
      </c>
      <c r="AB47" s="36">
        <v>34</v>
      </c>
      <c r="AC47" s="36"/>
      <c r="AD47" s="36"/>
      <c r="AE47" s="36">
        <v>16</v>
      </c>
      <c r="AF47" s="163">
        <v>45701</v>
      </c>
    </row>
    <row r="48" spans="1:32" s="28" customFormat="1" x14ac:dyDescent="0.25">
      <c r="A48" s="35">
        <v>45702</v>
      </c>
      <c r="B48" s="36" t="s">
        <v>621</v>
      </c>
      <c r="C48" s="36" t="s">
        <v>38</v>
      </c>
      <c r="D48" s="36">
        <v>43</v>
      </c>
      <c r="E48" s="39">
        <v>0.21527777777777779</v>
      </c>
      <c r="F48" s="39">
        <v>0.20972222222222223</v>
      </c>
      <c r="G48" s="39">
        <v>0.19444444444444445</v>
      </c>
      <c r="H48" s="39">
        <v>0.27708333333333335</v>
      </c>
      <c r="I48" s="38">
        <f t="shared" si="2"/>
        <v>6.7361111111111122E-2</v>
      </c>
      <c r="J48" s="36">
        <v>0</v>
      </c>
      <c r="K48" s="36">
        <v>0</v>
      </c>
      <c r="L48" s="36" t="s">
        <v>33</v>
      </c>
      <c r="M48" s="36">
        <v>12</v>
      </c>
      <c r="N48" s="39">
        <v>0.21875</v>
      </c>
      <c r="O48" s="39">
        <v>0.27152777777777776</v>
      </c>
      <c r="P48" s="36">
        <v>0</v>
      </c>
      <c r="Q48" s="36">
        <v>0</v>
      </c>
      <c r="R48" s="39">
        <v>0.21944444444444444</v>
      </c>
      <c r="S48" s="39">
        <v>0.26666666666666666</v>
      </c>
      <c r="T48" s="39">
        <v>0.22013888888888888</v>
      </c>
      <c r="U48" s="39">
        <v>0.26597222222222222</v>
      </c>
      <c r="V48" s="39">
        <v>0.22916666666666666</v>
      </c>
      <c r="W48" s="39">
        <v>0.24097222222222223</v>
      </c>
      <c r="X48" s="39">
        <v>0.22708333333333333</v>
      </c>
      <c r="Y48" s="39">
        <v>0.2673611111111111</v>
      </c>
      <c r="Z48" s="36" t="s">
        <v>97</v>
      </c>
      <c r="AA48" s="36" t="s">
        <v>603</v>
      </c>
      <c r="AB48" s="36">
        <v>38</v>
      </c>
      <c r="AC48" s="36"/>
      <c r="AD48" s="36"/>
      <c r="AE48" s="36">
        <v>17</v>
      </c>
      <c r="AF48" s="163">
        <v>45702</v>
      </c>
    </row>
    <row r="49" spans="1:32" s="28" customFormat="1" x14ac:dyDescent="0.25">
      <c r="A49" s="35">
        <v>45703</v>
      </c>
      <c r="B49" s="36" t="s">
        <v>621</v>
      </c>
      <c r="C49" s="36" t="s">
        <v>39</v>
      </c>
      <c r="D49" s="36">
        <v>43</v>
      </c>
      <c r="E49" s="39">
        <v>0.25694444444444442</v>
      </c>
      <c r="F49" s="39">
        <v>0.26944444444444443</v>
      </c>
      <c r="G49" s="39">
        <v>0.31944444444444442</v>
      </c>
      <c r="H49" s="39">
        <v>0.32083333333333336</v>
      </c>
      <c r="I49" s="38">
        <f t="shared" si="2"/>
        <v>5.1388888888888928E-2</v>
      </c>
      <c r="J49" s="36">
        <v>0</v>
      </c>
      <c r="K49" s="36">
        <v>0</v>
      </c>
      <c r="L49" s="36" t="s">
        <v>33</v>
      </c>
      <c r="M49" s="36">
        <v>12</v>
      </c>
      <c r="N49" s="39">
        <v>0.27083333333333331</v>
      </c>
      <c r="O49" s="39">
        <v>0.31944444444444442</v>
      </c>
      <c r="P49" s="36">
        <v>0</v>
      </c>
      <c r="Q49" s="36">
        <v>0</v>
      </c>
      <c r="R49" s="39">
        <v>0.2722222222222222</v>
      </c>
      <c r="S49" s="39">
        <v>0.3125</v>
      </c>
      <c r="T49" s="39">
        <v>0.2722222222222222</v>
      </c>
      <c r="U49" s="39">
        <v>0.29166666666666669</v>
      </c>
      <c r="V49" s="39">
        <v>0.29375000000000001</v>
      </c>
      <c r="W49" s="39">
        <v>0.31597222222222221</v>
      </c>
      <c r="X49" s="39">
        <v>0.28472222222222221</v>
      </c>
      <c r="Y49" s="39">
        <v>0.32083333333333336</v>
      </c>
      <c r="Z49" s="36" t="s">
        <v>97</v>
      </c>
      <c r="AA49" s="36" t="s">
        <v>644</v>
      </c>
      <c r="AB49" s="36">
        <v>37</v>
      </c>
      <c r="AC49" s="36"/>
      <c r="AD49" s="36"/>
      <c r="AE49" s="36">
        <v>10</v>
      </c>
      <c r="AF49" s="163">
        <v>45703</v>
      </c>
    </row>
    <row r="50" spans="1:32" s="118" customFormat="1" x14ac:dyDescent="0.25">
      <c r="A50" s="114">
        <v>45704</v>
      </c>
      <c r="B50" s="115" t="s">
        <v>337</v>
      </c>
      <c r="C50" s="115"/>
      <c r="D50" s="115"/>
      <c r="E50" s="116"/>
      <c r="F50" s="116"/>
      <c r="G50" s="116"/>
      <c r="H50" s="116"/>
      <c r="I50" s="117"/>
      <c r="J50" s="116"/>
      <c r="K50" s="115"/>
      <c r="L50" s="115"/>
      <c r="M50" s="115"/>
      <c r="N50" s="116"/>
      <c r="O50" s="116"/>
      <c r="P50" s="115"/>
      <c r="Q50" s="115"/>
      <c r="R50" s="116"/>
      <c r="S50" s="116"/>
      <c r="T50" s="116"/>
      <c r="U50" s="116"/>
      <c r="V50" s="115"/>
      <c r="W50" s="116"/>
      <c r="X50" s="116"/>
      <c r="Y50" s="115"/>
      <c r="Z50" s="115"/>
      <c r="AA50" s="115"/>
      <c r="AB50" s="115"/>
      <c r="AC50" s="115"/>
      <c r="AD50" s="115"/>
      <c r="AE50" s="115"/>
      <c r="AF50" s="165">
        <v>45704</v>
      </c>
    </row>
    <row r="51" spans="1:32" s="28" customFormat="1" x14ac:dyDescent="0.25">
      <c r="A51" s="35">
        <v>45705</v>
      </c>
      <c r="B51" s="36" t="s">
        <v>621</v>
      </c>
      <c r="C51" s="36" t="s">
        <v>38</v>
      </c>
      <c r="D51" s="36">
        <v>44</v>
      </c>
      <c r="E51" s="39">
        <v>0.16666666666666666</v>
      </c>
      <c r="F51" s="39">
        <v>0.17083333333333334</v>
      </c>
      <c r="G51" s="39">
        <v>0.22916666666666666</v>
      </c>
      <c r="H51" s="39">
        <v>0.2361111111111111</v>
      </c>
      <c r="I51" s="38">
        <f t="shared" ref="I51" si="3">H51-F51</f>
        <v>6.5277777777777768E-2</v>
      </c>
      <c r="J51" s="39">
        <v>6.9444444444444441E-3</v>
      </c>
      <c r="K51" s="36">
        <v>48</v>
      </c>
      <c r="L51" s="36" t="s">
        <v>645</v>
      </c>
      <c r="M51" s="36">
        <v>12</v>
      </c>
      <c r="N51" s="39">
        <v>0.17430555555555555</v>
      </c>
      <c r="O51" s="39">
        <v>0.2298611111111111</v>
      </c>
      <c r="P51" s="36">
        <v>0</v>
      </c>
      <c r="Q51" s="36">
        <v>0</v>
      </c>
      <c r="R51" s="39">
        <v>0.17291666666666666</v>
      </c>
      <c r="S51" s="39">
        <v>0.22916666666666666</v>
      </c>
      <c r="T51" s="39">
        <v>0.1736111111111111</v>
      </c>
      <c r="U51" s="39">
        <v>0.1875</v>
      </c>
      <c r="V51" s="36" t="s">
        <v>646</v>
      </c>
      <c r="W51" s="39">
        <v>0.22847222222222222</v>
      </c>
      <c r="X51" s="39">
        <v>0.18055555555555555</v>
      </c>
      <c r="Y51" s="36" t="s">
        <v>647</v>
      </c>
      <c r="Z51" s="36" t="s">
        <v>97</v>
      </c>
      <c r="AA51" s="36" t="s">
        <v>648</v>
      </c>
      <c r="AB51" s="36">
        <v>34</v>
      </c>
      <c r="AC51" s="36"/>
      <c r="AD51" s="36"/>
      <c r="AE51" s="36">
        <v>11</v>
      </c>
      <c r="AF51" s="163">
        <v>45705</v>
      </c>
    </row>
    <row r="52" spans="1:32" s="28" customFormat="1" x14ac:dyDescent="0.25">
      <c r="A52" s="35">
        <v>45706</v>
      </c>
      <c r="B52" s="36" t="s">
        <v>621</v>
      </c>
      <c r="C52" s="36" t="s">
        <v>39</v>
      </c>
      <c r="D52" s="36">
        <v>44</v>
      </c>
      <c r="E52" s="39">
        <v>0.21527777777777779</v>
      </c>
      <c r="F52" s="39">
        <v>0.41666666666666669</v>
      </c>
      <c r="G52" s="39">
        <v>0.27777777777777779</v>
      </c>
      <c r="H52" s="39">
        <v>0.4826388888888889</v>
      </c>
      <c r="I52" s="38">
        <f t="shared" si="2"/>
        <v>6.597222222222221E-2</v>
      </c>
      <c r="J52" s="36" t="s">
        <v>649</v>
      </c>
      <c r="K52" s="36" t="s">
        <v>650</v>
      </c>
      <c r="L52" s="36" t="s">
        <v>651</v>
      </c>
      <c r="M52" s="36">
        <v>12</v>
      </c>
      <c r="N52" s="39">
        <v>0.41666666666666669</v>
      </c>
      <c r="O52" s="39">
        <v>0.47916666666666669</v>
      </c>
      <c r="P52" s="36">
        <v>0</v>
      </c>
      <c r="Q52" s="36">
        <v>0</v>
      </c>
      <c r="R52" s="39">
        <v>0.41944444444444445</v>
      </c>
      <c r="S52" s="39">
        <v>0.47291666666666665</v>
      </c>
      <c r="T52" s="39">
        <v>0.42222222222222222</v>
      </c>
      <c r="U52" s="39">
        <v>0.47222222222222221</v>
      </c>
      <c r="V52" s="39">
        <v>0.44305555555555554</v>
      </c>
      <c r="W52" s="39">
        <v>0.47222222222222221</v>
      </c>
      <c r="X52" s="39">
        <v>0.42916666666666664</v>
      </c>
      <c r="Y52" s="39">
        <v>0.4777777777777778</v>
      </c>
      <c r="Z52" s="36" t="s">
        <v>97</v>
      </c>
      <c r="AA52" s="36" t="s">
        <v>641</v>
      </c>
      <c r="AB52" s="36">
        <v>31</v>
      </c>
      <c r="AC52" s="36"/>
      <c r="AD52" s="36"/>
      <c r="AE52" s="36">
        <v>8</v>
      </c>
      <c r="AF52" s="163">
        <v>45706</v>
      </c>
    </row>
    <row r="53" spans="1:32" s="28" customFormat="1" x14ac:dyDescent="0.25">
      <c r="A53" s="35">
        <v>45707</v>
      </c>
      <c r="B53" s="36" t="s">
        <v>621</v>
      </c>
      <c r="C53" s="36" t="s">
        <v>38</v>
      </c>
      <c r="D53" s="36">
        <v>44</v>
      </c>
      <c r="E53" s="65">
        <v>0.21527777777777779</v>
      </c>
      <c r="F53" s="65">
        <v>0.21041666666666667</v>
      </c>
      <c r="G53" s="65">
        <v>0.27777777777777779</v>
      </c>
      <c r="H53" s="65">
        <v>0.27569444444444446</v>
      </c>
      <c r="I53" s="38">
        <f t="shared" si="2"/>
        <v>6.5277777777777796E-2</v>
      </c>
      <c r="J53" s="36">
        <v>0</v>
      </c>
      <c r="K53" s="36">
        <v>0</v>
      </c>
      <c r="L53" s="37" t="s">
        <v>652</v>
      </c>
      <c r="M53" s="36">
        <v>12</v>
      </c>
      <c r="N53" s="39">
        <v>0.21527777777777779</v>
      </c>
      <c r="O53" s="39">
        <v>0.2722222222222222</v>
      </c>
      <c r="P53" s="36">
        <v>0</v>
      </c>
      <c r="Q53" s="36">
        <v>0</v>
      </c>
      <c r="R53" s="39">
        <v>0.21527777777777779</v>
      </c>
      <c r="S53" s="39">
        <v>0.27500000000000002</v>
      </c>
      <c r="T53" s="39">
        <v>0.21875</v>
      </c>
      <c r="U53" s="37" t="s">
        <v>653</v>
      </c>
      <c r="V53" s="37" t="s">
        <v>654</v>
      </c>
      <c r="W53" s="37" t="s">
        <v>655</v>
      </c>
      <c r="X53" s="65" t="s">
        <v>656</v>
      </c>
      <c r="Y53" s="37" t="s">
        <v>657</v>
      </c>
      <c r="Z53" s="36" t="s">
        <v>658</v>
      </c>
      <c r="AA53" s="36" t="s">
        <v>603</v>
      </c>
      <c r="AB53" s="36">
        <v>36</v>
      </c>
      <c r="AC53" s="36"/>
      <c r="AD53" s="36"/>
      <c r="AE53" s="36">
        <v>18</v>
      </c>
      <c r="AF53" s="163">
        <v>45707</v>
      </c>
    </row>
    <row r="54" spans="1:32" s="28" customFormat="1" x14ac:dyDescent="0.25">
      <c r="A54" s="35">
        <v>45708</v>
      </c>
      <c r="B54" s="36" t="s">
        <v>621</v>
      </c>
      <c r="C54" s="36" t="s">
        <v>32</v>
      </c>
      <c r="D54" s="36">
        <v>44</v>
      </c>
      <c r="E54" s="65">
        <v>0.21527777777777779</v>
      </c>
      <c r="F54" s="65">
        <v>0.27708333333333335</v>
      </c>
      <c r="G54" s="65">
        <v>0.27777777777777779</v>
      </c>
      <c r="H54" s="65">
        <v>0.34097222222222223</v>
      </c>
      <c r="I54" s="38">
        <f t="shared" si="2"/>
        <v>6.3888888888888884E-2</v>
      </c>
      <c r="J54" s="37" t="s">
        <v>659</v>
      </c>
      <c r="K54" s="36" t="s">
        <v>660</v>
      </c>
      <c r="L54" s="36" t="s">
        <v>661</v>
      </c>
      <c r="M54" s="36">
        <v>12</v>
      </c>
      <c r="N54" s="39">
        <v>0.27986111111111112</v>
      </c>
      <c r="O54" s="39">
        <v>0.2986111111111111</v>
      </c>
      <c r="P54" s="36">
        <v>0</v>
      </c>
      <c r="Q54" s="36">
        <v>0</v>
      </c>
      <c r="R54" s="39">
        <v>0.28055555555555556</v>
      </c>
      <c r="S54" s="39">
        <v>0.33958333333333335</v>
      </c>
      <c r="T54" s="39">
        <v>0.28125</v>
      </c>
      <c r="U54" s="39">
        <v>0.30902777777777779</v>
      </c>
      <c r="V54" s="39">
        <v>0.30972222222222223</v>
      </c>
      <c r="W54" s="39">
        <v>0.33888888888888891</v>
      </c>
      <c r="X54" s="39">
        <v>0.28958333333333336</v>
      </c>
      <c r="Y54" s="39">
        <v>0.34027777777777779</v>
      </c>
      <c r="Z54" s="36" t="s">
        <v>101</v>
      </c>
      <c r="AA54" s="36" t="s">
        <v>603</v>
      </c>
      <c r="AB54" s="36">
        <v>12</v>
      </c>
      <c r="AC54" s="36"/>
      <c r="AD54" s="36"/>
      <c r="AE54" s="36">
        <v>19</v>
      </c>
      <c r="AF54" s="163">
        <v>45708</v>
      </c>
    </row>
    <row r="55" spans="1:32" s="28" customFormat="1" x14ac:dyDescent="0.25">
      <c r="A55" s="35">
        <v>45709</v>
      </c>
      <c r="B55" s="36" t="s">
        <v>621</v>
      </c>
      <c r="C55" s="36" t="s">
        <v>38</v>
      </c>
      <c r="D55" s="36">
        <v>43</v>
      </c>
      <c r="E55" s="65">
        <v>0.21527777777777779</v>
      </c>
      <c r="F55" s="65">
        <v>0.23333333333333334</v>
      </c>
      <c r="G55" s="65">
        <v>0.27777777777777779</v>
      </c>
      <c r="H55" s="65">
        <v>0.2902777777777778</v>
      </c>
      <c r="I55" s="38">
        <v>5.5555555555555552E-2</v>
      </c>
      <c r="J55" s="65" t="s">
        <v>662</v>
      </c>
      <c r="K55" s="36" t="s">
        <v>50</v>
      </c>
      <c r="L55" s="36" t="s">
        <v>663</v>
      </c>
      <c r="M55" s="36">
        <v>12</v>
      </c>
      <c r="N55" s="39">
        <v>0.25277777777777777</v>
      </c>
      <c r="O55" s="39">
        <v>0.28749999999999998</v>
      </c>
      <c r="P55" s="36">
        <v>0</v>
      </c>
      <c r="Q55" s="36">
        <v>0</v>
      </c>
      <c r="R55" s="39">
        <v>0.23819444444444443</v>
      </c>
      <c r="S55" s="39">
        <v>0.28333333333333333</v>
      </c>
      <c r="T55" s="125">
        <v>0.2388888888888889</v>
      </c>
      <c r="U55" s="37" t="s">
        <v>664</v>
      </c>
      <c r="V55" s="37" t="s">
        <v>665</v>
      </c>
      <c r="W55" s="37" t="s">
        <v>666</v>
      </c>
      <c r="X55" s="37" t="s">
        <v>667</v>
      </c>
      <c r="Y55" s="37" t="s">
        <v>668</v>
      </c>
      <c r="Z55" s="37" t="s">
        <v>669</v>
      </c>
      <c r="AA55" s="36" t="s">
        <v>603</v>
      </c>
      <c r="AB55" s="36">
        <v>35</v>
      </c>
      <c r="AC55" s="36"/>
      <c r="AD55" s="36"/>
      <c r="AE55" s="36">
        <v>12</v>
      </c>
      <c r="AF55" s="163">
        <v>45709</v>
      </c>
    </row>
    <row r="56" spans="1:32" s="28" customFormat="1" x14ac:dyDescent="0.25">
      <c r="A56" s="35">
        <v>45710</v>
      </c>
      <c r="B56" s="36" t="s">
        <v>621</v>
      </c>
      <c r="C56" s="36" t="s">
        <v>32</v>
      </c>
      <c r="D56" s="36">
        <v>43</v>
      </c>
      <c r="E56" s="65">
        <v>0.25694444444444442</v>
      </c>
      <c r="F56" s="65">
        <v>0.34930555555555554</v>
      </c>
      <c r="G56" s="65">
        <v>0.875</v>
      </c>
      <c r="H56" s="65">
        <v>0.89652777777777781</v>
      </c>
      <c r="I56" s="38">
        <f t="shared" si="2"/>
        <v>0.54722222222222228</v>
      </c>
      <c r="J56" s="39">
        <v>9.2361111111111116E-2</v>
      </c>
      <c r="K56" s="36" t="s">
        <v>670</v>
      </c>
      <c r="L56" s="126" t="s">
        <v>671</v>
      </c>
      <c r="M56" s="36">
        <v>10</v>
      </c>
      <c r="N56" s="65">
        <v>0.35416666666666669</v>
      </c>
      <c r="O56" s="65">
        <v>0.41875000000000001</v>
      </c>
      <c r="P56" s="36">
        <v>0</v>
      </c>
      <c r="Q56" s="36">
        <v>0</v>
      </c>
      <c r="R56" s="39">
        <v>0.35416666666666669</v>
      </c>
      <c r="S56" s="39">
        <v>0.39583333333333331</v>
      </c>
      <c r="T56" s="39">
        <v>0.35555555555555557</v>
      </c>
      <c r="U56" s="36" t="s">
        <v>672</v>
      </c>
      <c r="V56" s="39">
        <v>0.83125000000000004</v>
      </c>
      <c r="W56" s="39">
        <v>0.88888888888888884</v>
      </c>
      <c r="X56" s="39">
        <v>0.35555555555555557</v>
      </c>
      <c r="Y56" s="39">
        <v>0.89652777777777781</v>
      </c>
      <c r="Z56" s="36" t="s">
        <v>602</v>
      </c>
      <c r="AA56" s="37" t="s">
        <v>673</v>
      </c>
      <c r="AB56" s="36">
        <v>33</v>
      </c>
      <c r="AC56" s="36"/>
      <c r="AD56" s="36"/>
      <c r="AE56" s="36">
        <v>16</v>
      </c>
      <c r="AF56" s="163">
        <v>45710</v>
      </c>
    </row>
    <row r="57" spans="1:32" s="118" customFormat="1" x14ac:dyDescent="0.25">
      <c r="A57" s="114">
        <v>45711</v>
      </c>
      <c r="B57" s="115" t="s">
        <v>337</v>
      </c>
      <c r="C57" s="119"/>
      <c r="D57" s="119"/>
      <c r="E57" s="119"/>
      <c r="F57" s="119"/>
      <c r="G57" s="119"/>
      <c r="H57" s="119"/>
      <c r="I57" s="117">
        <f t="shared" si="2"/>
        <v>0</v>
      </c>
      <c r="J57" s="119"/>
      <c r="K57" s="119"/>
      <c r="L57" s="119"/>
      <c r="M57" s="119"/>
      <c r="N57" s="127">
        <v>0.80555555555555558</v>
      </c>
      <c r="O57" s="127">
        <v>0.88888888888888884</v>
      </c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5"/>
      <c r="AC57" s="115"/>
      <c r="AD57" s="115"/>
      <c r="AE57" s="115"/>
      <c r="AF57" s="165">
        <v>45711</v>
      </c>
    </row>
    <row r="58" spans="1:32" s="28" customFormat="1" x14ac:dyDescent="0.25">
      <c r="A58" s="35">
        <v>45712</v>
      </c>
      <c r="B58" s="36" t="s">
        <v>621</v>
      </c>
      <c r="C58" s="3" t="s">
        <v>46</v>
      </c>
      <c r="D58" s="36">
        <v>43</v>
      </c>
      <c r="E58" s="65">
        <v>0.16666666666666666</v>
      </c>
      <c r="F58" s="65">
        <v>0.28680555555555554</v>
      </c>
      <c r="G58" s="65">
        <v>0.22916666666666666</v>
      </c>
      <c r="H58" s="65">
        <v>0.35416666666666669</v>
      </c>
      <c r="I58" s="38">
        <v>6.7361111111111108E-2</v>
      </c>
      <c r="J58" s="36" t="s">
        <v>674</v>
      </c>
      <c r="K58" s="36" t="s">
        <v>70</v>
      </c>
      <c r="L58" s="134" t="s">
        <v>675</v>
      </c>
      <c r="M58" s="36">
        <v>10</v>
      </c>
      <c r="N58" s="36" t="s">
        <v>676</v>
      </c>
      <c r="O58" s="36" t="s">
        <v>676</v>
      </c>
      <c r="P58" s="36">
        <v>0</v>
      </c>
      <c r="Q58" s="36">
        <v>0</v>
      </c>
      <c r="R58" s="39">
        <v>0.29097222222222224</v>
      </c>
      <c r="S58" s="39">
        <v>0.34930555555555554</v>
      </c>
      <c r="T58" s="39">
        <v>0.29236111111111113</v>
      </c>
      <c r="U58" s="39">
        <v>0.32708333333333334</v>
      </c>
      <c r="V58" s="39">
        <v>0.32847222222222222</v>
      </c>
      <c r="W58" s="39">
        <v>0.34930555555555554</v>
      </c>
      <c r="X58" s="39">
        <v>0.29930555555555555</v>
      </c>
      <c r="Y58" s="39">
        <v>0.35416666666666669</v>
      </c>
      <c r="Z58" s="36" t="s">
        <v>602</v>
      </c>
      <c r="AA58" s="36" t="s">
        <v>603</v>
      </c>
      <c r="AB58" s="36">
        <v>35</v>
      </c>
      <c r="AC58" s="36"/>
      <c r="AD58" s="36"/>
      <c r="AE58" s="36">
        <v>15</v>
      </c>
      <c r="AF58" s="163">
        <v>45712</v>
      </c>
    </row>
    <row r="59" spans="1:32" s="28" customFormat="1" x14ac:dyDescent="0.25">
      <c r="A59" s="35">
        <v>45713</v>
      </c>
      <c r="B59" s="36" t="s">
        <v>621</v>
      </c>
      <c r="C59" s="36" t="s">
        <v>32</v>
      </c>
      <c r="D59" s="36">
        <v>44</v>
      </c>
      <c r="E59" s="65">
        <v>0.21527777777777779</v>
      </c>
      <c r="F59" s="65">
        <v>0.21597222222222223</v>
      </c>
      <c r="G59" s="65">
        <v>0.27777777777777779</v>
      </c>
      <c r="H59" s="65">
        <v>0.31527777777777777</v>
      </c>
      <c r="I59" s="38">
        <f t="shared" si="2"/>
        <v>9.9305555555555536E-2</v>
      </c>
      <c r="J59" s="39">
        <v>3.7499999999999999E-2</v>
      </c>
      <c r="K59" s="36">
        <v>41</v>
      </c>
      <c r="L59" s="36" t="s">
        <v>677</v>
      </c>
      <c r="M59" s="36">
        <v>11</v>
      </c>
      <c r="N59" s="65">
        <v>0.21666666666666667</v>
      </c>
      <c r="O59" s="65">
        <v>0.31180555555555556</v>
      </c>
      <c r="P59" s="36">
        <v>0</v>
      </c>
      <c r="Q59" s="36">
        <v>0</v>
      </c>
      <c r="R59" s="39">
        <v>0.21736111111111112</v>
      </c>
      <c r="S59" s="39">
        <v>0.26527777777777778</v>
      </c>
      <c r="T59" s="39">
        <v>0.21944444444444444</v>
      </c>
      <c r="U59" s="39">
        <v>0.24305555555555555</v>
      </c>
      <c r="V59" s="39">
        <v>0.2361111111111111</v>
      </c>
      <c r="W59" s="39">
        <v>0.26458333333333334</v>
      </c>
      <c r="X59" s="39">
        <v>0.22500000000000001</v>
      </c>
      <c r="Y59" s="39">
        <v>0.31111111111111112</v>
      </c>
      <c r="Z59" s="36" t="s">
        <v>86</v>
      </c>
      <c r="AA59" s="36" t="s">
        <v>603</v>
      </c>
      <c r="AB59" s="36">
        <v>35</v>
      </c>
      <c r="AC59" s="36"/>
      <c r="AD59" s="36"/>
      <c r="AE59" s="36">
        <v>16</v>
      </c>
      <c r="AF59" s="163">
        <v>45713</v>
      </c>
    </row>
    <row r="60" spans="1:32" s="28" customFormat="1" x14ac:dyDescent="0.25">
      <c r="A60" s="35">
        <v>45714</v>
      </c>
      <c r="B60" s="36" t="s">
        <v>621</v>
      </c>
      <c r="C60" s="36" t="s">
        <v>39</v>
      </c>
      <c r="D60" s="36">
        <v>44</v>
      </c>
      <c r="E60" s="36" t="s">
        <v>678</v>
      </c>
      <c r="F60" s="37" t="s">
        <v>679</v>
      </c>
      <c r="G60" s="37" t="s">
        <v>680</v>
      </c>
      <c r="H60" s="37" t="s">
        <v>681</v>
      </c>
      <c r="I60" s="38">
        <v>6.25E-2</v>
      </c>
      <c r="J60" s="39" t="s">
        <v>682</v>
      </c>
      <c r="K60" s="36" t="s">
        <v>683</v>
      </c>
      <c r="L60" s="36" t="s">
        <v>684</v>
      </c>
      <c r="M60" s="36">
        <v>11</v>
      </c>
      <c r="N60" s="65">
        <v>0.20833333333333334</v>
      </c>
      <c r="O60" s="65">
        <v>0.2638888888888889</v>
      </c>
      <c r="P60" s="36">
        <v>0</v>
      </c>
      <c r="Q60" s="36">
        <v>0</v>
      </c>
      <c r="R60" s="39">
        <v>0.24305555555555555</v>
      </c>
      <c r="S60" s="39">
        <v>0.27569444444444446</v>
      </c>
      <c r="T60" s="39">
        <v>0.24583333333333332</v>
      </c>
      <c r="U60" s="39">
        <v>0.27569444444444446</v>
      </c>
      <c r="V60" s="39">
        <v>0.25138888888888888</v>
      </c>
      <c r="W60" s="39">
        <v>0.27569444444444446</v>
      </c>
      <c r="X60" s="39">
        <v>0.2388888888888889</v>
      </c>
      <c r="Y60" s="39">
        <v>0.29097222222222224</v>
      </c>
      <c r="Z60" s="36" t="s">
        <v>86</v>
      </c>
      <c r="AA60" s="36" t="s">
        <v>615</v>
      </c>
      <c r="AB60" s="36">
        <v>38</v>
      </c>
      <c r="AC60" s="36"/>
      <c r="AD60" s="36"/>
      <c r="AE60" s="36">
        <v>8</v>
      </c>
      <c r="AF60" s="163">
        <v>45714</v>
      </c>
    </row>
    <row r="61" spans="1:32" s="28" customFormat="1" x14ac:dyDescent="0.25">
      <c r="A61" s="35">
        <v>45715</v>
      </c>
      <c r="B61" s="36" t="s">
        <v>621</v>
      </c>
      <c r="C61" s="36" t="s">
        <v>46</v>
      </c>
      <c r="D61" s="36">
        <v>42</v>
      </c>
      <c r="E61" s="65">
        <v>0.21527777777777779</v>
      </c>
      <c r="F61" s="65">
        <v>0.37569444444444444</v>
      </c>
      <c r="G61" s="65">
        <v>0.27777777777777779</v>
      </c>
      <c r="H61" s="65">
        <v>0.43680555555555556</v>
      </c>
      <c r="I61" s="38">
        <f t="shared" si="2"/>
        <v>6.1111111111111116E-2</v>
      </c>
      <c r="J61" s="39">
        <v>0.15902777777777777</v>
      </c>
      <c r="K61" s="36" t="s">
        <v>82</v>
      </c>
      <c r="L61" s="37" t="s">
        <v>663</v>
      </c>
      <c r="M61" s="36">
        <v>12</v>
      </c>
      <c r="N61" s="65">
        <v>0.375</v>
      </c>
      <c r="O61" s="65">
        <v>0.43055555555555558</v>
      </c>
      <c r="P61" s="36">
        <v>0</v>
      </c>
      <c r="Q61" s="36">
        <v>0</v>
      </c>
      <c r="R61" s="39">
        <v>0.37638888888888888</v>
      </c>
      <c r="S61" s="39">
        <v>0.43055555555555558</v>
      </c>
      <c r="T61" s="39">
        <v>0.37847222222222221</v>
      </c>
      <c r="U61" s="39">
        <v>0.40138888888888891</v>
      </c>
      <c r="V61" s="39">
        <v>0.39583333333333331</v>
      </c>
      <c r="W61" s="39">
        <v>0.42569444444444443</v>
      </c>
      <c r="X61" s="39">
        <v>0.38472222222222224</v>
      </c>
      <c r="Y61" s="39">
        <v>0.4375</v>
      </c>
      <c r="Z61" s="36" t="s">
        <v>86</v>
      </c>
      <c r="AA61" s="36" t="s">
        <v>615</v>
      </c>
      <c r="AB61" s="36">
        <v>34</v>
      </c>
      <c r="AC61" s="36"/>
      <c r="AD61" s="36"/>
      <c r="AE61" s="36">
        <v>8</v>
      </c>
      <c r="AF61" s="163">
        <v>45715</v>
      </c>
    </row>
    <row r="62" spans="1:32" s="28" customFormat="1" x14ac:dyDescent="0.25">
      <c r="A62" s="35">
        <v>45716</v>
      </c>
      <c r="B62" s="36" t="s">
        <v>621</v>
      </c>
      <c r="C62" s="36" t="s">
        <v>39</v>
      </c>
      <c r="D62" s="36">
        <v>43</v>
      </c>
      <c r="E62" s="65">
        <v>0.21527777777777779</v>
      </c>
      <c r="F62" s="65">
        <v>0.22500000000000001</v>
      </c>
      <c r="G62" s="65">
        <v>0.27777777777777779</v>
      </c>
      <c r="H62" s="65">
        <v>0.28055555555555556</v>
      </c>
      <c r="I62" s="38">
        <f t="shared" si="2"/>
        <v>5.5555555555555552E-2</v>
      </c>
      <c r="J62" s="36">
        <v>0</v>
      </c>
      <c r="K62" s="36">
        <v>0</v>
      </c>
      <c r="L62" s="37" t="s">
        <v>685</v>
      </c>
      <c r="M62" s="36">
        <v>12</v>
      </c>
      <c r="N62" s="65">
        <v>0.22569444444444445</v>
      </c>
      <c r="O62" s="65">
        <v>0.28125</v>
      </c>
      <c r="P62" s="36">
        <v>0</v>
      </c>
      <c r="Q62" s="36">
        <v>0</v>
      </c>
      <c r="R62" s="39">
        <v>0.22708333333333333</v>
      </c>
      <c r="S62" s="39">
        <v>0.27500000000000002</v>
      </c>
      <c r="T62" s="39">
        <v>0.22708333333333333</v>
      </c>
      <c r="U62" s="39">
        <v>0.27500000000000002</v>
      </c>
      <c r="V62" s="39">
        <v>0.2326388888888889</v>
      </c>
      <c r="W62" s="39">
        <v>0.27500000000000002</v>
      </c>
      <c r="X62" s="39">
        <v>0.2361111111111111</v>
      </c>
      <c r="Y62" s="39">
        <v>0.27986111111111112</v>
      </c>
      <c r="Z62" s="36" t="s">
        <v>86</v>
      </c>
      <c r="AA62" s="37" t="s">
        <v>686</v>
      </c>
      <c r="AB62" s="36">
        <v>25</v>
      </c>
      <c r="AC62" s="36"/>
      <c r="AD62" s="36"/>
      <c r="AE62" s="36">
        <v>13</v>
      </c>
      <c r="AF62" s="163">
        <v>45716</v>
      </c>
    </row>
    <row r="63" spans="1:32" s="28" customFormat="1" x14ac:dyDescent="0.25">
      <c r="A63" s="35">
        <v>45717</v>
      </c>
      <c r="B63" s="36" t="s">
        <v>621</v>
      </c>
      <c r="C63" s="36" t="s">
        <v>38</v>
      </c>
      <c r="D63" s="36">
        <v>46</v>
      </c>
      <c r="E63" s="65">
        <v>0.25694444444444442</v>
      </c>
      <c r="F63" s="65">
        <v>0.2388888888888889</v>
      </c>
      <c r="G63" s="65">
        <v>0.31944444444444442</v>
      </c>
      <c r="H63" s="65">
        <v>0.31180555555555556</v>
      </c>
      <c r="I63" s="38">
        <f t="shared" si="2"/>
        <v>7.2916666666666657E-2</v>
      </c>
      <c r="J63" s="36">
        <v>0</v>
      </c>
      <c r="K63" s="36">
        <v>0</v>
      </c>
      <c r="L63" s="37" t="s">
        <v>687</v>
      </c>
      <c r="M63" s="36">
        <v>12</v>
      </c>
      <c r="N63" s="65">
        <v>0.24305555555555555</v>
      </c>
      <c r="O63" s="65">
        <v>0.30555555555555558</v>
      </c>
      <c r="P63" s="36">
        <v>0</v>
      </c>
      <c r="Q63" s="36">
        <v>0</v>
      </c>
      <c r="R63" s="130">
        <v>0.24236111111111111</v>
      </c>
      <c r="S63" s="39">
        <v>0.30694444444444446</v>
      </c>
      <c r="T63" s="39">
        <v>0.24583333333333332</v>
      </c>
      <c r="U63" s="39">
        <v>0.26041666666666669</v>
      </c>
      <c r="V63" s="39">
        <v>0.27152777777777776</v>
      </c>
      <c r="W63" s="39">
        <v>0.30555555555555558</v>
      </c>
      <c r="X63" s="39">
        <v>0.27986111111111112</v>
      </c>
      <c r="Y63" s="39">
        <v>0.31180555555555556</v>
      </c>
      <c r="Z63" s="36" t="s">
        <v>86</v>
      </c>
      <c r="AA63" s="36" t="s">
        <v>603</v>
      </c>
      <c r="AB63" s="36">
        <v>30</v>
      </c>
      <c r="AC63" s="36">
        <v>0</v>
      </c>
      <c r="AD63" s="36">
        <v>16</v>
      </c>
      <c r="AE63" s="36">
        <v>0</v>
      </c>
      <c r="AF63" s="163">
        <v>45717</v>
      </c>
    </row>
    <row r="64" spans="1:32" s="118" customFormat="1" x14ac:dyDescent="0.25">
      <c r="A64" s="114">
        <v>45718</v>
      </c>
      <c r="B64" s="115" t="s">
        <v>337</v>
      </c>
      <c r="C64" s="119"/>
      <c r="D64" s="119"/>
      <c r="E64" s="119"/>
      <c r="F64" s="119"/>
      <c r="G64" s="119"/>
      <c r="H64" s="119"/>
      <c r="I64" s="117">
        <f t="shared" si="2"/>
        <v>0</v>
      </c>
      <c r="J64" s="115"/>
      <c r="K64" s="115"/>
      <c r="L64" s="119"/>
      <c r="M64" s="119"/>
      <c r="N64" s="119"/>
      <c r="O64" s="119"/>
      <c r="P64" s="115"/>
      <c r="Q64" s="115"/>
      <c r="R64" s="119"/>
      <c r="S64" s="115"/>
      <c r="T64" s="115"/>
      <c r="U64" s="115"/>
      <c r="V64" s="115"/>
      <c r="W64" s="115"/>
      <c r="X64" s="115"/>
      <c r="Y64" s="115"/>
      <c r="Z64" s="119"/>
      <c r="AA64" s="119"/>
      <c r="AB64" s="157"/>
      <c r="AC64" s="157"/>
      <c r="AD64" s="157"/>
      <c r="AE64" s="157"/>
      <c r="AF64" s="165">
        <v>45718</v>
      </c>
    </row>
    <row r="65" spans="1:32" s="28" customFormat="1" x14ac:dyDescent="0.25">
      <c r="A65" s="35">
        <v>45719</v>
      </c>
      <c r="B65" s="36" t="s">
        <v>621</v>
      </c>
      <c r="C65" s="36" t="s">
        <v>38</v>
      </c>
      <c r="D65" s="36">
        <v>42</v>
      </c>
      <c r="E65" s="65">
        <v>0.16666666666666666</v>
      </c>
      <c r="F65" s="65">
        <v>0.1701388888888889</v>
      </c>
      <c r="G65" s="65">
        <v>0.22916666666666666</v>
      </c>
      <c r="H65" s="65">
        <v>0.21527777777777779</v>
      </c>
      <c r="I65" s="38">
        <f t="shared" si="2"/>
        <v>4.5138888888888895E-2</v>
      </c>
      <c r="J65" s="36">
        <v>0</v>
      </c>
      <c r="K65" s="36">
        <v>0</v>
      </c>
      <c r="L65" s="36" t="s">
        <v>33</v>
      </c>
      <c r="M65" s="36">
        <v>12</v>
      </c>
      <c r="N65" s="65">
        <v>0.17291666666666666</v>
      </c>
      <c r="O65" s="65">
        <v>0.21458333333333332</v>
      </c>
      <c r="P65" s="36">
        <v>0</v>
      </c>
      <c r="Q65" s="36">
        <v>0</v>
      </c>
      <c r="R65" s="65">
        <v>0.17083333333333334</v>
      </c>
      <c r="S65" s="39">
        <v>0.21527777777777779</v>
      </c>
      <c r="T65" s="39">
        <v>0.1763888888888889</v>
      </c>
      <c r="U65" s="39">
        <v>0.21458333333333332</v>
      </c>
      <c r="V65" s="39">
        <v>0.19027777777777777</v>
      </c>
      <c r="W65" s="39">
        <v>0.21458333333333332</v>
      </c>
      <c r="X65" s="39">
        <v>0.19097222222222221</v>
      </c>
      <c r="Y65" s="39">
        <v>0.22013888888888888</v>
      </c>
      <c r="Z65" s="37" t="s">
        <v>688</v>
      </c>
      <c r="AA65" s="37" t="s">
        <v>689</v>
      </c>
      <c r="AB65" s="36">
        <v>37</v>
      </c>
      <c r="AC65" s="36"/>
      <c r="AD65" s="36"/>
      <c r="AE65" s="36">
        <v>2</v>
      </c>
      <c r="AF65" s="163">
        <v>45719</v>
      </c>
    </row>
    <row r="66" spans="1:32" s="28" customFormat="1" x14ac:dyDescent="0.25">
      <c r="A66" s="35">
        <v>45720</v>
      </c>
      <c r="B66" s="36" t="s">
        <v>621</v>
      </c>
      <c r="C66" s="36" t="s">
        <v>46</v>
      </c>
      <c r="D66" s="36">
        <v>43</v>
      </c>
      <c r="E66" s="65">
        <v>0.21527777777777779</v>
      </c>
      <c r="F66" s="65">
        <v>0.21875</v>
      </c>
      <c r="G66" s="65">
        <v>0.27777777777777779</v>
      </c>
      <c r="H66" s="65">
        <v>0.26944444444444443</v>
      </c>
      <c r="I66" s="38">
        <f t="shared" si="2"/>
        <v>5.0694444444444431E-2</v>
      </c>
      <c r="J66" s="36">
        <v>0</v>
      </c>
      <c r="K66" s="36">
        <v>0</v>
      </c>
      <c r="L66" s="36" t="s">
        <v>33</v>
      </c>
      <c r="M66" s="36">
        <v>13</v>
      </c>
      <c r="N66" s="65">
        <v>0.21597222222222223</v>
      </c>
      <c r="O66" s="65">
        <v>0.26458333333333334</v>
      </c>
      <c r="P66" s="36">
        <v>0</v>
      </c>
      <c r="Q66" s="36">
        <v>0</v>
      </c>
      <c r="R66" s="39">
        <v>0.22222222222222221</v>
      </c>
      <c r="S66" s="39">
        <v>0.2673611111111111</v>
      </c>
      <c r="T66" s="39">
        <v>0.22291666666666668</v>
      </c>
      <c r="U66" s="39">
        <v>0.24027777777777778</v>
      </c>
      <c r="V66" s="39">
        <v>0.24305555555555555</v>
      </c>
      <c r="W66" s="39">
        <v>0.26597222222222222</v>
      </c>
      <c r="X66" s="39">
        <v>0.23125000000000001</v>
      </c>
      <c r="Y66" s="39">
        <v>0.26874999999999999</v>
      </c>
      <c r="Z66" s="36" t="s">
        <v>86</v>
      </c>
      <c r="AA66" s="37" t="s">
        <v>689</v>
      </c>
      <c r="AB66" s="36">
        <v>19</v>
      </c>
      <c r="AC66" s="36">
        <v>9</v>
      </c>
      <c r="AD66" s="36">
        <v>12</v>
      </c>
      <c r="AE66" s="36">
        <v>0</v>
      </c>
      <c r="AF66" s="163">
        <v>45720</v>
      </c>
    </row>
    <row r="67" spans="1:32" s="28" customFormat="1" x14ac:dyDescent="0.25">
      <c r="A67" s="35">
        <v>45721</v>
      </c>
      <c r="B67" s="36" t="s">
        <v>621</v>
      </c>
      <c r="C67" s="36" t="s">
        <v>38</v>
      </c>
      <c r="D67" s="36">
        <v>44</v>
      </c>
      <c r="E67" s="65">
        <v>0.21527777777777779</v>
      </c>
      <c r="F67" s="65">
        <v>0.26666666666666666</v>
      </c>
      <c r="G67" s="65">
        <v>0.27777777777777779</v>
      </c>
      <c r="H67" s="65">
        <v>0.32222222222222224</v>
      </c>
      <c r="I67" s="38">
        <f t="shared" si="2"/>
        <v>5.555555555555558E-2</v>
      </c>
      <c r="J67" s="39">
        <v>5.1388888888888887E-2</v>
      </c>
      <c r="K67" s="36" t="s">
        <v>50</v>
      </c>
      <c r="L67" s="37" t="s">
        <v>690</v>
      </c>
      <c r="M67" s="36">
        <v>13</v>
      </c>
      <c r="N67" s="65">
        <v>0.22847222222222222</v>
      </c>
      <c r="O67" s="65">
        <v>0.31180555555555556</v>
      </c>
      <c r="P67" s="36">
        <v>0</v>
      </c>
      <c r="Q67" s="36">
        <v>0</v>
      </c>
      <c r="R67" s="39">
        <v>0.26805555555555555</v>
      </c>
      <c r="S67" s="39">
        <v>0.31666666666666665</v>
      </c>
      <c r="T67" s="39">
        <v>0.26944444444444443</v>
      </c>
      <c r="U67" s="39">
        <v>0.28819444444444442</v>
      </c>
      <c r="V67" s="39">
        <v>0.29166666666666669</v>
      </c>
      <c r="W67" s="39">
        <v>0.31597222222222221</v>
      </c>
      <c r="X67" s="39">
        <v>0.28749999999999998</v>
      </c>
      <c r="Y67" s="39">
        <v>0.32013888888888886</v>
      </c>
      <c r="Z67" s="37" t="s">
        <v>90</v>
      </c>
      <c r="AA67" s="36" t="s">
        <v>641</v>
      </c>
      <c r="AB67" s="36">
        <v>21</v>
      </c>
      <c r="AC67" s="36">
        <v>8</v>
      </c>
      <c r="AD67" s="36">
        <v>14</v>
      </c>
      <c r="AE67" s="36">
        <v>6</v>
      </c>
      <c r="AF67" s="163">
        <v>45721</v>
      </c>
    </row>
    <row r="68" spans="1:32" s="28" customFormat="1" ht="30" x14ac:dyDescent="0.25">
      <c r="A68" s="35">
        <v>45722</v>
      </c>
      <c r="B68" s="36" t="s">
        <v>621</v>
      </c>
      <c r="C68" s="36" t="s">
        <v>46</v>
      </c>
      <c r="D68" s="36">
        <v>44</v>
      </c>
      <c r="E68" s="65">
        <v>0.21527777777777779</v>
      </c>
      <c r="F68" s="65">
        <v>0.2590277777777778</v>
      </c>
      <c r="G68" s="65">
        <v>0.27777777777777779</v>
      </c>
      <c r="H68" s="65">
        <v>0.3347222222222222</v>
      </c>
      <c r="I68" s="38">
        <f t="shared" si="2"/>
        <v>7.5694444444444398E-2</v>
      </c>
      <c r="J68" s="37" t="s">
        <v>691</v>
      </c>
      <c r="K68" s="133" t="s">
        <v>692</v>
      </c>
      <c r="L68" s="134" t="s">
        <v>693</v>
      </c>
      <c r="M68" s="36">
        <v>12</v>
      </c>
      <c r="N68" s="65">
        <v>0.26041666666666669</v>
      </c>
      <c r="O68" s="65">
        <v>0.30208333333333331</v>
      </c>
      <c r="P68" s="36">
        <v>0</v>
      </c>
      <c r="Q68" s="36">
        <v>0</v>
      </c>
      <c r="R68" s="39">
        <v>0.26180555555555557</v>
      </c>
      <c r="S68" s="39">
        <v>0.30972222222222223</v>
      </c>
      <c r="T68" s="39">
        <v>0.26319444444444445</v>
      </c>
      <c r="U68" s="39">
        <v>0.19583333333333333</v>
      </c>
      <c r="V68" s="39">
        <v>0.28333333333333333</v>
      </c>
      <c r="W68" s="39">
        <v>0.30416666666666664</v>
      </c>
      <c r="X68" s="39">
        <v>0.27500000000000002</v>
      </c>
      <c r="Y68" s="39">
        <v>0.3347222222222222</v>
      </c>
      <c r="Z68" s="37" t="s">
        <v>90</v>
      </c>
      <c r="AA68" s="37" t="s">
        <v>614</v>
      </c>
      <c r="AB68" s="36">
        <v>18</v>
      </c>
      <c r="AC68" s="36">
        <v>8</v>
      </c>
      <c r="AD68" s="36">
        <v>24</v>
      </c>
      <c r="AE68" s="36">
        <v>3</v>
      </c>
      <c r="AF68" s="163">
        <v>45722</v>
      </c>
    </row>
    <row r="69" spans="1:32" s="28" customFormat="1" ht="30" x14ac:dyDescent="0.25">
      <c r="A69" s="35">
        <v>45723</v>
      </c>
      <c r="B69" s="36" t="s">
        <v>621</v>
      </c>
      <c r="C69" s="36" t="s">
        <v>32</v>
      </c>
      <c r="D69" s="133">
        <v>44</v>
      </c>
      <c r="E69" s="65">
        <v>0.21527777777777779</v>
      </c>
      <c r="F69" s="65">
        <v>0.24305555555555555</v>
      </c>
      <c r="G69" s="65">
        <v>0.27777777777777779</v>
      </c>
      <c r="H69" s="65">
        <v>0.31666666666666665</v>
      </c>
      <c r="I69" s="38">
        <f t="shared" si="2"/>
        <v>7.3611111111111099E-2</v>
      </c>
      <c r="J69" s="37" t="s">
        <v>694</v>
      </c>
      <c r="K69" s="37" t="s">
        <v>695</v>
      </c>
      <c r="L69" s="134" t="s">
        <v>696</v>
      </c>
      <c r="M69" s="36">
        <v>13</v>
      </c>
      <c r="N69" s="65">
        <v>0.25</v>
      </c>
      <c r="O69" s="65">
        <v>0.30555555555555558</v>
      </c>
      <c r="P69" s="36">
        <v>0</v>
      </c>
      <c r="Q69" s="36">
        <v>0</v>
      </c>
      <c r="R69" s="39">
        <v>0.28263888888888888</v>
      </c>
      <c r="S69" s="39">
        <v>0.30208333333333331</v>
      </c>
      <c r="T69" s="39">
        <v>0.25</v>
      </c>
      <c r="U69" s="39">
        <v>0.25972222222222224</v>
      </c>
      <c r="V69" s="39">
        <v>0.26041666666666669</v>
      </c>
      <c r="W69" s="39">
        <v>0.30138888888888887</v>
      </c>
      <c r="X69" s="39">
        <v>0.25694444444444442</v>
      </c>
      <c r="Y69" s="39">
        <v>0.31597222222222221</v>
      </c>
      <c r="Z69" s="36" t="s">
        <v>86</v>
      </c>
      <c r="AA69" s="37"/>
      <c r="AB69" s="67">
        <v>12</v>
      </c>
      <c r="AC69" s="36">
        <v>0</v>
      </c>
      <c r="AD69" s="36">
        <v>28</v>
      </c>
      <c r="AE69" s="36">
        <v>0</v>
      </c>
      <c r="AF69" s="163">
        <v>45723</v>
      </c>
    </row>
    <row r="70" spans="1:32" s="28" customFormat="1" ht="30" x14ac:dyDescent="0.25">
      <c r="A70" s="35">
        <v>45724</v>
      </c>
      <c r="B70" s="36" t="s">
        <v>697</v>
      </c>
      <c r="C70" s="36" t="s">
        <v>46</v>
      </c>
      <c r="D70" s="36">
        <v>45</v>
      </c>
      <c r="E70" s="65">
        <v>0.25694444444444442</v>
      </c>
      <c r="F70" s="65">
        <v>0.13819444444444445</v>
      </c>
      <c r="G70" s="65">
        <v>0.31944444444444442</v>
      </c>
      <c r="H70" s="37"/>
      <c r="I70" s="38">
        <v>0</v>
      </c>
      <c r="J70" s="37"/>
      <c r="K70" s="37"/>
      <c r="L70" s="134" t="s">
        <v>698</v>
      </c>
      <c r="M70" s="36">
        <v>12</v>
      </c>
      <c r="N70" s="65">
        <v>0.14583333333333334</v>
      </c>
      <c r="O70" s="65">
        <v>0.22916666666666666</v>
      </c>
      <c r="P70" s="36">
        <v>0</v>
      </c>
      <c r="Q70" s="36">
        <v>0</v>
      </c>
      <c r="R70" s="39">
        <v>0.14861111111111111</v>
      </c>
      <c r="S70" s="39">
        <v>0.2361111111111111</v>
      </c>
      <c r="T70" s="39">
        <v>0.23333333333333334</v>
      </c>
      <c r="U70" s="39">
        <v>0.23541666666666666</v>
      </c>
      <c r="V70" s="36" t="s">
        <v>213</v>
      </c>
      <c r="W70" s="36" t="s">
        <v>213</v>
      </c>
      <c r="X70" s="39">
        <v>0.19791666666666666</v>
      </c>
      <c r="Y70" s="36" t="s">
        <v>213</v>
      </c>
      <c r="Z70" s="36" t="s">
        <v>86</v>
      </c>
      <c r="AA70" s="37"/>
      <c r="AB70" s="36">
        <v>25</v>
      </c>
      <c r="AC70" s="36">
        <v>0</v>
      </c>
      <c r="AD70" s="36">
        <v>0</v>
      </c>
      <c r="AE70" s="36">
        <v>0</v>
      </c>
      <c r="AF70" s="163">
        <v>45724</v>
      </c>
    </row>
    <row r="71" spans="1:32" s="118" customFormat="1" x14ac:dyDescent="0.25">
      <c r="A71" s="114">
        <v>45725</v>
      </c>
      <c r="B71" s="115" t="s">
        <v>107</v>
      </c>
      <c r="C71" s="115" t="s">
        <v>46</v>
      </c>
      <c r="D71" s="115">
        <v>45</v>
      </c>
      <c r="E71" s="119"/>
      <c r="F71" s="119"/>
      <c r="G71" s="127">
        <v>0.29166666666666669</v>
      </c>
      <c r="H71" s="127">
        <v>0.27986111111111112</v>
      </c>
      <c r="I71" s="117">
        <f t="shared" si="2"/>
        <v>0.27986111111111112</v>
      </c>
      <c r="J71" s="116">
        <v>0.9604166666666667</v>
      </c>
      <c r="K71" s="115" t="s">
        <v>699</v>
      </c>
      <c r="L71" s="119" t="s">
        <v>700</v>
      </c>
      <c r="M71" s="115">
        <v>12</v>
      </c>
      <c r="N71" s="119" t="s">
        <v>676</v>
      </c>
      <c r="O71" s="119" t="s">
        <v>676</v>
      </c>
      <c r="P71" s="115">
        <v>0</v>
      </c>
      <c r="Q71" s="115">
        <v>0</v>
      </c>
      <c r="R71" s="116">
        <v>0.1875</v>
      </c>
      <c r="S71" s="116">
        <v>0.27708333333333335</v>
      </c>
      <c r="T71" s="119"/>
      <c r="U71" s="119"/>
      <c r="V71" s="116">
        <v>0.2326388888888889</v>
      </c>
      <c r="W71" s="116">
        <v>0.27083333333333331</v>
      </c>
      <c r="X71" s="115" t="s">
        <v>213</v>
      </c>
      <c r="Y71" s="116">
        <v>0.27986111111111112</v>
      </c>
      <c r="Z71" s="119" t="s">
        <v>90</v>
      </c>
      <c r="AA71" s="119"/>
      <c r="AB71" s="115"/>
      <c r="AC71" s="115"/>
      <c r="AD71" s="115">
        <v>22</v>
      </c>
      <c r="AE71" s="115">
        <v>6</v>
      </c>
      <c r="AF71" s="165">
        <v>45725</v>
      </c>
    </row>
    <row r="72" spans="1:32" s="28" customFormat="1" x14ac:dyDescent="0.25">
      <c r="A72" s="35">
        <v>45726</v>
      </c>
      <c r="B72" s="36" t="s">
        <v>621</v>
      </c>
      <c r="C72" s="36" t="s">
        <v>39</v>
      </c>
      <c r="D72" s="36">
        <v>44</v>
      </c>
      <c r="E72" s="39">
        <v>0.1736111111111111</v>
      </c>
      <c r="F72" s="39">
        <v>0.18611111111111112</v>
      </c>
      <c r="G72" s="39">
        <v>0.22916666666666666</v>
      </c>
      <c r="H72" s="39">
        <v>0.24444444444444444</v>
      </c>
      <c r="I72" s="38">
        <f t="shared" si="2"/>
        <v>5.833333333333332E-2</v>
      </c>
      <c r="J72" s="37" t="s">
        <v>701</v>
      </c>
      <c r="K72" s="37" t="s">
        <v>702</v>
      </c>
      <c r="L72" s="37" t="s">
        <v>703</v>
      </c>
      <c r="M72" s="36">
        <v>11</v>
      </c>
      <c r="N72" s="65">
        <v>0.1875</v>
      </c>
      <c r="O72" s="65">
        <v>0.24652777777777779</v>
      </c>
      <c r="P72" s="37">
        <v>0</v>
      </c>
      <c r="Q72" s="37">
        <v>0</v>
      </c>
      <c r="R72" s="65">
        <v>0.18819444444444444</v>
      </c>
      <c r="S72" s="65">
        <v>0.23958333333333334</v>
      </c>
      <c r="T72" s="65">
        <v>0.19375000000000001</v>
      </c>
      <c r="U72" s="65">
        <v>0.22083333333333333</v>
      </c>
      <c r="V72" s="65">
        <v>0.22152777777777777</v>
      </c>
      <c r="W72" s="65">
        <v>0.23958333333333334</v>
      </c>
      <c r="X72" s="65">
        <v>0.19791666666666666</v>
      </c>
      <c r="Y72" s="65">
        <v>0.24444444444444444</v>
      </c>
      <c r="Z72" s="37" t="s">
        <v>704</v>
      </c>
      <c r="AA72" s="37"/>
      <c r="AB72" s="36">
        <v>22</v>
      </c>
      <c r="AC72" s="36">
        <v>7</v>
      </c>
      <c r="AD72" s="36">
        <v>18</v>
      </c>
      <c r="AE72" s="36">
        <v>0</v>
      </c>
      <c r="AF72" s="163">
        <v>45726</v>
      </c>
    </row>
    <row r="73" spans="1:32" s="28" customFormat="1" x14ac:dyDescent="0.25">
      <c r="A73" s="35">
        <v>45727</v>
      </c>
      <c r="B73" s="36" t="s">
        <v>621</v>
      </c>
      <c r="C73" s="36" t="s">
        <v>35</v>
      </c>
      <c r="D73" s="36">
        <v>45</v>
      </c>
      <c r="E73" s="39">
        <v>0.21527777777777779</v>
      </c>
      <c r="F73" s="39">
        <v>0.21527777777777779</v>
      </c>
      <c r="G73" s="39">
        <v>0.27777777777777779</v>
      </c>
      <c r="H73" s="39">
        <v>0.27013888888888887</v>
      </c>
      <c r="I73" s="38">
        <f t="shared" si="2"/>
        <v>5.4861111111111083E-2</v>
      </c>
      <c r="J73" s="36">
        <v>0</v>
      </c>
      <c r="K73" s="36">
        <v>0</v>
      </c>
      <c r="L73" s="36" t="s">
        <v>33</v>
      </c>
      <c r="M73" s="36">
        <v>12</v>
      </c>
      <c r="N73" s="65">
        <v>0.21388888888888888</v>
      </c>
      <c r="O73" s="65">
        <v>0.2326388888888889</v>
      </c>
      <c r="P73" s="37">
        <v>0</v>
      </c>
      <c r="Q73" s="37">
        <v>0</v>
      </c>
      <c r="R73" s="65">
        <v>0.21597222222222223</v>
      </c>
      <c r="S73" s="65">
        <v>0.2638888888888889</v>
      </c>
      <c r="T73" s="65">
        <v>0.21597222222222223</v>
      </c>
      <c r="U73" s="65">
        <v>0.24305555555555555</v>
      </c>
      <c r="V73" s="65">
        <v>0.24374999999999999</v>
      </c>
      <c r="W73" s="65">
        <v>0.2638888888888889</v>
      </c>
      <c r="X73" s="65">
        <v>0.22847222222222222</v>
      </c>
      <c r="Y73" s="65">
        <v>0.26805555555555555</v>
      </c>
      <c r="Z73" s="37" t="s">
        <v>704</v>
      </c>
      <c r="AA73" s="37"/>
      <c r="AB73" s="36">
        <v>17</v>
      </c>
      <c r="AC73" s="36">
        <v>3</v>
      </c>
      <c r="AD73" s="36">
        <v>20</v>
      </c>
      <c r="AE73" s="36">
        <v>2</v>
      </c>
      <c r="AF73" s="166">
        <v>45727</v>
      </c>
    </row>
    <row r="74" spans="1:32" s="28" customFormat="1" x14ac:dyDescent="0.25">
      <c r="A74" s="35">
        <v>45728</v>
      </c>
      <c r="B74" s="36" t="s">
        <v>621</v>
      </c>
      <c r="C74" s="36" t="s">
        <v>39</v>
      </c>
      <c r="D74" s="36">
        <v>43</v>
      </c>
      <c r="E74" s="65">
        <v>0.21527777777777779</v>
      </c>
      <c r="F74" s="65">
        <v>0.20833333333333334</v>
      </c>
      <c r="G74" s="39">
        <v>0.27777777777777779</v>
      </c>
      <c r="H74" s="65">
        <v>0.27291666666666664</v>
      </c>
      <c r="I74" s="38">
        <f t="shared" si="2"/>
        <v>6.4583333333333298E-2</v>
      </c>
      <c r="J74" s="36">
        <v>0</v>
      </c>
      <c r="K74" s="36">
        <v>0</v>
      </c>
      <c r="L74" s="37" t="s">
        <v>33</v>
      </c>
      <c r="M74" s="36">
        <v>12</v>
      </c>
      <c r="N74" s="65">
        <v>0.21041666666666667</v>
      </c>
      <c r="O74" s="65">
        <v>0.27291666666666664</v>
      </c>
      <c r="P74" s="37">
        <v>0</v>
      </c>
      <c r="Q74" s="37">
        <v>0</v>
      </c>
      <c r="R74" s="65">
        <v>0.21180555555555555</v>
      </c>
      <c r="S74" s="65">
        <v>0.25486111111111109</v>
      </c>
      <c r="T74" s="65">
        <v>0.21319444444444444</v>
      </c>
      <c r="U74" s="65">
        <v>0.25416666666666665</v>
      </c>
      <c r="V74" s="65">
        <v>0.2326388888888889</v>
      </c>
      <c r="W74" s="65">
        <v>0.25416666666666665</v>
      </c>
      <c r="X74" s="65">
        <v>0.22708333333333333</v>
      </c>
      <c r="Y74" s="65">
        <v>0.2722222222222222</v>
      </c>
      <c r="Z74" s="37" t="s">
        <v>86</v>
      </c>
      <c r="AA74" s="37"/>
      <c r="AB74" s="36">
        <v>19</v>
      </c>
      <c r="AC74" s="36">
        <v>4</v>
      </c>
      <c r="AD74" s="36">
        <v>14</v>
      </c>
      <c r="AE74" s="36">
        <v>3</v>
      </c>
      <c r="AF74" s="167">
        <v>45728</v>
      </c>
    </row>
    <row r="75" spans="1:32" s="28" customFormat="1" x14ac:dyDescent="0.25">
      <c r="A75" s="35">
        <v>45729</v>
      </c>
      <c r="B75" s="36" t="s">
        <v>621</v>
      </c>
      <c r="C75" s="36" t="s">
        <v>38</v>
      </c>
      <c r="D75" s="36">
        <v>43</v>
      </c>
      <c r="E75" s="65">
        <v>0.21527777777777779</v>
      </c>
      <c r="F75" s="65">
        <v>0.23749999999999999</v>
      </c>
      <c r="G75" s="65">
        <v>0.27777777777777779</v>
      </c>
      <c r="H75" s="65">
        <v>0.29722222222222222</v>
      </c>
      <c r="I75" s="38">
        <f t="shared" si="2"/>
        <v>5.9722222222222232E-2</v>
      </c>
      <c r="J75" s="39">
        <v>1.9444444444444445E-2</v>
      </c>
      <c r="K75" s="36" t="s">
        <v>50</v>
      </c>
      <c r="L75" s="36" t="s">
        <v>705</v>
      </c>
      <c r="M75" s="36">
        <v>11</v>
      </c>
      <c r="N75" s="65">
        <v>0.2361111111111111</v>
      </c>
      <c r="O75" s="65">
        <v>0.2986111111111111</v>
      </c>
      <c r="P75" s="65">
        <v>0.28472222222222221</v>
      </c>
      <c r="Q75" s="65">
        <v>0.2986111111111111</v>
      </c>
      <c r="R75" s="65">
        <v>0.23749999999999999</v>
      </c>
      <c r="S75" s="65">
        <v>0.28611111111111109</v>
      </c>
      <c r="T75" s="65">
        <v>0.24027777777777778</v>
      </c>
      <c r="U75" s="65">
        <v>0.2638888888888889</v>
      </c>
      <c r="V75" s="65">
        <v>0.26597222222222222</v>
      </c>
      <c r="W75" s="65">
        <v>0.28402777777777777</v>
      </c>
      <c r="X75" s="65">
        <v>0.24791666666666667</v>
      </c>
      <c r="Y75" s="65">
        <v>0.29722222222222222</v>
      </c>
      <c r="Z75" s="37" t="s">
        <v>40</v>
      </c>
      <c r="AA75" s="37"/>
      <c r="AB75" s="36">
        <v>27</v>
      </c>
      <c r="AC75" s="36">
        <v>0</v>
      </c>
      <c r="AD75" s="36">
        <v>18</v>
      </c>
      <c r="AE75" s="36">
        <v>7</v>
      </c>
      <c r="AF75" s="167">
        <v>45729</v>
      </c>
    </row>
    <row r="76" spans="1:32" s="28" customFormat="1" x14ac:dyDescent="0.25">
      <c r="A76" s="35">
        <v>45730</v>
      </c>
      <c r="B76" s="36" t="s">
        <v>621</v>
      </c>
      <c r="C76" s="36" t="s">
        <v>48</v>
      </c>
      <c r="D76" s="36">
        <v>43</v>
      </c>
      <c r="E76" s="65">
        <v>0.21527777777777779</v>
      </c>
      <c r="F76" s="65">
        <v>0.20972222222222223</v>
      </c>
      <c r="G76" s="65">
        <v>0.27777777777777779</v>
      </c>
      <c r="H76" s="65">
        <v>0.2722222222222222</v>
      </c>
      <c r="I76" s="38">
        <f t="shared" si="2"/>
        <v>6.2499999999999972E-2</v>
      </c>
      <c r="J76" s="36">
        <v>0</v>
      </c>
      <c r="K76" s="36">
        <v>0</v>
      </c>
      <c r="L76" s="36" t="s">
        <v>33</v>
      </c>
      <c r="M76" s="36">
        <v>11</v>
      </c>
      <c r="N76" s="65">
        <v>0.21180555555555555</v>
      </c>
      <c r="O76" s="65">
        <v>0.27083333333333331</v>
      </c>
      <c r="P76" s="37">
        <v>0</v>
      </c>
      <c r="Q76" s="37">
        <v>0</v>
      </c>
      <c r="R76" s="65">
        <v>0.21041666666666667</v>
      </c>
      <c r="S76" s="65">
        <v>0.26041666666666669</v>
      </c>
      <c r="T76" s="65">
        <v>0.21388888888888888</v>
      </c>
      <c r="U76" s="65">
        <v>0.23541666666666666</v>
      </c>
      <c r="V76" s="65">
        <v>0.23749999999999999</v>
      </c>
      <c r="W76" s="65">
        <v>0.25972222222222224</v>
      </c>
      <c r="X76" s="65">
        <v>0.22083333333333333</v>
      </c>
      <c r="Y76" s="65">
        <v>0.2722222222222222</v>
      </c>
      <c r="Z76" s="37" t="s">
        <v>706</v>
      </c>
      <c r="AA76" s="37"/>
      <c r="AB76" s="36">
        <v>22</v>
      </c>
      <c r="AC76" s="36">
        <v>9</v>
      </c>
      <c r="AD76" s="36">
        <v>12</v>
      </c>
      <c r="AE76" s="36">
        <v>0</v>
      </c>
      <c r="AF76" s="167">
        <v>45730</v>
      </c>
    </row>
    <row r="77" spans="1:32" s="28" customFormat="1" x14ac:dyDescent="0.25">
      <c r="A77" s="35">
        <v>45731</v>
      </c>
      <c r="B77" s="36" t="s">
        <v>621</v>
      </c>
      <c r="C77" s="36" t="s">
        <v>35</v>
      </c>
      <c r="D77" s="36">
        <v>43</v>
      </c>
      <c r="E77" s="65">
        <v>0.25694444444444442</v>
      </c>
      <c r="F77" s="65">
        <v>0.2361111111111111</v>
      </c>
      <c r="G77" s="65">
        <v>0.31944444444444442</v>
      </c>
      <c r="H77" s="65">
        <v>0.31041666666666667</v>
      </c>
      <c r="I77" s="38">
        <f t="shared" si="2"/>
        <v>7.4305555555555569E-2</v>
      </c>
      <c r="J77" s="36">
        <v>0</v>
      </c>
      <c r="K77" s="36">
        <v>0</v>
      </c>
      <c r="L77" s="36" t="s">
        <v>33</v>
      </c>
      <c r="M77" s="36">
        <v>11</v>
      </c>
      <c r="N77" s="65">
        <v>0.2361111111111111</v>
      </c>
      <c r="O77" s="65">
        <v>0.30902777777777779</v>
      </c>
      <c r="P77" s="37">
        <v>0</v>
      </c>
      <c r="Q77" s="37">
        <v>0</v>
      </c>
      <c r="R77" s="65">
        <v>0.23958333333333334</v>
      </c>
      <c r="S77" s="65">
        <v>0.3</v>
      </c>
      <c r="T77" s="65">
        <v>0.23958333333333334</v>
      </c>
      <c r="U77" s="65">
        <v>0.26527777777777778</v>
      </c>
      <c r="V77" s="65">
        <v>0.26874999999999999</v>
      </c>
      <c r="W77" s="65">
        <v>0.3034722222222222</v>
      </c>
      <c r="X77" s="65">
        <v>0.26527777777777778</v>
      </c>
      <c r="Y77" s="65">
        <v>0.31041666666666667</v>
      </c>
      <c r="Z77" s="37" t="s">
        <v>707</v>
      </c>
      <c r="AA77" s="37"/>
      <c r="AB77" s="36">
        <v>24</v>
      </c>
      <c r="AC77" s="36">
        <v>8</v>
      </c>
      <c r="AD77" s="36">
        <v>14</v>
      </c>
      <c r="AE77" s="36">
        <v>0</v>
      </c>
      <c r="AF77" s="167">
        <v>45731</v>
      </c>
    </row>
    <row r="78" spans="1:32" s="118" customFormat="1" x14ac:dyDescent="0.25">
      <c r="A78" s="114">
        <v>45732</v>
      </c>
      <c r="B78" s="115" t="s">
        <v>337</v>
      </c>
      <c r="C78" s="115"/>
      <c r="D78" s="115"/>
      <c r="E78" s="119"/>
      <c r="F78" s="119"/>
      <c r="G78" s="119"/>
      <c r="H78" s="119"/>
      <c r="I78" s="117">
        <f t="shared" si="2"/>
        <v>0</v>
      </c>
      <c r="J78" s="119"/>
      <c r="K78" s="119"/>
      <c r="L78" s="119"/>
      <c r="M78" s="115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5"/>
      <c r="AC78" s="115"/>
      <c r="AD78" s="115"/>
      <c r="AE78" s="115"/>
    </row>
    <row r="79" spans="1:32" s="28" customFormat="1" x14ac:dyDescent="0.25">
      <c r="A79" s="35">
        <v>45733</v>
      </c>
      <c r="B79" s="36" t="s">
        <v>621</v>
      </c>
      <c r="C79" s="36" t="s">
        <v>39</v>
      </c>
      <c r="D79" s="36">
        <v>44</v>
      </c>
      <c r="E79" s="65">
        <v>0.1736111111111111</v>
      </c>
      <c r="F79" s="65">
        <v>0.18402777777777779</v>
      </c>
      <c r="G79" s="65">
        <v>0.22916666666666666</v>
      </c>
      <c r="H79" s="65">
        <v>0.23749999999999999</v>
      </c>
      <c r="I79" s="38">
        <f t="shared" si="2"/>
        <v>5.3472222222222199E-2</v>
      </c>
      <c r="J79" s="39">
        <v>8.3333333333333332E-3</v>
      </c>
      <c r="K79" s="36" t="s">
        <v>50</v>
      </c>
      <c r="L79" s="36" t="s">
        <v>705</v>
      </c>
      <c r="M79" s="36">
        <v>11</v>
      </c>
      <c r="N79" s="37">
        <v>0</v>
      </c>
      <c r="O79" s="37">
        <v>0</v>
      </c>
      <c r="P79" s="37">
        <v>0</v>
      </c>
      <c r="Q79" s="37">
        <v>0</v>
      </c>
      <c r="R79" s="65">
        <v>0.1875</v>
      </c>
      <c r="S79" s="65">
        <v>0.2361111111111111</v>
      </c>
      <c r="T79" s="65">
        <v>0.1875</v>
      </c>
      <c r="U79" s="65">
        <v>0.21944444444444444</v>
      </c>
      <c r="V79" s="65">
        <v>0.21944444444444444</v>
      </c>
      <c r="W79" s="65">
        <v>0.2361111111111111</v>
      </c>
      <c r="X79" s="65">
        <v>0.19583333333333333</v>
      </c>
      <c r="Y79" s="65">
        <v>0.23749999999999999</v>
      </c>
      <c r="Z79" s="37" t="s">
        <v>708</v>
      </c>
      <c r="AA79" s="37"/>
      <c r="AB79" s="36">
        <v>21</v>
      </c>
      <c r="AC79" s="36">
        <v>9</v>
      </c>
      <c r="AD79" s="36">
        <v>14</v>
      </c>
      <c r="AE79" s="36">
        <v>3</v>
      </c>
      <c r="AF79" s="167">
        <v>45733</v>
      </c>
    </row>
    <row r="80" spans="1:32" s="28" customFormat="1" x14ac:dyDescent="0.25">
      <c r="A80" s="35">
        <v>45734</v>
      </c>
      <c r="B80" s="36" t="s">
        <v>621</v>
      </c>
      <c r="C80" s="36" t="s">
        <v>38</v>
      </c>
      <c r="D80" s="36">
        <v>43</v>
      </c>
      <c r="E80" s="65">
        <v>0.21527777777777779</v>
      </c>
      <c r="F80" s="65">
        <v>0.23541666666666666</v>
      </c>
      <c r="G80" s="65">
        <v>0.27777777777777779</v>
      </c>
      <c r="H80" s="65">
        <v>0.29166666666666669</v>
      </c>
      <c r="I80" s="38">
        <f t="shared" si="2"/>
        <v>5.6250000000000022E-2</v>
      </c>
      <c r="J80" s="39">
        <v>1.3888888888888888E-2</v>
      </c>
      <c r="K80" s="36" t="s">
        <v>50</v>
      </c>
      <c r="L80" s="36" t="s">
        <v>705</v>
      </c>
      <c r="M80" s="36">
        <v>12</v>
      </c>
      <c r="N80" s="65">
        <v>0.2361111111111111</v>
      </c>
      <c r="O80" s="65">
        <v>0.24930555555555556</v>
      </c>
      <c r="P80" s="37">
        <v>0</v>
      </c>
      <c r="Q80" s="37">
        <v>0</v>
      </c>
      <c r="R80" s="65">
        <v>0.2361111111111111</v>
      </c>
      <c r="S80" s="65">
        <v>0.28888888888888886</v>
      </c>
      <c r="T80" s="65">
        <v>0.24027777777777778</v>
      </c>
      <c r="U80" s="65">
        <v>0.26527777777777778</v>
      </c>
      <c r="V80" s="65">
        <v>0.26805555555555555</v>
      </c>
      <c r="W80" s="65">
        <v>0.28888888888888886</v>
      </c>
      <c r="X80" s="65">
        <v>0.25347222222222221</v>
      </c>
      <c r="Y80" s="65">
        <v>0.29166666666666669</v>
      </c>
      <c r="Z80" s="37" t="s">
        <v>708</v>
      </c>
      <c r="AA80" s="37"/>
      <c r="AB80" s="36">
        <v>12</v>
      </c>
      <c r="AC80" s="36">
        <v>14</v>
      </c>
      <c r="AD80" s="36">
        <v>18</v>
      </c>
      <c r="AE80" s="36">
        <v>8</v>
      </c>
      <c r="AF80" s="167">
        <v>45734</v>
      </c>
    </row>
    <row r="81" spans="1:32" s="28" customFormat="1" x14ac:dyDescent="0.25">
      <c r="A81" s="35">
        <v>45735</v>
      </c>
      <c r="B81" s="36" t="s">
        <v>621</v>
      </c>
      <c r="C81" s="36" t="s">
        <v>48</v>
      </c>
      <c r="D81" s="36">
        <v>43</v>
      </c>
      <c r="E81" s="65">
        <v>0.21527777777777779</v>
      </c>
      <c r="F81" s="65">
        <v>0.22569444444444445</v>
      </c>
      <c r="G81" s="65">
        <v>0.27777777777777779</v>
      </c>
      <c r="H81" s="65">
        <v>0.27847222222222223</v>
      </c>
      <c r="I81" s="38">
        <f t="shared" si="2"/>
        <v>5.2777777777777785E-2</v>
      </c>
      <c r="J81" s="36">
        <v>0</v>
      </c>
      <c r="K81" s="36">
        <v>0</v>
      </c>
      <c r="L81" s="36" t="s">
        <v>33</v>
      </c>
      <c r="M81" s="36">
        <v>12</v>
      </c>
      <c r="N81" s="65">
        <v>0.22916666666666666</v>
      </c>
      <c r="O81" s="65">
        <v>0.27777777777777779</v>
      </c>
      <c r="P81" s="37">
        <v>0</v>
      </c>
      <c r="Q81" s="37">
        <v>0</v>
      </c>
      <c r="R81" s="65">
        <v>0.22638888888888889</v>
      </c>
      <c r="S81" s="65">
        <v>0.27500000000000002</v>
      </c>
      <c r="T81" s="65">
        <v>0.22916666666666666</v>
      </c>
      <c r="U81" s="65">
        <v>0.25277777777777777</v>
      </c>
      <c r="V81" s="65">
        <v>0.25277777777777777</v>
      </c>
      <c r="W81" s="65">
        <v>0.27500000000000002</v>
      </c>
      <c r="X81" s="65">
        <v>0.24236111111111111</v>
      </c>
      <c r="Y81" s="65">
        <v>0.27777777777777779</v>
      </c>
      <c r="Z81" s="37" t="s">
        <v>708</v>
      </c>
      <c r="AA81" s="37"/>
      <c r="AB81" s="36">
        <v>22</v>
      </c>
      <c r="AC81" s="36">
        <v>8</v>
      </c>
      <c r="AD81" s="36">
        <v>19</v>
      </c>
      <c r="AE81" s="36">
        <v>9</v>
      </c>
      <c r="AF81" s="167">
        <v>45735</v>
      </c>
    </row>
    <row r="82" spans="1:32" s="28" customFormat="1" x14ac:dyDescent="0.25">
      <c r="A82" s="35">
        <v>45736</v>
      </c>
      <c r="B82" s="36" t="s">
        <v>621</v>
      </c>
      <c r="C82" s="36" t="s">
        <v>38</v>
      </c>
      <c r="D82" s="36">
        <v>43</v>
      </c>
      <c r="E82" s="65">
        <v>0.21527777777777779</v>
      </c>
      <c r="F82" s="65">
        <v>0.22291666666666668</v>
      </c>
      <c r="G82" s="65">
        <v>0.27777777777777779</v>
      </c>
      <c r="H82" s="65">
        <v>0.27708333333333335</v>
      </c>
      <c r="I82" s="38">
        <f t="shared" si="2"/>
        <v>5.4166666666666669E-2</v>
      </c>
      <c r="J82" s="36">
        <v>0</v>
      </c>
      <c r="K82" s="36">
        <v>0</v>
      </c>
      <c r="L82" s="36" t="s">
        <v>33</v>
      </c>
      <c r="M82" s="36">
        <v>12</v>
      </c>
      <c r="N82" s="65">
        <v>0.22222222222222221</v>
      </c>
      <c r="O82" s="65">
        <v>0.2638888888888889</v>
      </c>
      <c r="P82" s="37">
        <v>0</v>
      </c>
      <c r="Q82" s="37">
        <v>0</v>
      </c>
      <c r="R82" s="65">
        <v>0.22361111111111112</v>
      </c>
      <c r="S82" s="65">
        <v>0.26874999999999999</v>
      </c>
      <c r="T82" s="65">
        <v>0.22569444444444445</v>
      </c>
      <c r="U82" s="65">
        <v>0.25347222222222221</v>
      </c>
      <c r="V82" s="65">
        <v>0.25347222222222221</v>
      </c>
      <c r="W82" s="65">
        <v>0.26805555555555555</v>
      </c>
      <c r="X82" s="65">
        <v>0.24583333333333332</v>
      </c>
      <c r="Y82" s="65">
        <v>0.27708333333333335</v>
      </c>
      <c r="Z82" s="37" t="s">
        <v>708</v>
      </c>
      <c r="AA82" s="37"/>
      <c r="AB82" s="36">
        <v>22</v>
      </c>
      <c r="AC82" s="36">
        <v>8</v>
      </c>
      <c r="AD82" s="36">
        <v>16</v>
      </c>
      <c r="AE82" s="36">
        <v>0</v>
      </c>
      <c r="AF82" s="167">
        <v>45736</v>
      </c>
    </row>
    <row r="83" spans="1:32" s="28" customFormat="1" x14ac:dyDescent="0.25">
      <c r="A83" s="35">
        <v>45737</v>
      </c>
      <c r="B83" s="36" t="s">
        <v>621</v>
      </c>
      <c r="C83" s="36" t="s">
        <v>48</v>
      </c>
      <c r="D83" s="36">
        <v>44</v>
      </c>
      <c r="E83" s="65">
        <v>0.21527777777777779</v>
      </c>
      <c r="F83" s="65">
        <v>0.24652777777777779</v>
      </c>
      <c r="G83" s="65">
        <v>0.27777777777777779</v>
      </c>
      <c r="H83" s="65">
        <v>0.30555555555555558</v>
      </c>
      <c r="I83" s="38">
        <f t="shared" si="2"/>
        <v>5.902777777777779E-2</v>
      </c>
      <c r="J83" s="39">
        <v>2.7777777777777776E-2</v>
      </c>
      <c r="K83" s="36" t="s">
        <v>50</v>
      </c>
      <c r="L83" s="36" t="s">
        <v>705</v>
      </c>
      <c r="M83" s="36">
        <v>11</v>
      </c>
      <c r="N83" s="65">
        <v>0.24652777777777779</v>
      </c>
      <c r="O83" s="65">
        <v>0.30208333333333331</v>
      </c>
      <c r="P83" s="37">
        <v>0</v>
      </c>
      <c r="Q83" s="37">
        <v>0</v>
      </c>
      <c r="R83" s="65">
        <v>0.24722222222222223</v>
      </c>
      <c r="S83" s="65">
        <v>0.2986111111111111</v>
      </c>
      <c r="T83" s="65">
        <v>0.24930555555555556</v>
      </c>
      <c r="U83" s="65">
        <v>0.27777777777777779</v>
      </c>
      <c r="V83" s="65">
        <v>0.27777777777777779</v>
      </c>
      <c r="W83" s="65">
        <v>0.2986111111111111</v>
      </c>
      <c r="X83" s="65">
        <v>0.2590277777777778</v>
      </c>
      <c r="Y83" s="65">
        <v>0.30555555555555558</v>
      </c>
      <c r="Z83" s="37" t="s">
        <v>708</v>
      </c>
      <c r="AA83" s="37"/>
      <c r="AB83" s="36">
        <v>14</v>
      </c>
      <c r="AC83" s="36">
        <v>18</v>
      </c>
      <c r="AD83" s="36">
        <v>18</v>
      </c>
      <c r="AE83" s="36">
        <v>7</v>
      </c>
      <c r="AF83" s="167">
        <v>45737</v>
      </c>
    </row>
    <row r="84" spans="1:32" s="28" customFormat="1" x14ac:dyDescent="0.25">
      <c r="A84" s="35">
        <v>45738</v>
      </c>
      <c r="B84" s="36" t="s">
        <v>621</v>
      </c>
      <c r="C84" s="36" t="s">
        <v>48</v>
      </c>
      <c r="D84" s="36">
        <v>44</v>
      </c>
      <c r="E84" s="65">
        <v>0.25694444444444442</v>
      </c>
      <c r="F84" s="65">
        <v>0.24652777777777779</v>
      </c>
      <c r="G84" s="65">
        <v>0.31944444444444442</v>
      </c>
      <c r="H84" s="65">
        <v>0.30486111111111114</v>
      </c>
      <c r="I84" s="38">
        <f t="shared" si="2"/>
        <v>5.8333333333333348E-2</v>
      </c>
      <c r="J84" s="36">
        <v>0</v>
      </c>
      <c r="K84" s="36">
        <v>0</v>
      </c>
      <c r="L84" s="36" t="s">
        <v>33</v>
      </c>
      <c r="M84" s="36">
        <v>12</v>
      </c>
      <c r="N84" s="65">
        <v>0.24652777777777779</v>
      </c>
      <c r="O84" s="65">
        <v>0.30486111111111114</v>
      </c>
      <c r="P84" s="37">
        <v>0</v>
      </c>
      <c r="Q84" s="37">
        <v>0</v>
      </c>
      <c r="R84" s="65">
        <v>0.24722222222222223</v>
      </c>
      <c r="S84" s="65">
        <v>0.30138888888888887</v>
      </c>
      <c r="T84" s="65">
        <v>0.25</v>
      </c>
      <c r="U84" s="65">
        <v>0.27638888888888891</v>
      </c>
      <c r="V84" s="65">
        <v>0.27777777777777779</v>
      </c>
      <c r="W84" s="65">
        <v>0.30069444444444443</v>
      </c>
      <c r="X84" s="65">
        <v>0.26874999999999999</v>
      </c>
      <c r="Y84" s="65">
        <v>0.28888888888888886</v>
      </c>
      <c r="Z84" s="37" t="s">
        <v>708</v>
      </c>
      <c r="AA84" s="37"/>
      <c r="AB84" s="36">
        <v>27</v>
      </c>
      <c r="AC84" s="36">
        <v>5</v>
      </c>
      <c r="AD84" s="36">
        <v>10</v>
      </c>
      <c r="AE84" s="36">
        <v>18</v>
      </c>
      <c r="AF84" s="167">
        <v>45738</v>
      </c>
    </row>
    <row r="85" spans="1:32" s="173" customFormat="1" x14ac:dyDescent="0.25">
      <c r="A85" s="171">
        <v>45739</v>
      </c>
      <c r="B85" s="172" t="s">
        <v>337</v>
      </c>
    </row>
    <row r="86" spans="1:32" s="28" customFormat="1" x14ac:dyDescent="0.25">
      <c r="A86" s="35">
        <v>45740</v>
      </c>
      <c r="B86" s="36" t="s">
        <v>621</v>
      </c>
      <c r="C86" s="36" t="s">
        <v>38</v>
      </c>
      <c r="D86" s="36">
        <v>43</v>
      </c>
      <c r="E86" s="65">
        <v>0.1736111111111111</v>
      </c>
      <c r="F86" s="65">
        <v>0.19027777777777777</v>
      </c>
      <c r="G86" s="65">
        <v>0.22916666666666666</v>
      </c>
      <c r="H86" s="65">
        <v>0.24583333333333332</v>
      </c>
      <c r="I86" s="38">
        <f>H86-F86</f>
        <v>5.5555555555555552E-2</v>
      </c>
      <c r="J86" s="39">
        <v>1.6666666666666666E-2</v>
      </c>
      <c r="K86" s="36" t="s">
        <v>50</v>
      </c>
      <c r="L86" s="36" t="s">
        <v>705</v>
      </c>
      <c r="M86" s="36">
        <v>12</v>
      </c>
      <c r="N86" s="65">
        <v>0.19444444444444445</v>
      </c>
      <c r="O86" s="65">
        <v>0.24305555555555555</v>
      </c>
      <c r="P86" s="37">
        <v>0</v>
      </c>
      <c r="Q86" s="37">
        <v>0</v>
      </c>
      <c r="R86" s="65">
        <v>0.19375000000000001</v>
      </c>
      <c r="S86" s="65">
        <v>0.24166666666666667</v>
      </c>
      <c r="T86" s="65">
        <v>0.19652777777777777</v>
      </c>
      <c r="U86" s="65">
        <v>0.21666666666666667</v>
      </c>
      <c r="V86" s="65">
        <v>0.22013888888888888</v>
      </c>
      <c r="W86" s="65">
        <v>0.24166666666666667</v>
      </c>
      <c r="X86" s="65">
        <v>0.20902777777777778</v>
      </c>
      <c r="Y86" s="65">
        <v>0.24374999999999999</v>
      </c>
      <c r="Z86" s="37" t="s">
        <v>708</v>
      </c>
      <c r="AA86" s="37"/>
      <c r="AB86" s="36">
        <v>4</v>
      </c>
      <c r="AC86" s="36">
        <v>23</v>
      </c>
      <c r="AD86" s="36">
        <v>10</v>
      </c>
      <c r="AE86" s="36">
        <v>5</v>
      </c>
      <c r="AF86" s="167">
        <v>45740</v>
      </c>
    </row>
    <row r="87" spans="1:32" s="28" customFormat="1" x14ac:dyDescent="0.25">
      <c r="A87" s="35">
        <v>45741</v>
      </c>
      <c r="B87" s="36" t="s">
        <v>621</v>
      </c>
      <c r="C87" s="36" t="s">
        <v>35</v>
      </c>
      <c r="D87" s="36">
        <v>43</v>
      </c>
      <c r="E87" s="65">
        <v>0.21527777777777779</v>
      </c>
      <c r="F87" s="65">
        <v>0.21597222222222223</v>
      </c>
      <c r="G87" s="65">
        <v>0.27777777777777779</v>
      </c>
      <c r="H87" s="65">
        <v>0.27083333333333331</v>
      </c>
      <c r="I87" s="38">
        <f>H87-F87</f>
        <v>5.4861111111111083E-2</v>
      </c>
      <c r="J87" s="36">
        <v>0</v>
      </c>
      <c r="K87" s="36">
        <v>0</v>
      </c>
      <c r="L87" s="37" t="s">
        <v>33</v>
      </c>
      <c r="M87" s="36">
        <v>11</v>
      </c>
      <c r="N87" s="65">
        <v>0.21875</v>
      </c>
      <c r="O87" s="65">
        <v>0.25</v>
      </c>
      <c r="P87" s="37">
        <v>0</v>
      </c>
      <c r="Q87" s="37">
        <v>0</v>
      </c>
      <c r="R87" s="65">
        <v>0.21666666666666667</v>
      </c>
      <c r="S87" s="65">
        <v>0.26597222222222222</v>
      </c>
      <c r="T87" s="65">
        <v>0.21944444444444444</v>
      </c>
      <c r="U87" s="65">
        <v>0.24166666666666667</v>
      </c>
      <c r="V87" s="65">
        <v>0.24236111111111111</v>
      </c>
      <c r="W87" s="65">
        <v>0.26527777777777778</v>
      </c>
      <c r="X87" s="65">
        <v>0.23125000000000001</v>
      </c>
      <c r="Y87" s="65">
        <v>0.27083333333333331</v>
      </c>
      <c r="Z87" s="37" t="s">
        <v>708</v>
      </c>
      <c r="AA87" s="37"/>
      <c r="AB87" s="36">
        <v>30</v>
      </c>
      <c r="AC87" s="36">
        <v>0</v>
      </c>
      <c r="AD87" s="36">
        <v>6</v>
      </c>
      <c r="AE87" s="36">
        <v>7</v>
      </c>
      <c r="AF87" s="167">
        <v>45741</v>
      </c>
    </row>
    <row r="88" spans="1:32" s="28" customFormat="1" x14ac:dyDescent="0.25">
      <c r="A88" s="35">
        <v>45742</v>
      </c>
      <c r="B88" s="36" t="s">
        <v>621</v>
      </c>
      <c r="C88" s="36" t="s">
        <v>48</v>
      </c>
      <c r="D88" s="36">
        <v>44</v>
      </c>
      <c r="E88" s="65">
        <v>0.21527777777777779</v>
      </c>
      <c r="F88" s="65">
        <v>0.25624999999999998</v>
      </c>
      <c r="G88" s="65">
        <v>0.27777777777777779</v>
      </c>
      <c r="H88" s="65">
        <v>0.32013888888888886</v>
      </c>
      <c r="I88" s="38">
        <f t="shared" si="2"/>
        <v>6.3888888888888884E-2</v>
      </c>
      <c r="J88" s="39">
        <v>4.2361111111111113E-2</v>
      </c>
      <c r="K88" s="36" t="s">
        <v>709</v>
      </c>
      <c r="L88" s="37" t="s">
        <v>710</v>
      </c>
      <c r="M88" s="36">
        <v>15</v>
      </c>
      <c r="N88" s="65">
        <v>0.25694444444444442</v>
      </c>
      <c r="O88" s="65">
        <v>0.29166666666666669</v>
      </c>
      <c r="P88" s="37">
        <v>0</v>
      </c>
      <c r="Q88" s="37">
        <v>0</v>
      </c>
      <c r="R88" s="65">
        <v>0.25694444444444442</v>
      </c>
      <c r="S88" s="65">
        <v>0.31111111111111112</v>
      </c>
      <c r="T88" s="65">
        <v>0.26041666666666669</v>
      </c>
      <c r="U88" s="65">
        <v>0.28125</v>
      </c>
      <c r="V88" s="65">
        <v>0.28194444444444444</v>
      </c>
      <c r="W88" s="65">
        <v>0.30833333333333335</v>
      </c>
      <c r="X88" s="65">
        <v>0.26527777777777778</v>
      </c>
      <c r="Y88" s="65">
        <v>0.32013888888888886</v>
      </c>
      <c r="Z88" s="37" t="s">
        <v>708</v>
      </c>
      <c r="AA88" s="37"/>
      <c r="AB88" s="36">
        <v>8</v>
      </c>
      <c r="AC88" s="36">
        <v>20</v>
      </c>
      <c r="AD88" s="36">
        <v>6</v>
      </c>
      <c r="AE88" s="36">
        <v>18</v>
      </c>
      <c r="AF88" s="167">
        <v>45742</v>
      </c>
    </row>
    <row r="89" spans="1:32" s="28" customFormat="1" x14ac:dyDescent="0.25">
      <c r="A89" s="35">
        <v>45743</v>
      </c>
      <c r="B89" s="36" t="s">
        <v>621</v>
      </c>
      <c r="C89" s="36" t="s">
        <v>38</v>
      </c>
      <c r="D89" s="36">
        <v>44</v>
      </c>
      <c r="E89" s="65">
        <v>0.21527777777777779</v>
      </c>
      <c r="F89" s="65">
        <v>0.40138888888888891</v>
      </c>
      <c r="G89" s="65">
        <v>0.27777777777777779</v>
      </c>
      <c r="H89" s="65">
        <v>0.45833333333333331</v>
      </c>
      <c r="I89" s="38">
        <f t="shared" si="2"/>
        <v>5.6944444444444409E-2</v>
      </c>
      <c r="J89" s="39">
        <v>0.18055555555555555</v>
      </c>
      <c r="K89" s="36" t="s">
        <v>711</v>
      </c>
      <c r="L89" s="36" t="s">
        <v>705</v>
      </c>
      <c r="M89" s="36">
        <v>11</v>
      </c>
      <c r="N89" s="65">
        <v>0.40208333333333335</v>
      </c>
      <c r="O89" s="65">
        <v>0.45833333333333331</v>
      </c>
      <c r="P89" s="37">
        <v>0</v>
      </c>
      <c r="Q89" s="37">
        <v>0</v>
      </c>
      <c r="R89" s="65">
        <v>0.40208333333333335</v>
      </c>
      <c r="S89" s="65">
        <v>0.4548611111111111</v>
      </c>
      <c r="T89" s="65">
        <v>0.40416666666666667</v>
      </c>
      <c r="U89" s="65">
        <v>0.43472222222222223</v>
      </c>
      <c r="V89" s="65">
        <v>0.43541666666666667</v>
      </c>
      <c r="W89" s="65">
        <v>0.4548611111111111</v>
      </c>
      <c r="X89" s="65">
        <v>0.41249999999999998</v>
      </c>
      <c r="Y89" s="65">
        <v>0.45763888888888887</v>
      </c>
      <c r="Z89" s="37" t="s">
        <v>708</v>
      </c>
      <c r="AA89" s="37"/>
      <c r="AB89" s="36">
        <v>7</v>
      </c>
      <c r="AC89" s="36">
        <v>23</v>
      </c>
      <c r="AD89" s="36">
        <v>21</v>
      </c>
      <c r="AE89" s="36">
        <v>5</v>
      </c>
      <c r="AF89" s="167">
        <v>45743</v>
      </c>
    </row>
    <row r="90" spans="1:32" s="28" customFormat="1" x14ac:dyDescent="0.25">
      <c r="A90" s="35">
        <v>45744</v>
      </c>
      <c r="B90" s="36" t="s">
        <v>621</v>
      </c>
      <c r="C90" s="36" t="s">
        <v>48</v>
      </c>
      <c r="D90" s="36">
        <v>44</v>
      </c>
      <c r="E90" s="65">
        <v>0.21527777777777779</v>
      </c>
      <c r="F90" s="65">
        <v>0.21944444444444444</v>
      </c>
      <c r="G90" s="65">
        <v>0.27777777777777779</v>
      </c>
      <c r="H90" s="65">
        <v>0.30416666666666664</v>
      </c>
      <c r="I90" s="38">
        <f t="shared" si="2"/>
        <v>8.4722222222222199E-2</v>
      </c>
      <c r="J90" s="39">
        <v>2.6388888888888889E-2</v>
      </c>
      <c r="K90" s="36" t="s">
        <v>712</v>
      </c>
      <c r="L90" s="36" t="s">
        <v>713</v>
      </c>
      <c r="M90" s="36">
        <v>11</v>
      </c>
      <c r="N90" s="37">
        <v>0</v>
      </c>
      <c r="O90" s="37">
        <v>0</v>
      </c>
      <c r="P90" s="37">
        <v>0</v>
      </c>
      <c r="Q90" s="37">
        <v>0</v>
      </c>
      <c r="R90" s="65">
        <v>0.21944444444444444</v>
      </c>
      <c r="S90" s="65">
        <v>0.3</v>
      </c>
      <c r="T90" s="65">
        <v>0.22222222222222221</v>
      </c>
      <c r="U90" s="65">
        <v>0.28125</v>
      </c>
      <c r="V90" s="65">
        <v>0.28333333333333333</v>
      </c>
      <c r="W90" s="65">
        <v>0.3</v>
      </c>
      <c r="X90" s="65">
        <v>0.23958333333333334</v>
      </c>
      <c r="Y90" s="65">
        <v>0.30416666666666664</v>
      </c>
      <c r="Z90" s="37" t="s">
        <v>708</v>
      </c>
      <c r="AA90" s="37"/>
      <c r="AB90" s="36">
        <v>20</v>
      </c>
      <c r="AC90" s="36">
        <v>12</v>
      </c>
      <c r="AD90" s="36">
        <v>15</v>
      </c>
      <c r="AE90" s="36">
        <v>4</v>
      </c>
      <c r="AF90" s="167">
        <v>45744</v>
      </c>
    </row>
    <row r="91" spans="1:32" s="28" customFormat="1" x14ac:dyDescent="0.25">
      <c r="A91" s="35">
        <v>45745</v>
      </c>
      <c r="B91" s="36" t="s">
        <v>621</v>
      </c>
      <c r="C91" s="36" t="s">
        <v>35</v>
      </c>
      <c r="D91" s="36">
        <v>43</v>
      </c>
      <c r="E91" s="177">
        <v>0.21527777777777779</v>
      </c>
      <c r="F91" s="65">
        <v>0.25694444444444442</v>
      </c>
      <c r="G91" s="65">
        <v>0.27777777777777779</v>
      </c>
      <c r="H91" s="65">
        <v>0.31944444444444442</v>
      </c>
      <c r="I91" s="38">
        <f t="shared" si="2"/>
        <v>6.25E-2</v>
      </c>
      <c r="J91" s="65" t="s">
        <v>714</v>
      </c>
      <c r="K91" s="37" t="s">
        <v>715</v>
      </c>
      <c r="L91" s="37" t="s">
        <v>604</v>
      </c>
      <c r="M91" s="36">
        <v>12</v>
      </c>
      <c r="N91" s="65">
        <v>0.3611111111111111</v>
      </c>
      <c r="O91" s="65">
        <v>0.41666666666666669</v>
      </c>
      <c r="P91" s="37">
        <v>0</v>
      </c>
      <c r="Q91" s="37">
        <v>0</v>
      </c>
      <c r="R91" s="65">
        <v>0.3611111111111111</v>
      </c>
      <c r="S91" s="65">
        <v>0.36180555555555555</v>
      </c>
      <c r="T91" s="65">
        <v>0.36180555555555555</v>
      </c>
      <c r="U91" s="65">
        <v>0.37847222222222221</v>
      </c>
      <c r="V91" s="65">
        <v>0.37847222222222221</v>
      </c>
      <c r="W91" s="65">
        <v>0.40277777777777779</v>
      </c>
      <c r="X91" s="65">
        <v>0.37083333333333335</v>
      </c>
      <c r="Y91" s="65">
        <v>0.3576388888888889</v>
      </c>
      <c r="Z91" s="37" t="s">
        <v>97</v>
      </c>
      <c r="AA91" s="37"/>
      <c r="AB91" s="36">
        <v>15</v>
      </c>
      <c r="AC91" s="36">
        <v>10</v>
      </c>
      <c r="AD91" s="36">
        <v>15</v>
      </c>
      <c r="AE91" s="36">
        <v>5</v>
      </c>
      <c r="AF91" s="167">
        <v>45745</v>
      </c>
    </row>
    <row r="92" spans="1:32" s="173" customFormat="1" x14ac:dyDescent="0.25">
      <c r="A92" s="171">
        <v>45746</v>
      </c>
      <c r="B92" s="174" t="s">
        <v>337</v>
      </c>
      <c r="C92" s="174"/>
      <c r="D92" s="174"/>
      <c r="E92" s="175"/>
      <c r="F92" s="175"/>
      <c r="G92" s="175"/>
      <c r="H92" s="175"/>
      <c r="I92" s="176">
        <f t="shared" si="2"/>
        <v>0</v>
      </c>
      <c r="J92" s="175"/>
      <c r="K92" s="175"/>
      <c r="L92" s="175"/>
      <c r="M92" s="174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  <c r="AA92" s="175"/>
      <c r="AB92" s="174"/>
      <c r="AC92" s="174"/>
      <c r="AD92" s="174"/>
      <c r="AE92" s="174"/>
    </row>
    <row r="93" spans="1:32" s="28" customFormat="1" x14ac:dyDescent="0.25">
      <c r="A93" s="35">
        <v>45747</v>
      </c>
      <c r="B93" s="36" t="s">
        <v>621</v>
      </c>
      <c r="C93" s="36" t="s">
        <v>32</v>
      </c>
      <c r="D93" s="36">
        <v>44</v>
      </c>
      <c r="E93" s="65">
        <v>0.1736111111111111</v>
      </c>
      <c r="F93" s="65">
        <v>0.22291666666666668</v>
      </c>
      <c r="G93" s="65">
        <v>0.22916666666666666</v>
      </c>
      <c r="H93" s="65">
        <v>0.27708333333333335</v>
      </c>
      <c r="I93" s="38">
        <f t="shared" si="2"/>
        <v>5.4166666666666669E-2</v>
      </c>
      <c r="J93" s="39">
        <v>6.1805555555555558E-2</v>
      </c>
      <c r="K93" s="36" t="s">
        <v>50</v>
      </c>
      <c r="L93" s="37" t="s">
        <v>604</v>
      </c>
      <c r="M93" s="36">
        <v>12</v>
      </c>
      <c r="N93" s="65">
        <v>0.22569444444444445</v>
      </c>
      <c r="O93" s="65">
        <v>0.27430555555555558</v>
      </c>
      <c r="P93" s="37">
        <v>0</v>
      </c>
      <c r="Q93" s="37">
        <v>0</v>
      </c>
      <c r="R93" s="65">
        <v>0.22430555555555556</v>
      </c>
      <c r="S93" s="65">
        <v>0.27013888888888887</v>
      </c>
      <c r="T93" s="65">
        <v>0.22708333333333333</v>
      </c>
      <c r="U93" s="65">
        <v>0.24930555555555556</v>
      </c>
      <c r="V93" s="65">
        <v>0.25069444444444444</v>
      </c>
      <c r="W93" s="65">
        <v>0.26944444444444443</v>
      </c>
      <c r="X93" s="65">
        <v>0.23749999999999999</v>
      </c>
      <c r="Y93" s="65">
        <v>0.27361111111111114</v>
      </c>
      <c r="Z93" s="37" t="s">
        <v>708</v>
      </c>
      <c r="AA93" s="37"/>
      <c r="AB93" s="36">
        <v>10</v>
      </c>
      <c r="AC93" s="36">
        <v>20</v>
      </c>
      <c r="AD93" s="36">
        <v>13</v>
      </c>
      <c r="AE93" s="36">
        <v>2</v>
      </c>
      <c r="AF93" s="167">
        <v>45747</v>
      </c>
    </row>
    <row r="94" spans="1:32" s="28" customFormat="1" x14ac:dyDescent="0.25">
      <c r="A94" s="35">
        <v>45748</v>
      </c>
      <c r="B94" s="36" t="s">
        <v>621</v>
      </c>
      <c r="C94" s="36" t="s">
        <v>39</v>
      </c>
      <c r="D94" s="36">
        <v>46</v>
      </c>
      <c r="E94" s="65">
        <v>0.21527777777777779</v>
      </c>
      <c r="F94" s="65">
        <v>0.29236111111111113</v>
      </c>
      <c r="G94" s="65">
        <v>0.27777777777777779</v>
      </c>
      <c r="H94" s="65">
        <v>0.33958333333333335</v>
      </c>
      <c r="I94" s="38">
        <f t="shared" si="2"/>
        <v>4.7222222222222221E-2</v>
      </c>
      <c r="J94" s="39">
        <v>6.1805555555555558E-2</v>
      </c>
      <c r="K94" s="36" t="s">
        <v>50</v>
      </c>
      <c r="L94" s="37" t="s">
        <v>604</v>
      </c>
      <c r="M94" s="36">
        <v>12</v>
      </c>
      <c r="N94" s="65">
        <v>0.2951388888888889</v>
      </c>
      <c r="O94" s="65">
        <v>0.33680555555555558</v>
      </c>
      <c r="P94" s="37">
        <v>0</v>
      </c>
      <c r="Q94" s="37">
        <v>0</v>
      </c>
      <c r="R94" s="65">
        <v>0.29236111111111113</v>
      </c>
      <c r="S94" s="65">
        <v>0.33750000000000002</v>
      </c>
      <c r="T94" s="65">
        <v>0.29444444444444445</v>
      </c>
      <c r="U94" s="65">
        <v>0.32083333333333336</v>
      </c>
      <c r="V94" s="65">
        <v>0.32500000000000001</v>
      </c>
      <c r="W94" s="65">
        <v>0.33819444444444446</v>
      </c>
      <c r="X94" s="65">
        <v>0.2986111111111111</v>
      </c>
      <c r="Y94" s="65">
        <v>0.33958333333333335</v>
      </c>
      <c r="Z94" s="37" t="s">
        <v>708</v>
      </c>
      <c r="AA94" s="37"/>
      <c r="AB94" s="36">
        <v>15</v>
      </c>
      <c r="AC94" s="36">
        <v>19</v>
      </c>
      <c r="AD94" s="36">
        <v>9</v>
      </c>
      <c r="AE94" s="36">
        <v>4</v>
      </c>
      <c r="AF94" s="167">
        <v>45748</v>
      </c>
    </row>
    <row r="95" spans="1:32" s="28" customFormat="1" x14ac:dyDescent="0.25">
      <c r="A95" s="35">
        <v>45749</v>
      </c>
      <c r="B95" s="36" t="s">
        <v>621</v>
      </c>
      <c r="C95" s="36" t="s">
        <v>32</v>
      </c>
      <c r="D95" s="36">
        <v>44</v>
      </c>
      <c r="E95" s="65">
        <v>0.21527777777777779</v>
      </c>
      <c r="F95" s="65">
        <v>0.32083333333333336</v>
      </c>
      <c r="G95" s="65">
        <v>0.27777777777777779</v>
      </c>
      <c r="H95" s="65">
        <v>0.36805555555555558</v>
      </c>
      <c r="I95" s="38">
        <f t="shared" si="2"/>
        <v>4.7222222222222221E-2</v>
      </c>
      <c r="J95" s="39">
        <v>9.0277777777777776E-2</v>
      </c>
      <c r="K95" s="36" t="s">
        <v>50</v>
      </c>
      <c r="L95" s="37" t="s">
        <v>604</v>
      </c>
      <c r="M95" s="36">
        <v>12</v>
      </c>
      <c r="N95" s="65">
        <v>0.3215277777777778</v>
      </c>
      <c r="O95" s="65">
        <v>0.36805555555555558</v>
      </c>
      <c r="P95" s="37">
        <v>0</v>
      </c>
      <c r="Q95" s="37">
        <v>0</v>
      </c>
      <c r="R95" s="65">
        <v>0.3215277777777778</v>
      </c>
      <c r="S95" s="65">
        <v>0.36527777777777776</v>
      </c>
      <c r="T95" s="65">
        <v>0.32361111111111113</v>
      </c>
      <c r="U95" s="65">
        <v>0.34722222222222221</v>
      </c>
      <c r="V95" s="65">
        <v>0.34722222222222221</v>
      </c>
      <c r="W95" s="65">
        <v>0.36249999999999999</v>
      </c>
      <c r="X95" s="65">
        <v>0.33263888888888887</v>
      </c>
      <c r="Y95" s="65">
        <v>0.36805555555555558</v>
      </c>
      <c r="Z95" s="37" t="s">
        <v>716</v>
      </c>
      <c r="AA95" s="37"/>
      <c r="AB95" s="36">
        <v>8</v>
      </c>
      <c r="AC95" s="36">
        <v>14</v>
      </c>
      <c r="AD95" s="36">
        <v>20</v>
      </c>
      <c r="AE95" s="36">
        <v>4</v>
      </c>
      <c r="AF95" s="167">
        <v>45749</v>
      </c>
    </row>
    <row r="96" spans="1:32" s="28" customFormat="1" x14ac:dyDescent="0.25">
      <c r="A96" s="35">
        <v>45750</v>
      </c>
      <c r="B96" s="36" t="s">
        <v>621</v>
      </c>
      <c r="C96" s="36" t="s">
        <v>35</v>
      </c>
      <c r="D96" s="36">
        <v>44</v>
      </c>
      <c r="E96" s="65">
        <v>0.21527777777777779</v>
      </c>
      <c r="F96" s="65">
        <v>0.22430555555555556</v>
      </c>
      <c r="G96" s="65">
        <v>0.27777777777777779</v>
      </c>
      <c r="H96" s="65">
        <v>0.27638888888888891</v>
      </c>
      <c r="I96" s="38">
        <f t="shared" si="2"/>
        <v>5.2083333333333343E-2</v>
      </c>
      <c r="J96" s="36">
        <v>0</v>
      </c>
      <c r="K96" s="36">
        <v>0</v>
      </c>
      <c r="L96" s="37" t="s">
        <v>33</v>
      </c>
      <c r="M96" s="36">
        <v>12</v>
      </c>
      <c r="N96" s="65">
        <v>0.22569444444444445</v>
      </c>
      <c r="O96" s="65">
        <v>0.27430555555555558</v>
      </c>
      <c r="P96" s="37">
        <v>0</v>
      </c>
      <c r="Q96" s="37">
        <v>0</v>
      </c>
      <c r="R96" s="65">
        <v>0.22500000000000001</v>
      </c>
      <c r="S96" s="65">
        <v>0.27083333333333331</v>
      </c>
      <c r="T96" s="65">
        <v>0.22708333333333333</v>
      </c>
      <c r="U96" s="65">
        <v>0.25208333333333333</v>
      </c>
      <c r="V96" s="65">
        <v>0.25347222222222221</v>
      </c>
      <c r="W96" s="65">
        <v>0.27083333333333331</v>
      </c>
      <c r="X96" s="65">
        <v>0.2326388888888889</v>
      </c>
      <c r="Y96" s="65">
        <v>0.27430555555555558</v>
      </c>
      <c r="Z96" s="37" t="s">
        <v>708</v>
      </c>
      <c r="AA96" s="37"/>
      <c r="AB96" s="36">
        <v>8</v>
      </c>
      <c r="AC96" s="36">
        <v>18</v>
      </c>
      <c r="AD96" s="36">
        <v>14</v>
      </c>
      <c r="AE96" s="36">
        <v>5</v>
      </c>
      <c r="AF96" s="167">
        <v>45750</v>
      </c>
    </row>
    <row r="97" spans="1:32" s="28" customFormat="1" x14ac:dyDescent="0.25">
      <c r="A97" s="35">
        <v>45751</v>
      </c>
      <c r="B97" s="36" t="s">
        <v>621</v>
      </c>
      <c r="C97" s="36" t="s">
        <v>38</v>
      </c>
      <c r="D97" s="36">
        <v>44</v>
      </c>
      <c r="E97" s="65">
        <v>0.21527777777777779</v>
      </c>
      <c r="F97" s="65">
        <v>0.20972222222222223</v>
      </c>
      <c r="G97" s="65">
        <v>0.27777777777777779</v>
      </c>
      <c r="H97" s="65">
        <v>0.27083333333333331</v>
      </c>
      <c r="I97" s="38">
        <f t="shared" si="2"/>
        <v>6.1111111111111088E-2</v>
      </c>
      <c r="J97" s="36">
        <v>0</v>
      </c>
      <c r="K97" s="36">
        <v>0</v>
      </c>
      <c r="L97" s="37" t="s">
        <v>33</v>
      </c>
      <c r="M97" s="36">
        <v>12</v>
      </c>
      <c r="N97" s="65">
        <v>0.21180555555555555</v>
      </c>
      <c r="O97" s="65">
        <v>0.25</v>
      </c>
      <c r="P97" s="37">
        <v>0</v>
      </c>
      <c r="Q97" s="37">
        <v>0</v>
      </c>
      <c r="R97" s="65">
        <v>0.21041666666666667</v>
      </c>
      <c r="S97" s="65">
        <v>0.26944444444444443</v>
      </c>
      <c r="T97" s="65">
        <v>0.21249999999999999</v>
      </c>
      <c r="U97" s="65">
        <v>0.2361111111111111</v>
      </c>
      <c r="V97" s="65">
        <v>0.23819444444444443</v>
      </c>
      <c r="W97" s="65">
        <v>0.2638888888888889</v>
      </c>
      <c r="X97" s="65">
        <v>0.2298611111111111</v>
      </c>
      <c r="Y97" s="65">
        <v>0.27083333333333331</v>
      </c>
      <c r="Z97" s="37" t="s">
        <v>708</v>
      </c>
      <c r="AA97" s="37"/>
      <c r="AB97" s="36">
        <v>16</v>
      </c>
      <c r="AC97" s="36">
        <v>12</v>
      </c>
      <c r="AD97" s="36">
        <v>13</v>
      </c>
      <c r="AE97" s="36">
        <v>16</v>
      </c>
      <c r="AF97" s="167">
        <v>45751</v>
      </c>
    </row>
    <row r="98" spans="1:32" s="28" customFormat="1" x14ac:dyDescent="0.25">
      <c r="A98" s="35">
        <v>45752</v>
      </c>
      <c r="B98" s="36" t="s">
        <v>697</v>
      </c>
      <c r="C98" s="36" t="s">
        <v>48</v>
      </c>
      <c r="D98" s="36">
        <v>41</v>
      </c>
      <c r="E98" s="39">
        <v>0.25694444444444442</v>
      </c>
      <c r="F98" s="39">
        <v>0.50277777777777777</v>
      </c>
      <c r="G98" s="39"/>
      <c r="H98" s="39"/>
      <c r="I98" s="38">
        <f t="shared" si="2"/>
        <v>-0.50277777777777777</v>
      </c>
      <c r="J98" s="39"/>
      <c r="K98" s="36"/>
      <c r="L98" s="37" t="s">
        <v>717</v>
      </c>
      <c r="M98" s="36">
        <v>11</v>
      </c>
      <c r="N98" s="37">
        <v>0</v>
      </c>
      <c r="O98" s="37">
        <v>0</v>
      </c>
      <c r="P98" s="37">
        <v>0</v>
      </c>
      <c r="Q98" s="37">
        <v>0</v>
      </c>
      <c r="R98" s="65">
        <v>0.50416666666666665</v>
      </c>
      <c r="S98" s="65">
        <v>0.53541666666666665</v>
      </c>
      <c r="T98" s="65">
        <v>0.50624999999999998</v>
      </c>
      <c r="U98" s="65">
        <v>0.53541666666666665</v>
      </c>
      <c r="V98" s="37"/>
      <c r="W98" s="37"/>
      <c r="X98" s="65">
        <v>0.52152777777777781</v>
      </c>
      <c r="Y98" s="65">
        <v>0.53888888888888886</v>
      </c>
      <c r="Z98" s="37" t="s">
        <v>708</v>
      </c>
      <c r="AA98" s="37"/>
      <c r="AB98" s="36">
        <v>18</v>
      </c>
      <c r="AC98" s="36">
        <v>9</v>
      </c>
      <c r="AD98" s="36">
        <v>0</v>
      </c>
      <c r="AE98" s="36">
        <v>0</v>
      </c>
      <c r="AF98" s="167">
        <v>45752</v>
      </c>
    </row>
    <row r="99" spans="1:32" s="182" customFormat="1" x14ac:dyDescent="0.25">
      <c r="A99" s="178">
        <v>45753</v>
      </c>
      <c r="B99" s="179" t="s">
        <v>107</v>
      </c>
      <c r="C99" s="179" t="s">
        <v>48</v>
      </c>
      <c r="D99" s="179">
        <v>43</v>
      </c>
      <c r="E99" s="180"/>
      <c r="F99" s="180"/>
      <c r="G99" s="183">
        <v>0.125</v>
      </c>
      <c r="H99" s="183">
        <v>0.125</v>
      </c>
      <c r="I99" s="181">
        <f t="shared" ref="I99:I165" si="4">H99-F99</f>
        <v>0.125</v>
      </c>
      <c r="J99" s="185">
        <v>0.84722222222222221</v>
      </c>
      <c r="K99" s="179" t="s">
        <v>699</v>
      </c>
      <c r="L99" s="180" t="s">
        <v>718</v>
      </c>
      <c r="M99" s="179">
        <v>12</v>
      </c>
      <c r="N99" s="183">
        <v>4.1666666666666664E-2</v>
      </c>
      <c r="O99" s="183">
        <v>0.10416666666666667</v>
      </c>
      <c r="P99" s="180">
        <v>0</v>
      </c>
      <c r="Q99" s="180">
        <v>0</v>
      </c>
      <c r="R99" s="183">
        <v>4.8611111111111112E-2</v>
      </c>
      <c r="S99" s="183">
        <v>8.8888888888888892E-2</v>
      </c>
      <c r="T99" s="183">
        <v>4.8611111111111112E-2</v>
      </c>
      <c r="U99" s="183">
        <v>6.805555555555555E-2</v>
      </c>
      <c r="V99" s="183">
        <v>6.9444444444444448E-2</v>
      </c>
      <c r="W99" s="183">
        <v>8.8888888888888892E-2</v>
      </c>
      <c r="X99" s="180">
        <v>0</v>
      </c>
      <c r="Y99" s="180">
        <v>0</v>
      </c>
      <c r="Z99" s="180" t="s">
        <v>708</v>
      </c>
      <c r="AA99" s="180"/>
      <c r="AB99" s="179">
        <v>0</v>
      </c>
      <c r="AC99" s="179">
        <v>0</v>
      </c>
      <c r="AD99" s="179">
        <v>24</v>
      </c>
      <c r="AE99" s="179">
        <v>23</v>
      </c>
      <c r="AF99" s="184">
        <v>45753</v>
      </c>
    </row>
    <row r="100" spans="1:32" s="28" customFormat="1" x14ac:dyDescent="0.25">
      <c r="A100" s="35">
        <v>45754</v>
      </c>
      <c r="B100" s="36" t="s">
        <v>621</v>
      </c>
      <c r="C100" s="36" t="s">
        <v>32</v>
      </c>
      <c r="D100" s="36">
        <v>44</v>
      </c>
      <c r="E100" s="65">
        <v>0.13194444444444445</v>
      </c>
      <c r="F100" s="65">
        <v>0.13263888888888889</v>
      </c>
      <c r="G100" s="65">
        <v>0.19444444444444445</v>
      </c>
      <c r="H100" s="65">
        <v>0.19166666666666668</v>
      </c>
      <c r="I100" s="38">
        <f t="shared" si="4"/>
        <v>5.902777777777779E-2</v>
      </c>
      <c r="J100" s="39">
        <v>4.1666666666666666E-3</v>
      </c>
      <c r="K100" s="36" t="s">
        <v>50</v>
      </c>
      <c r="L100" s="37" t="s">
        <v>604</v>
      </c>
      <c r="M100" s="36">
        <v>11</v>
      </c>
      <c r="N100" s="37">
        <v>0</v>
      </c>
      <c r="O100" s="37">
        <v>0</v>
      </c>
      <c r="P100" s="37">
        <v>0</v>
      </c>
      <c r="Q100" s="37">
        <v>0</v>
      </c>
      <c r="R100" s="65">
        <v>0.13333333333333333</v>
      </c>
      <c r="S100" s="65">
        <v>0.18263888888888888</v>
      </c>
      <c r="T100" s="65">
        <v>0.13402777777777777</v>
      </c>
      <c r="U100" s="65">
        <v>0.16319444444444445</v>
      </c>
      <c r="V100" s="65">
        <v>0.16666666666666666</v>
      </c>
      <c r="W100" s="65">
        <v>0.18263888888888888</v>
      </c>
      <c r="X100" s="65">
        <v>0.15069444444444444</v>
      </c>
      <c r="Y100" s="65">
        <v>0.19375000000000001</v>
      </c>
      <c r="Z100" s="37" t="s">
        <v>708</v>
      </c>
      <c r="AA100" s="37"/>
      <c r="AB100" s="36">
        <v>17</v>
      </c>
      <c r="AC100" s="36">
        <v>4</v>
      </c>
      <c r="AD100" s="36">
        <v>7</v>
      </c>
      <c r="AE100" s="36">
        <v>15</v>
      </c>
      <c r="AF100" s="184">
        <v>45754</v>
      </c>
    </row>
    <row r="101" spans="1:32" s="28" customFormat="1" x14ac:dyDescent="0.25">
      <c r="A101" s="35">
        <v>45755</v>
      </c>
      <c r="B101" s="36" t="s">
        <v>621</v>
      </c>
      <c r="C101" s="36" t="s">
        <v>38</v>
      </c>
      <c r="D101" s="36">
        <v>44</v>
      </c>
      <c r="E101" s="65">
        <v>0.1736111111111111</v>
      </c>
      <c r="F101" s="65">
        <v>0.15694444444444444</v>
      </c>
      <c r="G101" s="65">
        <v>0.2361111111111111</v>
      </c>
      <c r="H101" s="65">
        <v>0.24027777777777778</v>
      </c>
      <c r="I101" s="38">
        <f t="shared" si="4"/>
        <v>8.3333333333333343E-2</v>
      </c>
      <c r="J101" s="36">
        <v>0</v>
      </c>
      <c r="K101" s="36">
        <v>0</v>
      </c>
      <c r="L101" s="37" t="s">
        <v>33</v>
      </c>
      <c r="M101" s="36">
        <v>11</v>
      </c>
      <c r="N101" s="65">
        <v>0.15625</v>
      </c>
      <c r="O101" s="65">
        <v>0.2326388888888889</v>
      </c>
      <c r="P101" s="37">
        <v>0</v>
      </c>
      <c r="Q101" s="37">
        <v>0</v>
      </c>
      <c r="R101" s="65">
        <v>0.15694444444444444</v>
      </c>
      <c r="S101" s="65">
        <v>0.23055555555555557</v>
      </c>
      <c r="T101" s="65">
        <v>0.16111111111111112</v>
      </c>
      <c r="U101" s="65">
        <v>0.18819444444444444</v>
      </c>
      <c r="V101" s="65">
        <v>0.19166666666666668</v>
      </c>
      <c r="W101" s="65">
        <v>0.2298611111111111</v>
      </c>
      <c r="X101" s="65">
        <v>0.19027777777777777</v>
      </c>
      <c r="Y101" s="65">
        <v>0.24027777777777778</v>
      </c>
      <c r="Z101" s="37" t="s">
        <v>708</v>
      </c>
      <c r="AA101" s="37"/>
      <c r="AB101" s="36">
        <v>6</v>
      </c>
      <c r="AC101" s="36">
        <v>22</v>
      </c>
      <c r="AD101" s="36">
        <v>17</v>
      </c>
      <c r="AE101" s="36">
        <v>6</v>
      </c>
      <c r="AF101" s="184">
        <v>45755</v>
      </c>
    </row>
    <row r="102" spans="1:32" s="28" customFormat="1" x14ac:dyDescent="0.25">
      <c r="A102" s="35">
        <v>45756</v>
      </c>
      <c r="B102" s="36" t="s">
        <v>621</v>
      </c>
      <c r="C102" s="36" t="s">
        <v>35</v>
      </c>
      <c r="D102" s="36">
        <v>46</v>
      </c>
      <c r="E102" s="65">
        <v>0.58333333333333337</v>
      </c>
      <c r="F102" s="65">
        <v>0.60069444444444442</v>
      </c>
      <c r="G102" s="65">
        <v>0.65972222222222221</v>
      </c>
      <c r="H102" s="65">
        <v>0.6479166666666667</v>
      </c>
      <c r="I102" s="38">
        <f t="shared" si="4"/>
        <v>4.7222222222222276E-2</v>
      </c>
      <c r="J102" s="39">
        <v>0.40486111111111112</v>
      </c>
      <c r="K102" s="36" t="s">
        <v>50</v>
      </c>
      <c r="L102" s="37" t="s">
        <v>604</v>
      </c>
      <c r="M102" s="36">
        <v>12</v>
      </c>
      <c r="N102" s="37">
        <v>0</v>
      </c>
      <c r="O102" s="37">
        <v>0</v>
      </c>
      <c r="P102" s="37">
        <v>0</v>
      </c>
      <c r="Q102" s="37">
        <v>0</v>
      </c>
      <c r="R102" s="65">
        <v>0.60138888888888886</v>
      </c>
      <c r="S102" s="65">
        <v>0.64375000000000004</v>
      </c>
      <c r="T102" s="65">
        <v>0.60555555555555551</v>
      </c>
      <c r="U102" s="65">
        <v>0.62430555555555556</v>
      </c>
      <c r="V102" s="65">
        <v>0.62430555555555556</v>
      </c>
      <c r="W102" s="65">
        <v>0.64375000000000004</v>
      </c>
      <c r="X102" s="65">
        <v>0.625</v>
      </c>
      <c r="Y102" s="65">
        <v>0.6479166666666667</v>
      </c>
      <c r="Z102" s="37" t="s">
        <v>708</v>
      </c>
      <c r="AA102" s="37"/>
      <c r="AB102" s="36">
        <v>22</v>
      </c>
      <c r="AC102" s="36">
        <v>6</v>
      </c>
      <c r="AD102" s="36">
        <v>5</v>
      </c>
      <c r="AE102" s="36">
        <v>20</v>
      </c>
      <c r="AF102" s="184">
        <v>45756</v>
      </c>
    </row>
    <row r="103" spans="1:32" s="28" customFormat="1" x14ac:dyDescent="0.25">
      <c r="A103" s="35">
        <v>45756</v>
      </c>
      <c r="B103" s="36" t="s">
        <v>719</v>
      </c>
      <c r="C103" s="36" t="s">
        <v>46</v>
      </c>
      <c r="D103" s="36">
        <v>44</v>
      </c>
      <c r="E103" s="65">
        <v>0.95833333333333337</v>
      </c>
      <c r="F103" s="65">
        <v>0.97083333333333333</v>
      </c>
      <c r="G103" s="127"/>
      <c r="H103" s="127"/>
      <c r="I103" s="38">
        <v>0.25486111111111109</v>
      </c>
      <c r="J103" s="36"/>
      <c r="K103" s="36"/>
      <c r="L103" s="37" t="s">
        <v>720</v>
      </c>
      <c r="M103" s="36">
        <v>12</v>
      </c>
      <c r="N103" s="37">
        <v>0</v>
      </c>
      <c r="O103" s="37">
        <v>0</v>
      </c>
      <c r="P103" s="37">
        <v>0</v>
      </c>
      <c r="Q103" s="37">
        <v>0</v>
      </c>
      <c r="R103" s="65">
        <v>0.18680555555555556</v>
      </c>
      <c r="S103" s="65">
        <v>0.19375000000000001</v>
      </c>
      <c r="T103" s="65">
        <v>0.96944444444444444</v>
      </c>
      <c r="U103" s="65">
        <v>1.3888888888888888E-2</v>
      </c>
      <c r="V103" s="65"/>
      <c r="W103" s="65"/>
      <c r="X103" s="65">
        <v>0.98333333333333328</v>
      </c>
      <c r="Y103" s="65"/>
      <c r="Z103" s="37" t="s">
        <v>708</v>
      </c>
      <c r="AA103" s="37"/>
      <c r="AB103" s="36">
        <v>17</v>
      </c>
      <c r="AC103" s="36">
        <v>15</v>
      </c>
      <c r="AD103" s="36"/>
      <c r="AE103" s="36"/>
      <c r="AF103" s="184">
        <v>45756</v>
      </c>
    </row>
    <row r="104" spans="1:32" s="28" customFormat="1" x14ac:dyDescent="0.25">
      <c r="A104" s="35">
        <v>45757</v>
      </c>
      <c r="B104" s="36" t="s">
        <v>107</v>
      </c>
      <c r="C104" s="36" t="s">
        <v>46</v>
      </c>
      <c r="D104" s="36">
        <v>44</v>
      </c>
      <c r="E104" s="127"/>
      <c r="F104" s="127"/>
      <c r="G104" s="65">
        <v>0.2361111111111111</v>
      </c>
      <c r="H104" s="65">
        <v>0.22569444444444445</v>
      </c>
      <c r="I104" s="38"/>
      <c r="J104" s="36">
        <v>0</v>
      </c>
      <c r="K104" s="36">
        <v>0</v>
      </c>
      <c r="L104" s="37" t="s">
        <v>33</v>
      </c>
      <c r="M104" s="36">
        <v>12</v>
      </c>
      <c r="N104" s="37">
        <v>0</v>
      </c>
      <c r="O104" s="37">
        <v>0</v>
      </c>
      <c r="P104" s="37">
        <v>0</v>
      </c>
      <c r="Q104" s="37">
        <v>0</v>
      </c>
      <c r="R104" s="65"/>
      <c r="S104" s="65"/>
      <c r="T104" s="65"/>
      <c r="U104" s="65"/>
      <c r="V104" s="65">
        <v>0.18680555555555556</v>
      </c>
      <c r="W104" s="65">
        <v>0.19652777777777777</v>
      </c>
      <c r="X104" s="65"/>
      <c r="Y104" s="65">
        <v>0.21875</v>
      </c>
      <c r="Z104" s="37" t="s">
        <v>708</v>
      </c>
      <c r="AA104" s="37"/>
      <c r="AB104" s="36"/>
      <c r="AC104" s="36"/>
      <c r="AD104" s="36">
        <v>11</v>
      </c>
      <c r="AE104" s="36">
        <v>14</v>
      </c>
      <c r="AF104" s="184"/>
    </row>
    <row r="105" spans="1:32" s="28" customFormat="1" x14ac:dyDescent="0.25">
      <c r="A105" s="35">
        <v>45757</v>
      </c>
      <c r="B105" s="36" t="s">
        <v>697</v>
      </c>
      <c r="C105" s="36" t="s">
        <v>35</v>
      </c>
      <c r="D105" s="36">
        <v>43</v>
      </c>
      <c r="E105" s="65">
        <v>0.97916666666666663</v>
      </c>
      <c r="F105" s="65">
        <v>0.98888888888888893</v>
      </c>
      <c r="G105" s="189"/>
      <c r="H105" s="189"/>
      <c r="I105" s="38">
        <f t="shared" si="4"/>
        <v>-0.98888888888888893</v>
      </c>
      <c r="J105" s="36"/>
      <c r="K105" s="36"/>
      <c r="L105" s="37" t="s">
        <v>721</v>
      </c>
      <c r="M105" s="36">
        <v>12</v>
      </c>
      <c r="N105" s="65">
        <v>0.99305555555555558</v>
      </c>
      <c r="O105" s="65">
        <v>1.4583333333333334E-2</v>
      </c>
      <c r="P105" s="37">
        <v>0</v>
      </c>
      <c r="Q105" s="37">
        <v>0</v>
      </c>
      <c r="R105" s="65">
        <v>0.99722222222222223</v>
      </c>
      <c r="S105" s="65">
        <v>2.0833333333333332E-2</v>
      </c>
      <c r="T105" s="65">
        <v>0.9916666666666667</v>
      </c>
      <c r="U105" s="65">
        <v>1.4583333333333334E-2</v>
      </c>
      <c r="V105" s="65"/>
      <c r="W105" s="65"/>
      <c r="X105" s="65">
        <v>2.7777777777777779E-3</v>
      </c>
      <c r="Y105" s="65">
        <v>0.2361111111111111</v>
      </c>
      <c r="Z105" s="37" t="s">
        <v>708</v>
      </c>
      <c r="AA105" s="37"/>
      <c r="AB105" s="36">
        <v>22</v>
      </c>
      <c r="AC105" s="36">
        <v>8</v>
      </c>
      <c r="AD105" s="36"/>
      <c r="AE105" s="36"/>
      <c r="AF105" s="184">
        <v>45757</v>
      </c>
    </row>
    <row r="106" spans="1:32" s="28" customFormat="1" x14ac:dyDescent="0.25">
      <c r="A106" s="35">
        <v>45758</v>
      </c>
      <c r="B106" s="36" t="s">
        <v>107</v>
      </c>
      <c r="C106" s="36" t="s">
        <v>35</v>
      </c>
      <c r="D106" s="36">
        <v>43</v>
      </c>
      <c r="E106" s="119"/>
      <c r="F106" s="119"/>
      <c r="G106" s="65">
        <v>0.2361111111111111</v>
      </c>
      <c r="H106" s="65">
        <v>0.2361111111111111</v>
      </c>
      <c r="I106" s="38">
        <f t="shared" si="4"/>
        <v>0.2361111111111111</v>
      </c>
      <c r="J106" s="37">
        <v>0</v>
      </c>
      <c r="K106" s="37">
        <v>0</v>
      </c>
      <c r="L106" s="37" t="s">
        <v>33</v>
      </c>
      <c r="M106" s="36">
        <v>12</v>
      </c>
      <c r="N106" s="37"/>
      <c r="O106" s="37"/>
      <c r="P106" s="37">
        <v>0</v>
      </c>
      <c r="Q106" s="37">
        <v>0</v>
      </c>
      <c r="R106" s="37"/>
      <c r="S106" s="37"/>
      <c r="T106" s="37"/>
      <c r="U106" s="37"/>
      <c r="V106" s="65">
        <v>0.16666666666666666</v>
      </c>
      <c r="W106" s="65">
        <v>0.19791666666666666</v>
      </c>
      <c r="X106" s="37"/>
      <c r="Y106" s="65">
        <v>0.2361111111111111</v>
      </c>
      <c r="Z106" s="37" t="s">
        <v>708</v>
      </c>
      <c r="AA106" s="37"/>
      <c r="AB106" s="36"/>
      <c r="AC106" s="36"/>
      <c r="AD106" s="36">
        <v>15</v>
      </c>
      <c r="AE106" s="36">
        <v>4</v>
      </c>
    </row>
    <row r="107" spans="1:32" s="28" customFormat="1" x14ac:dyDescent="0.25">
      <c r="A107" s="35">
        <v>45759</v>
      </c>
      <c r="B107" s="36" t="s">
        <v>621</v>
      </c>
      <c r="C107" s="37" t="s">
        <v>39</v>
      </c>
      <c r="D107" s="36">
        <v>42</v>
      </c>
      <c r="E107" s="65">
        <v>0.21527777777777779</v>
      </c>
      <c r="F107" s="65">
        <v>0.21527777777777779</v>
      </c>
      <c r="G107" s="65">
        <v>0.27777777777777779</v>
      </c>
      <c r="H107" s="65">
        <v>0.28263888888888888</v>
      </c>
      <c r="I107" s="38">
        <f t="shared" si="4"/>
        <v>6.7361111111111094E-2</v>
      </c>
      <c r="J107" s="65">
        <v>4.8611111111111112E-3</v>
      </c>
      <c r="K107" s="37">
        <v>89</v>
      </c>
      <c r="L107" s="37" t="s">
        <v>85</v>
      </c>
      <c r="M107" s="37">
        <v>12</v>
      </c>
      <c r="N107" s="37">
        <v>0</v>
      </c>
      <c r="O107" s="37">
        <v>0</v>
      </c>
      <c r="P107" s="37">
        <v>0</v>
      </c>
      <c r="Q107" s="37">
        <v>0</v>
      </c>
      <c r="R107" s="65">
        <v>0.21736111111111112</v>
      </c>
      <c r="S107" s="65">
        <v>0.27291666666666664</v>
      </c>
      <c r="T107" s="65">
        <v>0.21875</v>
      </c>
      <c r="U107" s="65">
        <v>0.25</v>
      </c>
      <c r="V107" s="65">
        <v>0.22916666666666666</v>
      </c>
      <c r="W107" s="65">
        <v>0.2722222222222222</v>
      </c>
      <c r="X107" s="65">
        <v>0.23194444444444445</v>
      </c>
      <c r="Y107" s="65">
        <v>0.27777777777777779</v>
      </c>
      <c r="Z107" s="37" t="s">
        <v>97</v>
      </c>
      <c r="AA107" s="37"/>
      <c r="AB107" s="36">
        <v>32</v>
      </c>
      <c r="AC107" s="36">
        <v>2</v>
      </c>
      <c r="AD107" s="36">
        <v>17</v>
      </c>
      <c r="AE107" s="36">
        <v>0</v>
      </c>
      <c r="AF107" s="167">
        <v>45759</v>
      </c>
    </row>
    <row r="108" spans="1:32" s="28" customFormat="1" x14ac:dyDescent="0.25">
      <c r="A108" s="114">
        <v>45760</v>
      </c>
      <c r="B108" s="115"/>
      <c r="C108" s="119"/>
      <c r="D108" s="115"/>
      <c r="E108" s="119"/>
      <c r="F108" s="119"/>
      <c r="G108" s="119"/>
      <c r="H108" s="119"/>
      <c r="I108" s="117">
        <f t="shared" si="4"/>
        <v>0</v>
      </c>
      <c r="J108" s="119"/>
      <c r="K108" s="119"/>
      <c r="L108" s="119"/>
      <c r="M108" s="119"/>
      <c r="N108" s="119"/>
      <c r="O108" s="119"/>
      <c r="P108" s="119"/>
      <c r="Q108" s="119"/>
      <c r="R108" s="127"/>
      <c r="S108" s="127"/>
      <c r="T108" s="119"/>
      <c r="U108" s="119"/>
      <c r="V108" s="119"/>
      <c r="W108" s="119"/>
      <c r="X108" s="119"/>
      <c r="Y108" s="119"/>
      <c r="Z108" s="119"/>
      <c r="AA108" s="119"/>
      <c r="AB108" s="115"/>
      <c r="AC108" s="115"/>
      <c r="AD108" s="115"/>
      <c r="AE108" s="115"/>
      <c r="AF108" s="118"/>
    </row>
    <row r="109" spans="1:32" s="28" customFormat="1" x14ac:dyDescent="0.25">
      <c r="A109" s="35">
        <v>45761</v>
      </c>
      <c r="B109" s="36" t="s">
        <v>722</v>
      </c>
      <c r="C109" s="37" t="s">
        <v>46</v>
      </c>
      <c r="D109" s="36">
        <v>43</v>
      </c>
      <c r="E109" s="65">
        <v>0.125</v>
      </c>
      <c r="F109" s="65">
        <v>0.13541666666666666</v>
      </c>
      <c r="G109" s="65">
        <v>0.1875</v>
      </c>
      <c r="H109" s="65">
        <v>0.18819444444444444</v>
      </c>
      <c r="I109" s="38">
        <v>5.2777777777777778E-2</v>
      </c>
      <c r="J109" s="37">
        <v>0</v>
      </c>
      <c r="K109" s="37">
        <v>0</v>
      </c>
      <c r="L109" s="37" t="s">
        <v>33</v>
      </c>
      <c r="M109" s="37">
        <v>12</v>
      </c>
      <c r="N109" s="37">
        <v>0</v>
      </c>
      <c r="O109" s="37">
        <v>0</v>
      </c>
      <c r="P109" s="37">
        <v>0</v>
      </c>
      <c r="Q109" s="37">
        <v>0</v>
      </c>
      <c r="R109" s="65">
        <v>0.1361111111111111</v>
      </c>
      <c r="S109" s="65">
        <v>0.20069444444444445</v>
      </c>
      <c r="T109" s="65">
        <v>0.13819444444444445</v>
      </c>
      <c r="U109" s="65">
        <v>0.16666666666666666</v>
      </c>
      <c r="V109" s="65">
        <v>0.15833333333333333</v>
      </c>
      <c r="W109" s="65">
        <v>0.18680555555555556</v>
      </c>
      <c r="X109" s="65">
        <v>0.15069444444444444</v>
      </c>
      <c r="Y109" s="65">
        <v>0.18819444444444444</v>
      </c>
      <c r="Z109" s="37" t="s">
        <v>97</v>
      </c>
      <c r="AA109" s="37"/>
      <c r="AB109" s="36">
        <v>13</v>
      </c>
      <c r="AC109" s="36">
        <v>17</v>
      </c>
      <c r="AD109" s="36">
        <v>14</v>
      </c>
      <c r="AE109" s="36">
        <v>0</v>
      </c>
      <c r="AF109" s="167">
        <v>45761</v>
      </c>
    </row>
    <row r="110" spans="1:32" s="28" customFormat="1" x14ac:dyDescent="0.25">
      <c r="A110" s="35">
        <v>45762</v>
      </c>
      <c r="B110" s="36" t="s">
        <v>722</v>
      </c>
      <c r="C110" s="37" t="s">
        <v>32</v>
      </c>
      <c r="D110" s="36">
        <v>44</v>
      </c>
      <c r="E110" s="65">
        <v>0.1736111111111111</v>
      </c>
      <c r="F110" s="65">
        <v>0.19513888888888889</v>
      </c>
      <c r="G110" s="65">
        <v>0.24305555555555555</v>
      </c>
      <c r="H110" s="65">
        <v>0.25</v>
      </c>
      <c r="I110" s="38">
        <f t="shared" si="4"/>
        <v>5.486111111111111E-2</v>
      </c>
      <c r="J110" s="65">
        <v>1.3888888888888888E-2</v>
      </c>
      <c r="K110" s="37">
        <v>93</v>
      </c>
      <c r="L110" s="37" t="s">
        <v>604</v>
      </c>
      <c r="M110" s="37">
        <v>12</v>
      </c>
      <c r="N110" s="37">
        <v>0</v>
      </c>
      <c r="O110" s="37">
        <v>0</v>
      </c>
      <c r="P110" s="37">
        <v>0</v>
      </c>
      <c r="Q110" s="37">
        <v>0</v>
      </c>
      <c r="R110" s="65">
        <v>0.19583333333333333</v>
      </c>
      <c r="S110" s="65">
        <v>0.24722222222222223</v>
      </c>
      <c r="T110" s="65">
        <v>0.19930555555555557</v>
      </c>
      <c r="U110" s="65">
        <v>0.22222222222222221</v>
      </c>
      <c r="V110" s="65">
        <v>0.22222222222222221</v>
      </c>
      <c r="W110" s="65">
        <v>0.24444444444444444</v>
      </c>
      <c r="X110" s="65">
        <v>0.20694444444444443</v>
      </c>
      <c r="Y110" s="65">
        <v>0.25347222222222221</v>
      </c>
      <c r="Z110" s="37" t="s">
        <v>97</v>
      </c>
      <c r="AA110" s="37"/>
      <c r="AB110" s="36">
        <v>14</v>
      </c>
      <c r="AC110" s="36">
        <v>17</v>
      </c>
      <c r="AD110" s="36">
        <v>12</v>
      </c>
      <c r="AE110" s="36">
        <v>0</v>
      </c>
      <c r="AF110" s="167">
        <v>45762</v>
      </c>
    </row>
    <row r="111" spans="1:32" s="28" customFormat="1" x14ac:dyDescent="0.25">
      <c r="A111" s="35">
        <v>45763</v>
      </c>
      <c r="B111" s="36" t="s">
        <v>621</v>
      </c>
      <c r="C111" s="37" t="s">
        <v>46</v>
      </c>
      <c r="D111" s="36">
        <v>44</v>
      </c>
      <c r="E111" s="65">
        <v>0.1736111111111111</v>
      </c>
      <c r="F111" s="65">
        <v>0.17083333333333334</v>
      </c>
      <c r="G111" s="65">
        <v>0.24305555555555555</v>
      </c>
      <c r="H111" s="65">
        <v>0.22638888888888889</v>
      </c>
      <c r="I111" s="38">
        <f t="shared" si="4"/>
        <v>5.5555555555555552E-2</v>
      </c>
      <c r="J111" s="37">
        <v>0</v>
      </c>
      <c r="K111" s="37">
        <v>0</v>
      </c>
      <c r="L111" s="37" t="s">
        <v>33</v>
      </c>
      <c r="M111" s="37">
        <v>12</v>
      </c>
      <c r="N111" s="65">
        <v>0.1736111111111111</v>
      </c>
      <c r="O111" s="65">
        <v>0.21527777777777779</v>
      </c>
      <c r="P111" s="37">
        <v>0</v>
      </c>
      <c r="Q111" s="37">
        <v>0</v>
      </c>
      <c r="R111" s="65">
        <v>0.17291666666666666</v>
      </c>
      <c r="S111" s="65">
        <v>0.22361111111111112</v>
      </c>
      <c r="T111" s="65">
        <v>0.17499999999999999</v>
      </c>
      <c r="U111" s="65">
        <v>0.2013888888888889</v>
      </c>
      <c r="V111" s="65">
        <v>0.20277777777777778</v>
      </c>
      <c r="W111" s="65">
        <v>0.22361111111111112</v>
      </c>
      <c r="X111" s="65">
        <v>0.19027777777777777</v>
      </c>
      <c r="Y111" s="65">
        <v>0.2298611111111111</v>
      </c>
      <c r="Z111" s="37" t="s">
        <v>708</v>
      </c>
      <c r="AA111" s="37"/>
      <c r="AB111" s="36">
        <v>8</v>
      </c>
      <c r="AC111" s="36">
        <v>8</v>
      </c>
      <c r="AD111" s="36">
        <v>17</v>
      </c>
      <c r="AE111" s="36">
        <v>14</v>
      </c>
      <c r="AF111" s="167">
        <v>45763</v>
      </c>
    </row>
    <row r="112" spans="1:32" s="28" customFormat="1" x14ac:dyDescent="0.25">
      <c r="A112" s="35">
        <v>45764</v>
      </c>
      <c r="B112" s="36" t="s">
        <v>621</v>
      </c>
      <c r="C112" s="37" t="s">
        <v>38</v>
      </c>
      <c r="D112" s="36">
        <v>44</v>
      </c>
      <c r="E112" s="65">
        <v>0.1736111111111111</v>
      </c>
      <c r="F112" s="65">
        <v>0.17847222222222223</v>
      </c>
      <c r="G112" s="65">
        <v>0.24305555555555555</v>
      </c>
      <c r="H112" s="65">
        <v>0.24097222222222223</v>
      </c>
      <c r="I112" s="38">
        <f t="shared" si="4"/>
        <v>6.25E-2</v>
      </c>
      <c r="J112" s="37">
        <v>0</v>
      </c>
      <c r="K112" s="37">
        <v>0</v>
      </c>
      <c r="L112" s="37" t="s">
        <v>33</v>
      </c>
      <c r="M112" s="37">
        <v>11</v>
      </c>
      <c r="N112" s="37">
        <v>0</v>
      </c>
      <c r="O112" s="37">
        <v>0</v>
      </c>
      <c r="P112" s="37">
        <v>0</v>
      </c>
      <c r="Q112" s="37">
        <v>0</v>
      </c>
      <c r="R112" s="65">
        <v>0.18055555555555555</v>
      </c>
      <c r="S112" s="65">
        <v>0.23749999999999999</v>
      </c>
      <c r="T112" s="65">
        <v>0.18541666666666667</v>
      </c>
      <c r="U112" s="65">
        <v>0.2076388888888889</v>
      </c>
      <c r="V112" s="65">
        <v>0.20972222222222223</v>
      </c>
      <c r="W112" s="65">
        <v>0.23749999999999999</v>
      </c>
      <c r="X112" s="65">
        <v>0.19513888888888889</v>
      </c>
      <c r="Y112" s="65">
        <v>0.24097222222222223</v>
      </c>
      <c r="Z112" s="37" t="s">
        <v>708</v>
      </c>
      <c r="AA112" s="37"/>
      <c r="AB112" s="36">
        <v>2</v>
      </c>
      <c r="AC112" s="36">
        <v>28</v>
      </c>
      <c r="AD112" s="36">
        <v>16</v>
      </c>
      <c r="AE112" s="36">
        <v>6</v>
      </c>
      <c r="AF112" s="167">
        <v>45764</v>
      </c>
    </row>
    <row r="113" spans="1:32" s="28" customFormat="1" x14ac:dyDescent="0.25">
      <c r="A113" s="35">
        <v>45765</v>
      </c>
      <c r="B113" s="36" t="s">
        <v>621</v>
      </c>
      <c r="C113" s="37" t="s">
        <v>46</v>
      </c>
      <c r="D113" s="36">
        <v>43</v>
      </c>
      <c r="E113" s="65">
        <v>0.1736111111111111</v>
      </c>
      <c r="F113" s="65">
        <v>0.21388888888888888</v>
      </c>
      <c r="G113" s="65">
        <v>0.24305555555555555</v>
      </c>
      <c r="H113" s="65">
        <v>0.3125</v>
      </c>
      <c r="I113" s="38">
        <f t="shared" si="4"/>
        <v>9.8611111111111122E-2</v>
      </c>
      <c r="J113" s="37">
        <v>0</v>
      </c>
      <c r="K113" s="37" t="s">
        <v>723</v>
      </c>
      <c r="L113" s="37" t="s">
        <v>604</v>
      </c>
      <c r="M113" s="37">
        <v>11</v>
      </c>
      <c r="N113" s="37">
        <v>0</v>
      </c>
      <c r="O113" s="37">
        <v>0</v>
      </c>
      <c r="P113" s="37">
        <v>0</v>
      </c>
      <c r="Q113" s="37">
        <v>0</v>
      </c>
      <c r="R113" s="65">
        <v>0.21666666666666667</v>
      </c>
      <c r="S113" s="65">
        <v>0.26041666666666669</v>
      </c>
      <c r="T113" s="65">
        <v>0.21875</v>
      </c>
      <c r="U113" s="65">
        <v>0.24166666666666667</v>
      </c>
      <c r="V113" s="65">
        <v>0.24236111111111111</v>
      </c>
      <c r="W113" s="65">
        <v>0.26041666666666669</v>
      </c>
      <c r="X113" s="65">
        <v>0.2326388888888889</v>
      </c>
      <c r="Y113" s="65">
        <v>0.26319444444444445</v>
      </c>
      <c r="Z113" s="37" t="s">
        <v>724</v>
      </c>
      <c r="AA113" s="37"/>
      <c r="AB113" s="36">
        <v>8</v>
      </c>
      <c r="AC113" s="36">
        <v>28</v>
      </c>
      <c r="AD113" s="36">
        <v>16</v>
      </c>
      <c r="AE113" s="36">
        <v>12</v>
      </c>
      <c r="AF113" s="167">
        <v>45765</v>
      </c>
    </row>
    <row r="114" spans="1:32" s="28" customFormat="1" x14ac:dyDescent="0.25">
      <c r="A114" s="35">
        <v>45766</v>
      </c>
      <c r="B114" s="36" t="s">
        <v>722</v>
      </c>
      <c r="C114" s="37" t="s">
        <v>32</v>
      </c>
      <c r="D114" s="36">
        <v>43</v>
      </c>
      <c r="E114" s="65">
        <v>0.21527777777777779</v>
      </c>
      <c r="F114" s="65">
        <v>0.20416666666666666</v>
      </c>
      <c r="G114" s="65">
        <v>0.27777777777777779</v>
      </c>
      <c r="H114" s="65">
        <v>0.27569444444444446</v>
      </c>
      <c r="I114" s="38">
        <f t="shared" si="4"/>
        <v>7.1527777777777801E-2</v>
      </c>
      <c r="J114" s="37">
        <v>0</v>
      </c>
      <c r="K114" s="37">
        <v>0</v>
      </c>
      <c r="L114" s="37" t="s">
        <v>725</v>
      </c>
      <c r="M114" s="37">
        <v>13</v>
      </c>
      <c r="N114" s="37">
        <v>0</v>
      </c>
      <c r="O114" s="37">
        <v>0</v>
      </c>
      <c r="P114" s="37">
        <v>0</v>
      </c>
      <c r="Q114" s="37">
        <v>0</v>
      </c>
      <c r="R114" s="65">
        <v>0.20833333333333334</v>
      </c>
      <c r="S114" s="65">
        <v>0.25972222222222224</v>
      </c>
      <c r="T114" s="65">
        <v>0.20972222222222223</v>
      </c>
      <c r="U114" s="65">
        <v>0.23055555555555557</v>
      </c>
      <c r="V114" s="65">
        <v>0.22569444444444445</v>
      </c>
      <c r="W114" s="65">
        <v>0.25972222222222224</v>
      </c>
      <c r="X114" s="65">
        <v>0.21527777777777779</v>
      </c>
      <c r="Y114" s="65">
        <v>0.26874999999999999</v>
      </c>
      <c r="Z114" s="37" t="s">
        <v>97</v>
      </c>
      <c r="AA114" s="37"/>
      <c r="AB114" s="36">
        <v>8</v>
      </c>
      <c r="AC114" s="36">
        <v>24</v>
      </c>
      <c r="AD114" s="36">
        <v>20</v>
      </c>
      <c r="AE114" s="36">
        <v>0</v>
      </c>
      <c r="AF114" s="167">
        <v>45766</v>
      </c>
    </row>
    <row r="115" spans="1:32" s="28" customFormat="1" x14ac:dyDescent="0.25">
      <c r="A115" s="114">
        <v>45767</v>
      </c>
      <c r="B115" s="115"/>
      <c r="C115" s="119"/>
      <c r="D115" s="115"/>
      <c r="E115" s="119"/>
      <c r="F115" s="119"/>
      <c r="G115" s="119"/>
      <c r="H115" s="119"/>
      <c r="I115" s="117">
        <f t="shared" si="4"/>
        <v>0</v>
      </c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5"/>
      <c r="AC115" s="115"/>
      <c r="AD115" s="115"/>
      <c r="AE115" s="115"/>
      <c r="AF115" s="118"/>
    </row>
    <row r="116" spans="1:32" s="28" customFormat="1" x14ac:dyDescent="0.25">
      <c r="A116" s="35">
        <v>45768</v>
      </c>
      <c r="B116" s="36" t="s">
        <v>621</v>
      </c>
      <c r="C116" s="37" t="s">
        <v>46</v>
      </c>
      <c r="D116" s="36">
        <v>43</v>
      </c>
      <c r="E116" s="65">
        <v>0.125</v>
      </c>
      <c r="F116" s="65">
        <v>0.11527777777777778</v>
      </c>
      <c r="G116" s="65">
        <v>0.1875</v>
      </c>
      <c r="H116" s="65">
        <v>0.17569444444444443</v>
      </c>
      <c r="I116" s="38">
        <f t="shared" si="4"/>
        <v>6.0416666666666646E-2</v>
      </c>
      <c r="J116" s="37">
        <v>0</v>
      </c>
      <c r="K116" s="37">
        <v>0</v>
      </c>
      <c r="L116" s="37" t="s">
        <v>33</v>
      </c>
      <c r="M116" s="37">
        <v>11</v>
      </c>
      <c r="N116" s="37">
        <v>0</v>
      </c>
      <c r="O116" s="37">
        <v>0</v>
      </c>
      <c r="P116" s="37">
        <v>0</v>
      </c>
      <c r="Q116" s="37">
        <v>0</v>
      </c>
      <c r="R116" s="65">
        <v>0.11736111111111111</v>
      </c>
      <c r="S116" s="65">
        <v>0.16666666666666666</v>
      </c>
      <c r="T116" s="65">
        <v>0.11944444444444445</v>
      </c>
      <c r="U116" s="65">
        <v>0.14583333333333334</v>
      </c>
      <c r="V116" s="65">
        <v>0.14722222222222223</v>
      </c>
      <c r="W116" s="65">
        <v>0.16666666666666666</v>
      </c>
      <c r="X116" s="65">
        <v>0.13055555555555556</v>
      </c>
      <c r="Y116" s="65">
        <v>0.17569444444444443</v>
      </c>
      <c r="Z116" s="37" t="s">
        <v>708</v>
      </c>
      <c r="AA116" s="37"/>
      <c r="AB116" s="36">
        <v>8</v>
      </c>
      <c r="AC116" s="36">
        <v>24</v>
      </c>
      <c r="AD116" s="36">
        <v>8</v>
      </c>
      <c r="AE116" s="36">
        <v>12</v>
      </c>
      <c r="AF116" s="167">
        <v>45768</v>
      </c>
    </row>
    <row r="117" spans="1:32" s="28" customFormat="1" x14ac:dyDescent="0.25">
      <c r="A117" s="35">
        <v>45769</v>
      </c>
      <c r="B117" s="36" t="s">
        <v>722</v>
      </c>
      <c r="C117" s="37" t="s">
        <v>38</v>
      </c>
      <c r="D117" s="36">
        <v>43</v>
      </c>
      <c r="E117" s="65">
        <v>0.1736111111111111</v>
      </c>
      <c r="F117" s="65">
        <v>0.17777777777777778</v>
      </c>
      <c r="G117" s="65">
        <v>0.24305555555555555</v>
      </c>
      <c r="H117" s="65">
        <v>0.23680555555555555</v>
      </c>
      <c r="I117" s="38">
        <f t="shared" si="4"/>
        <v>5.9027777777777762E-2</v>
      </c>
      <c r="J117" s="37">
        <v>0</v>
      </c>
      <c r="K117" s="37">
        <v>0</v>
      </c>
      <c r="L117" s="37" t="s">
        <v>33</v>
      </c>
      <c r="M117" s="37">
        <v>12</v>
      </c>
      <c r="N117" s="37">
        <v>0</v>
      </c>
      <c r="O117" s="37">
        <v>0</v>
      </c>
      <c r="P117" s="37">
        <v>0</v>
      </c>
      <c r="Q117" s="37">
        <v>0</v>
      </c>
      <c r="R117" s="65">
        <v>0.17847222222222223</v>
      </c>
      <c r="S117" s="65">
        <v>0.23402777777777778</v>
      </c>
      <c r="T117" s="65">
        <v>0.17916666666666667</v>
      </c>
      <c r="U117" s="65">
        <v>0.20694444444444443</v>
      </c>
      <c r="V117" s="65">
        <v>0.2</v>
      </c>
      <c r="W117" s="65">
        <v>0.23333333333333334</v>
      </c>
      <c r="X117" s="65">
        <v>0.19305555555555556</v>
      </c>
      <c r="Y117" s="65">
        <v>0.2361111111111111</v>
      </c>
      <c r="Z117" s="37" t="s">
        <v>97</v>
      </c>
      <c r="AA117" s="37"/>
      <c r="AB117" s="36">
        <v>12</v>
      </c>
      <c r="AC117" s="36">
        <v>20</v>
      </c>
      <c r="AD117" s="36">
        <v>7</v>
      </c>
      <c r="AE117" s="36">
        <v>5</v>
      </c>
      <c r="AF117" s="167">
        <v>45769</v>
      </c>
    </row>
    <row r="118" spans="1:32" s="28" customFormat="1" x14ac:dyDescent="0.25">
      <c r="A118" s="35">
        <v>45770</v>
      </c>
      <c r="B118" s="36" t="s">
        <v>598</v>
      </c>
      <c r="C118" s="37" t="s">
        <v>46</v>
      </c>
      <c r="D118" s="36">
        <v>43</v>
      </c>
      <c r="E118" s="65">
        <v>0.1736111111111111</v>
      </c>
      <c r="F118" s="65">
        <v>0.17986111111111111</v>
      </c>
      <c r="G118" s="65">
        <v>0.35416666666666669</v>
      </c>
      <c r="H118" s="65">
        <v>0.35416666666666669</v>
      </c>
      <c r="I118" s="38">
        <f t="shared" si="4"/>
        <v>0.17430555555555557</v>
      </c>
      <c r="J118" s="37">
        <v>0</v>
      </c>
      <c r="K118" s="37">
        <v>0</v>
      </c>
      <c r="L118" s="37" t="s">
        <v>33</v>
      </c>
      <c r="M118" s="37">
        <v>12</v>
      </c>
      <c r="N118" s="65">
        <v>0.22777777777777777</v>
      </c>
      <c r="O118" s="65">
        <v>0.3527777777777778</v>
      </c>
      <c r="P118" s="37">
        <v>0</v>
      </c>
      <c r="Q118" s="37">
        <v>0</v>
      </c>
      <c r="R118" s="65">
        <v>0.18263888888888888</v>
      </c>
      <c r="S118" s="65">
        <v>0.26250000000000001</v>
      </c>
      <c r="T118" s="65">
        <v>0.19305555555555556</v>
      </c>
      <c r="U118" s="65">
        <v>0.21388888888888888</v>
      </c>
      <c r="V118" s="65">
        <v>0.20902777777777778</v>
      </c>
      <c r="W118" s="65">
        <v>0.26041666666666669</v>
      </c>
      <c r="X118" s="65">
        <v>0.20416666666666666</v>
      </c>
      <c r="Y118" s="65">
        <v>0.3527777777777778</v>
      </c>
      <c r="Z118" s="37" t="s">
        <v>97</v>
      </c>
      <c r="AA118" s="37"/>
      <c r="AB118" s="36">
        <v>8</v>
      </c>
      <c r="AC118" s="36">
        <v>25</v>
      </c>
      <c r="AD118" s="36">
        <v>18</v>
      </c>
      <c r="AE118" s="36">
        <v>0</v>
      </c>
      <c r="AF118" s="167">
        <v>45770</v>
      </c>
    </row>
    <row r="119" spans="1:32" s="28" customFormat="1" x14ac:dyDescent="0.25">
      <c r="A119" s="35">
        <v>45771</v>
      </c>
      <c r="B119" s="36" t="s">
        <v>621</v>
      </c>
      <c r="C119" s="37" t="s">
        <v>48</v>
      </c>
      <c r="D119" s="36">
        <v>43</v>
      </c>
      <c r="E119" s="65">
        <v>0.1736111111111111</v>
      </c>
      <c r="F119" s="65">
        <v>0.19027777777777777</v>
      </c>
      <c r="G119" s="65">
        <v>0.24305555555555555</v>
      </c>
      <c r="H119" s="65">
        <v>0.25138888888888888</v>
      </c>
      <c r="I119" s="38">
        <f t="shared" si="4"/>
        <v>6.1111111111111116E-2</v>
      </c>
      <c r="J119" s="65">
        <v>8.3333333333333332E-3</v>
      </c>
      <c r="K119" s="37" t="s">
        <v>50</v>
      </c>
      <c r="L119" s="37" t="s">
        <v>604</v>
      </c>
      <c r="M119" s="37"/>
      <c r="N119" s="65">
        <v>0</v>
      </c>
      <c r="O119" s="65">
        <v>0</v>
      </c>
      <c r="P119" s="37">
        <v>0</v>
      </c>
      <c r="Q119" s="37">
        <v>0</v>
      </c>
      <c r="R119" s="65">
        <v>0.19166666666666668</v>
      </c>
      <c r="S119" s="65">
        <v>0.24652777777777779</v>
      </c>
      <c r="T119" s="65">
        <v>0.19305555555555556</v>
      </c>
      <c r="U119" s="65">
        <v>0.20833333333333334</v>
      </c>
      <c r="V119" s="65">
        <v>0.20833333333333334</v>
      </c>
      <c r="W119" s="65">
        <v>0.24305555555555555</v>
      </c>
      <c r="X119" s="65">
        <v>0.20277777777777778</v>
      </c>
      <c r="Y119" s="65">
        <v>0.24652777777777779</v>
      </c>
      <c r="Z119" s="37" t="s">
        <v>97</v>
      </c>
      <c r="AA119" s="37"/>
      <c r="AB119" s="36">
        <v>12</v>
      </c>
      <c r="AC119" s="36">
        <v>21</v>
      </c>
      <c r="AD119" s="36">
        <v>12</v>
      </c>
      <c r="AE119" s="36">
        <v>0</v>
      </c>
      <c r="AF119" s="167">
        <v>45771</v>
      </c>
    </row>
    <row r="120" spans="1:32" s="28" customFormat="1" x14ac:dyDescent="0.25">
      <c r="A120" s="35">
        <v>45772</v>
      </c>
      <c r="B120" s="36" t="s">
        <v>621</v>
      </c>
      <c r="C120" s="37" t="s">
        <v>46</v>
      </c>
      <c r="D120" s="36">
        <v>43</v>
      </c>
      <c r="E120" s="65">
        <v>0.1736111111111111</v>
      </c>
      <c r="F120" s="65">
        <v>0.21597222222222223</v>
      </c>
      <c r="G120" s="65">
        <v>0.24305555555555555</v>
      </c>
      <c r="H120" s="65">
        <v>0.26874999999999999</v>
      </c>
      <c r="I120" s="38">
        <f t="shared" si="4"/>
        <v>5.2777777777777757E-2</v>
      </c>
      <c r="J120" s="65">
        <v>2.5694444444444443E-2</v>
      </c>
      <c r="K120" s="37" t="s">
        <v>50</v>
      </c>
      <c r="L120" s="37" t="s">
        <v>604</v>
      </c>
      <c r="M120" s="37">
        <v>12</v>
      </c>
      <c r="N120" s="37">
        <v>0</v>
      </c>
      <c r="O120" s="37">
        <v>0</v>
      </c>
      <c r="P120" s="37">
        <v>0</v>
      </c>
      <c r="Q120" s="37">
        <v>0</v>
      </c>
      <c r="R120" s="65">
        <v>0.21805555555555556</v>
      </c>
      <c r="S120" s="65">
        <v>0.26041666666666669</v>
      </c>
      <c r="T120" s="65">
        <v>0.22013888888888888</v>
      </c>
      <c r="U120" s="65">
        <v>0.2388888888888889</v>
      </c>
      <c r="V120" s="65">
        <v>0.24374999999999999</v>
      </c>
      <c r="W120" s="65">
        <v>0.26041666666666669</v>
      </c>
      <c r="X120" s="65">
        <v>0.2388888888888889</v>
      </c>
      <c r="Y120" s="65">
        <v>0.26874999999999999</v>
      </c>
      <c r="Z120" s="37" t="s">
        <v>708</v>
      </c>
      <c r="AA120" s="37"/>
      <c r="AB120" s="36">
        <v>1</v>
      </c>
      <c r="AC120" s="36">
        <v>28</v>
      </c>
      <c r="AD120" s="36">
        <v>10</v>
      </c>
      <c r="AE120" s="36">
        <v>14</v>
      </c>
      <c r="AF120" s="167">
        <v>45772</v>
      </c>
    </row>
    <row r="121" spans="1:32" s="28" customFormat="1" x14ac:dyDescent="0.25">
      <c r="A121" s="35">
        <v>45773</v>
      </c>
      <c r="B121" s="36" t="s">
        <v>621</v>
      </c>
      <c r="C121" s="37" t="s">
        <v>38</v>
      </c>
      <c r="D121" s="36">
        <v>43</v>
      </c>
      <c r="E121" s="65">
        <v>0.21527777777777779</v>
      </c>
      <c r="F121" s="65">
        <v>0.23055555555555557</v>
      </c>
      <c r="G121" s="65">
        <v>0.27777777777777779</v>
      </c>
      <c r="H121" s="65">
        <v>0.28680555555555554</v>
      </c>
      <c r="I121" s="38">
        <f t="shared" si="4"/>
        <v>5.6249999999999967E-2</v>
      </c>
      <c r="J121" s="65">
        <v>9.0277777777777769E-3</v>
      </c>
      <c r="K121" s="37" t="s">
        <v>50</v>
      </c>
      <c r="L121" s="37" t="s">
        <v>604</v>
      </c>
      <c r="M121" s="37">
        <v>11</v>
      </c>
      <c r="N121" s="37">
        <v>0</v>
      </c>
      <c r="O121" s="37">
        <v>0</v>
      </c>
      <c r="P121" s="37">
        <v>0</v>
      </c>
      <c r="Q121" s="37">
        <v>0</v>
      </c>
      <c r="R121" s="65">
        <v>0.23402777777777778</v>
      </c>
      <c r="S121" s="65">
        <v>0.27986111111111112</v>
      </c>
      <c r="T121" s="65">
        <v>0.2361111111111111</v>
      </c>
      <c r="U121" s="65">
        <v>0.26041666666666669</v>
      </c>
      <c r="V121" s="65">
        <v>0.2638888888888889</v>
      </c>
      <c r="W121" s="65">
        <v>0.27916666666666667</v>
      </c>
      <c r="X121" s="65">
        <v>0.24583333333333332</v>
      </c>
      <c r="Y121" s="65">
        <v>0.28472222222222221</v>
      </c>
      <c r="Z121" s="37" t="s">
        <v>708</v>
      </c>
      <c r="AA121" s="37"/>
      <c r="AB121" s="36">
        <v>15</v>
      </c>
      <c r="AC121" s="36">
        <v>8</v>
      </c>
      <c r="AD121" s="36">
        <v>15</v>
      </c>
      <c r="AE121" s="36">
        <v>6</v>
      </c>
      <c r="AF121" s="167">
        <v>45773</v>
      </c>
    </row>
    <row r="122" spans="1:32" s="28" customFormat="1" x14ac:dyDescent="0.25">
      <c r="A122" s="114">
        <v>45774</v>
      </c>
      <c r="B122" s="115"/>
      <c r="C122" s="119"/>
      <c r="D122" s="115"/>
      <c r="E122" s="119"/>
      <c r="F122" s="119"/>
      <c r="G122" s="119"/>
      <c r="H122" s="119"/>
      <c r="I122" s="117"/>
      <c r="J122" s="127"/>
      <c r="K122" s="119"/>
      <c r="L122" s="119"/>
      <c r="M122" s="119"/>
      <c r="N122" s="127"/>
      <c r="O122" s="127"/>
      <c r="P122" s="119"/>
      <c r="Q122" s="119"/>
      <c r="R122" s="127"/>
      <c r="S122" s="127"/>
      <c r="T122" s="127"/>
      <c r="U122" s="127"/>
      <c r="V122" s="127"/>
      <c r="W122" s="127"/>
      <c r="X122" s="127"/>
      <c r="Y122" s="119"/>
      <c r="Z122" s="119"/>
      <c r="AA122" s="119"/>
      <c r="AB122" s="115"/>
      <c r="AC122" s="115"/>
      <c r="AD122" s="115"/>
      <c r="AE122" s="115">
        <v>0</v>
      </c>
      <c r="AF122" s="188">
        <v>45774</v>
      </c>
    </row>
    <row r="123" spans="1:32" s="28" customFormat="1" x14ac:dyDescent="0.25">
      <c r="A123" s="35">
        <v>45775</v>
      </c>
      <c r="B123" s="36" t="s">
        <v>621</v>
      </c>
      <c r="C123" s="37" t="s">
        <v>38</v>
      </c>
      <c r="D123" s="36">
        <v>43</v>
      </c>
      <c r="E123" s="65">
        <v>0.1736111111111111</v>
      </c>
      <c r="F123" s="65">
        <v>0.26597222222222222</v>
      </c>
      <c r="G123" s="65">
        <v>0.24305555555555555</v>
      </c>
      <c r="H123" s="65">
        <v>0.31597222222222221</v>
      </c>
      <c r="I123" s="38">
        <f t="shared" si="4"/>
        <v>4.9999999999999989E-2</v>
      </c>
      <c r="J123" s="65">
        <v>0.12847222222222221</v>
      </c>
      <c r="K123" s="37">
        <v>93</v>
      </c>
      <c r="L123" s="37" t="s">
        <v>604</v>
      </c>
      <c r="M123" s="37">
        <v>11</v>
      </c>
      <c r="N123" s="65">
        <v>0.26805555555555555</v>
      </c>
      <c r="O123" s="65">
        <v>0.31666666666666665</v>
      </c>
      <c r="P123" s="37">
        <v>0</v>
      </c>
      <c r="Q123" s="37">
        <v>0</v>
      </c>
      <c r="R123" s="65">
        <v>0.26666666666666666</v>
      </c>
      <c r="S123" s="65">
        <v>0.31388888888888888</v>
      </c>
      <c r="T123" s="65">
        <v>0.27013888888888887</v>
      </c>
      <c r="U123" s="65">
        <v>0.29305555555555557</v>
      </c>
      <c r="V123" s="65">
        <v>0.27847222222222223</v>
      </c>
      <c r="W123" s="65">
        <v>0.31388888888888888</v>
      </c>
      <c r="X123" s="65">
        <v>0.28194444444444444</v>
      </c>
      <c r="Y123" s="65">
        <v>0.28472222222222221</v>
      </c>
      <c r="Z123" s="37" t="s">
        <v>708</v>
      </c>
      <c r="AA123" s="37"/>
      <c r="AB123" s="36">
        <v>10</v>
      </c>
      <c r="AC123" s="36">
        <v>26</v>
      </c>
      <c r="AD123" s="36">
        <v>20</v>
      </c>
      <c r="AE123" s="36">
        <v>0</v>
      </c>
      <c r="AF123" s="167">
        <v>45775</v>
      </c>
    </row>
    <row r="124" spans="1:32" s="28" customFormat="1" x14ac:dyDescent="0.25">
      <c r="A124" s="35">
        <v>45776</v>
      </c>
      <c r="B124" s="36" t="s">
        <v>621</v>
      </c>
      <c r="C124" s="37" t="s">
        <v>39</v>
      </c>
      <c r="D124" s="36">
        <v>43</v>
      </c>
      <c r="E124" s="65">
        <v>0.1736111111111111</v>
      </c>
      <c r="F124" s="65">
        <v>0.19791666666666666</v>
      </c>
      <c r="G124" s="65">
        <v>0.24305555555555555</v>
      </c>
      <c r="H124" s="65">
        <v>0.2590277777777778</v>
      </c>
      <c r="I124" s="38">
        <f t="shared" si="4"/>
        <v>6.1111111111111144E-2</v>
      </c>
      <c r="J124" s="65">
        <v>1.5972222222222221E-2</v>
      </c>
      <c r="K124" s="37" t="s">
        <v>50</v>
      </c>
      <c r="L124" s="37" t="s">
        <v>604</v>
      </c>
      <c r="M124" s="37">
        <v>11</v>
      </c>
      <c r="N124" s="37">
        <v>0</v>
      </c>
      <c r="O124" s="37">
        <v>0</v>
      </c>
      <c r="P124" s="37">
        <v>0</v>
      </c>
      <c r="Q124" s="37">
        <v>0</v>
      </c>
      <c r="R124" s="65">
        <v>0.19930555555555557</v>
      </c>
      <c r="S124" s="65">
        <v>0.25486111111111109</v>
      </c>
      <c r="T124" s="65">
        <v>0.22152777777777777</v>
      </c>
      <c r="U124" s="65">
        <v>0.23680555555555555</v>
      </c>
      <c r="V124" s="65">
        <v>0.22152777777777777</v>
      </c>
      <c r="W124" s="65">
        <v>0.22916666666666666</v>
      </c>
      <c r="X124" s="65">
        <v>0.22222222222222221</v>
      </c>
      <c r="Y124" s="65">
        <v>0.25624999999999998</v>
      </c>
      <c r="Z124" s="37" t="s">
        <v>97</v>
      </c>
      <c r="AA124" s="37"/>
      <c r="AB124" s="36">
        <v>16</v>
      </c>
      <c r="AC124" s="36">
        <v>13</v>
      </c>
      <c r="AD124" s="36">
        <v>12</v>
      </c>
      <c r="AE124" s="36">
        <v>0</v>
      </c>
      <c r="AF124" s="167">
        <v>45776</v>
      </c>
    </row>
    <row r="125" spans="1:32" s="28" customFormat="1" x14ac:dyDescent="0.25">
      <c r="A125" s="35">
        <v>45777</v>
      </c>
      <c r="B125" s="36" t="s">
        <v>621</v>
      </c>
      <c r="C125" s="37" t="s">
        <v>48</v>
      </c>
      <c r="D125" s="36">
        <v>44</v>
      </c>
      <c r="E125" s="65">
        <v>0.1736111111111111</v>
      </c>
      <c r="F125" s="65">
        <v>0.19583333333333333</v>
      </c>
      <c r="G125" s="65">
        <v>0.24305555555555555</v>
      </c>
      <c r="H125" s="65">
        <v>0.25</v>
      </c>
      <c r="I125" s="38">
        <f t="shared" si="4"/>
        <v>5.4166666666666669E-2</v>
      </c>
      <c r="J125" s="65">
        <v>6.9444444444444441E-3</v>
      </c>
      <c r="K125" s="65" t="s">
        <v>50</v>
      </c>
      <c r="L125" s="37" t="s">
        <v>604</v>
      </c>
      <c r="M125" s="37">
        <v>11</v>
      </c>
      <c r="N125" s="37">
        <v>0</v>
      </c>
      <c r="O125" s="37">
        <v>0</v>
      </c>
      <c r="P125" s="37">
        <v>0</v>
      </c>
      <c r="Q125" s="37">
        <v>0</v>
      </c>
      <c r="R125" s="65">
        <v>0.19583333333333333</v>
      </c>
      <c r="S125" s="65">
        <v>0.23958333333333334</v>
      </c>
      <c r="T125" s="65">
        <v>0.1986111111111111</v>
      </c>
      <c r="U125" s="65">
        <v>0.21736111111111112</v>
      </c>
      <c r="V125" s="65">
        <v>0.21944444444444444</v>
      </c>
      <c r="W125" s="65">
        <v>0.23958333333333334</v>
      </c>
      <c r="X125" s="65">
        <v>0.20555555555555555</v>
      </c>
      <c r="Y125" s="65">
        <v>0.24444444444444444</v>
      </c>
      <c r="Z125" s="37" t="s">
        <v>40</v>
      </c>
      <c r="AA125" s="37"/>
      <c r="AB125" s="36">
        <v>14</v>
      </c>
      <c r="AC125" s="36">
        <v>17</v>
      </c>
      <c r="AD125" s="36">
        <v>12</v>
      </c>
      <c r="AE125" s="36">
        <v>11</v>
      </c>
      <c r="AF125" s="167">
        <v>45777</v>
      </c>
    </row>
    <row r="126" spans="1:32" s="28" customFormat="1" x14ac:dyDescent="0.25">
      <c r="A126" s="35">
        <v>45778</v>
      </c>
      <c r="B126" s="36" t="s">
        <v>621</v>
      </c>
      <c r="C126" s="37" t="s">
        <v>32</v>
      </c>
      <c r="D126" s="36">
        <v>43</v>
      </c>
      <c r="E126" s="65">
        <v>0.1736111111111111</v>
      </c>
      <c r="F126" s="65">
        <v>0.18333333333333332</v>
      </c>
      <c r="G126" s="65">
        <v>0.21180555555555555</v>
      </c>
      <c r="H126" s="65">
        <v>0.23541666666666666</v>
      </c>
      <c r="I126" s="38">
        <f t="shared" si="4"/>
        <v>5.2083333333333343E-2</v>
      </c>
      <c r="J126" s="37">
        <v>0</v>
      </c>
      <c r="K126" s="37">
        <v>0</v>
      </c>
      <c r="L126" s="37" t="s">
        <v>33</v>
      </c>
      <c r="M126" s="37">
        <v>11</v>
      </c>
      <c r="N126" s="37">
        <v>0</v>
      </c>
      <c r="O126" s="37">
        <v>0</v>
      </c>
      <c r="P126" s="37">
        <v>0</v>
      </c>
      <c r="Q126" s="37">
        <v>0</v>
      </c>
      <c r="R126" s="65">
        <v>0.18402777777777779</v>
      </c>
      <c r="S126" s="65">
        <v>0.2298611111111111</v>
      </c>
      <c r="T126" s="65">
        <v>0.18541666666666667</v>
      </c>
      <c r="U126" s="65">
        <v>0.20555555555555555</v>
      </c>
      <c r="V126" s="65">
        <v>0.20833333333333334</v>
      </c>
      <c r="W126" s="65">
        <v>0.2298611111111111</v>
      </c>
      <c r="X126" s="65">
        <v>0.19513888888888889</v>
      </c>
      <c r="Y126" s="65">
        <v>0.23472222222222222</v>
      </c>
      <c r="Z126" s="37" t="s">
        <v>708</v>
      </c>
      <c r="AA126" s="37"/>
      <c r="AB126" s="36">
        <v>8</v>
      </c>
      <c r="AC126" s="36">
        <v>22</v>
      </c>
      <c r="AD126" s="36">
        <v>14</v>
      </c>
      <c r="AE126" s="36">
        <v>13</v>
      </c>
      <c r="AF126" s="167">
        <v>45778</v>
      </c>
    </row>
    <row r="127" spans="1:32" s="28" customFormat="1" x14ac:dyDescent="0.25">
      <c r="A127" s="35">
        <v>45779</v>
      </c>
      <c r="B127" s="36" t="s">
        <v>621</v>
      </c>
      <c r="C127" s="37" t="s">
        <v>46</v>
      </c>
      <c r="D127" s="36">
        <v>44</v>
      </c>
      <c r="E127" s="65">
        <v>0.1736111111111111</v>
      </c>
      <c r="F127" s="65">
        <v>0.16805555555555557</v>
      </c>
      <c r="G127" s="65">
        <v>0.24305555555555555</v>
      </c>
      <c r="H127" s="65">
        <v>0.22847222222222222</v>
      </c>
      <c r="I127" s="38">
        <f t="shared" si="4"/>
        <v>6.0416666666666646E-2</v>
      </c>
      <c r="J127" s="37">
        <v>0</v>
      </c>
      <c r="K127" s="37">
        <v>0</v>
      </c>
      <c r="L127" s="37" t="s">
        <v>33</v>
      </c>
      <c r="M127" s="37">
        <v>11</v>
      </c>
      <c r="N127" s="37">
        <v>0</v>
      </c>
      <c r="O127" s="37">
        <v>0</v>
      </c>
      <c r="P127" s="37">
        <v>0</v>
      </c>
      <c r="Q127" s="37">
        <v>0</v>
      </c>
      <c r="R127" s="65">
        <v>0.16875000000000001</v>
      </c>
      <c r="S127" s="65">
        <v>0.21249999999999999</v>
      </c>
      <c r="T127" s="65">
        <v>0.17222222222222222</v>
      </c>
      <c r="U127" s="65">
        <v>0.19097222222222221</v>
      </c>
      <c r="V127" s="65">
        <v>0.19305555555555556</v>
      </c>
      <c r="W127" s="65">
        <v>0.21249999999999999</v>
      </c>
      <c r="X127" s="65">
        <v>0.19166666666666668</v>
      </c>
      <c r="Y127" s="65">
        <v>0.22430555555555556</v>
      </c>
      <c r="Z127" s="37" t="s">
        <v>708</v>
      </c>
      <c r="AA127" s="37"/>
      <c r="AB127" s="36">
        <v>10</v>
      </c>
      <c r="AC127" s="36">
        <v>24</v>
      </c>
      <c r="AD127" s="36">
        <v>5</v>
      </c>
      <c r="AE127" s="36">
        <v>15</v>
      </c>
      <c r="AF127" s="167">
        <v>45779</v>
      </c>
    </row>
    <row r="128" spans="1:32" s="28" customFormat="1" x14ac:dyDescent="0.25">
      <c r="A128" s="35">
        <v>45780</v>
      </c>
      <c r="B128" s="36" t="s">
        <v>621</v>
      </c>
      <c r="C128" s="37" t="s">
        <v>48</v>
      </c>
      <c r="D128" s="36">
        <v>44</v>
      </c>
      <c r="E128" s="65">
        <v>0.21527777777777779</v>
      </c>
      <c r="F128" s="65">
        <v>0.2013888888888889</v>
      </c>
      <c r="G128" s="65">
        <v>0.27777777777777779</v>
      </c>
      <c r="H128" s="65">
        <v>0.26041666666666669</v>
      </c>
      <c r="I128" s="38">
        <f t="shared" si="4"/>
        <v>5.902777777777779E-2</v>
      </c>
      <c r="J128" s="37">
        <v>0</v>
      </c>
      <c r="K128" s="37">
        <v>0</v>
      </c>
      <c r="L128" s="37" t="s">
        <v>33</v>
      </c>
      <c r="M128" s="37">
        <v>11</v>
      </c>
      <c r="N128" s="37">
        <v>0</v>
      </c>
      <c r="O128" s="37">
        <v>0</v>
      </c>
      <c r="P128" s="37">
        <v>0</v>
      </c>
      <c r="Q128" s="37">
        <v>0</v>
      </c>
      <c r="R128" s="65">
        <v>0.20347222222222222</v>
      </c>
      <c r="S128" s="65">
        <v>0.24027777777777778</v>
      </c>
      <c r="T128" s="65">
        <v>0.20555555555555555</v>
      </c>
      <c r="U128" s="65">
        <v>0.22083333333333333</v>
      </c>
      <c r="V128" s="65">
        <v>0.22291666666666668</v>
      </c>
      <c r="W128" s="65">
        <v>0.24027777777777778</v>
      </c>
      <c r="X128" s="65">
        <v>0.21458333333333332</v>
      </c>
      <c r="Y128" s="65">
        <v>0.24513888888888888</v>
      </c>
      <c r="Z128" s="37" t="s">
        <v>40</v>
      </c>
      <c r="AA128" s="37"/>
      <c r="AB128" s="36">
        <v>9</v>
      </c>
      <c r="AC128" s="28">
        <v>19</v>
      </c>
      <c r="AD128" s="36">
        <v>0</v>
      </c>
      <c r="AE128" s="36">
        <v>21</v>
      </c>
      <c r="AF128" s="167">
        <v>45780</v>
      </c>
    </row>
    <row r="129" spans="1:96" s="28" customFormat="1" x14ac:dyDescent="0.25">
      <c r="A129" s="35">
        <v>45781</v>
      </c>
      <c r="B129" s="36"/>
      <c r="C129" s="37"/>
      <c r="D129" s="36"/>
      <c r="E129" s="65"/>
      <c r="F129" s="65"/>
      <c r="G129" s="65"/>
      <c r="H129" s="65"/>
      <c r="I129" s="38"/>
      <c r="J129" s="65"/>
      <c r="K129" s="37"/>
      <c r="L129" s="37"/>
      <c r="M129" s="37"/>
      <c r="N129" s="37"/>
      <c r="O129" s="37"/>
      <c r="P129" s="37"/>
      <c r="Q129" s="37"/>
      <c r="R129" s="65"/>
      <c r="S129" s="65"/>
      <c r="T129" s="65"/>
      <c r="U129" s="65"/>
      <c r="V129" s="65"/>
      <c r="W129" s="65"/>
      <c r="X129" s="65"/>
      <c r="Y129" s="65"/>
      <c r="Z129" s="37"/>
      <c r="AA129" s="37"/>
      <c r="AB129" s="36"/>
      <c r="AC129" s="36"/>
      <c r="AD129" s="36"/>
      <c r="AE129" s="36"/>
      <c r="AF129" s="167"/>
    </row>
    <row r="130" spans="1:96" s="28" customFormat="1" x14ac:dyDescent="0.25">
      <c r="A130" s="35">
        <v>45782</v>
      </c>
      <c r="B130" s="36" t="s">
        <v>621</v>
      </c>
      <c r="C130" s="37" t="s">
        <v>32</v>
      </c>
      <c r="D130" s="36">
        <v>42</v>
      </c>
      <c r="E130" s="65">
        <v>0.13194444444444445</v>
      </c>
      <c r="F130" s="65">
        <v>0.17222222222222222</v>
      </c>
      <c r="G130" s="65">
        <v>0.1875</v>
      </c>
      <c r="H130" s="65">
        <v>0.22777777777777777</v>
      </c>
      <c r="I130" s="38">
        <f t="shared" ref="I130" si="5">H130-F130</f>
        <v>5.5555555555555552E-2</v>
      </c>
      <c r="J130" s="65">
        <v>4.1666666666666664E-2</v>
      </c>
      <c r="K130" s="37" t="s">
        <v>50</v>
      </c>
      <c r="L130" s="37" t="s">
        <v>604</v>
      </c>
      <c r="M130" s="37">
        <v>11</v>
      </c>
      <c r="N130" s="37">
        <v>0</v>
      </c>
      <c r="O130" s="37">
        <v>0</v>
      </c>
      <c r="P130" s="37">
        <v>0</v>
      </c>
      <c r="Q130" s="37">
        <v>0</v>
      </c>
      <c r="R130" s="65">
        <v>0.17499999999999999</v>
      </c>
      <c r="S130" s="65">
        <v>0.22638888888888889</v>
      </c>
      <c r="T130" s="65">
        <v>0.17847222222222223</v>
      </c>
      <c r="U130" s="65">
        <v>0.1986111111111111</v>
      </c>
      <c r="V130" s="65">
        <v>0.20069444444444445</v>
      </c>
      <c r="W130" s="65">
        <v>0.22638888888888889</v>
      </c>
      <c r="X130" s="65">
        <v>0.18888888888888888</v>
      </c>
      <c r="Y130" s="65">
        <v>0.22708333333333333</v>
      </c>
      <c r="Z130" s="37" t="s">
        <v>708</v>
      </c>
      <c r="AA130" s="37"/>
      <c r="AB130" s="36">
        <v>10</v>
      </c>
      <c r="AC130" s="36">
        <v>20</v>
      </c>
      <c r="AD130" s="36">
        <v>10</v>
      </c>
      <c r="AE130" s="36">
        <v>3</v>
      </c>
      <c r="AF130" s="167">
        <v>45782</v>
      </c>
    </row>
    <row r="131" spans="1:96" s="28" customFormat="1" x14ac:dyDescent="0.25">
      <c r="A131" s="35">
        <v>45783</v>
      </c>
      <c r="B131" s="36" t="s">
        <v>621</v>
      </c>
      <c r="C131" s="37" t="s">
        <v>46</v>
      </c>
      <c r="D131" s="36">
        <v>44</v>
      </c>
      <c r="E131" s="65">
        <v>0.1736111111111111</v>
      </c>
      <c r="F131" s="65">
        <v>0.1736111111111111</v>
      </c>
      <c r="G131" s="65">
        <v>0.24305555555555555</v>
      </c>
      <c r="H131" s="65">
        <v>0.22430555555555556</v>
      </c>
      <c r="I131" s="38">
        <f t="shared" si="4"/>
        <v>5.0694444444444459E-2</v>
      </c>
      <c r="J131" s="37">
        <v>0</v>
      </c>
      <c r="K131" s="37">
        <v>0</v>
      </c>
      <c r="L131" s="37" t="s">
        <v>33</v>
      </c>
      <c r="M131" s="37">
        <v>11</v>
      </c>
      <c r="N131" s="37">
        <v>0</v>
      </c>
      <c r="O131" s="37">
        <v>0</v>
      </c>
      <c r="P131" s="37">
        <v>0</v>
      </c>
      <c r="Q131" s="37">
        <v>0</v>
      </c>
      <c r="R131" s="65">
        <v>0.17499999999999999</v>
      </c>
      <c r="S131" s="65">
        <v>0.22013888888888888</v>
      </c>
      <c r="T131" s="65">
        <v>0.1763888888888889</v>
      </c>
      <c r="U131" s="65">
        <v>0.2</v>
      </c>
      <c r="V131" s="65">
        <v>0.2013888888888889</v>
      </c>
      <c r="W131" s="65">
        <v>0.22013888888888888</v>
      </c>
      <c r="X131" s="65">
        <v>0.18611111111111112</v>
      </c>
      <c r="Y131" s="65">
        <v>0.22430555555555556</v>
      </c>
      <c r="Z131" s="37" t="s">
        <v>708</v>
      </c>
      <c r="AA131" s="37"/>
      <c r="AB131" s="36">
        <v>10</v>
      </c>
      <c r="AC131" s="36">
        <v>14</v>
      </c>
      <c r="AD131" s="36">
        <v>5</v>
      </c>
      <c r="AE131" s="36">
        <v>19</v>
      </c>
      <c r="AF131" s="167">
        <v>45783</v>
      </c>
    </row>
    <row r="132" spans="1:96" s="28" customFormat="1" x14ac:dyDescent="0.25">
      <c r="A132" s="35">
        <v>45784</v>
      </c>
      <c r="B132" s="36" t="s">
        <v>621</v>
      </c>
      <c r="C132" s="37" t="s">
        <v>48</v>
      </c>
      <c r="D132" s="36">
        <v>44</v>
      </c>
      <c r="E132" s="65">
        <v>0.1736111111111111</v>
      </c>
      <c r="F132" s="65">
        <v>0.20416666666666666</v>
      </c>
      <c r="G132" s="65">
        <v>0.24305555555555555</v>
      </c>
      <c r="H132" s="65">
        <v>0.26458333333333334</v>
      </c>
      <c r="I132" s="38">
        <f t="shared" si="4"/>
        <v>6.0416666666666674E-2</v>
      </c>
      <c r="J132" s="65">
        <v>1.4583333333333334E-2</v>
      </c>
      <c r="K132" s="37" t="s">
        <v>50</v>
      </c>
      <c r="L132" s="37" t="s">
        <v>604</v>
      </c>
      <c r="M132" s="37">
        <v>11</v>
      </c>
      <c r="N132" s="37">
        <v>0</v>
      </c>
      <c r="O132" s="37">
        <v>0</v>
      </c>
      <c r="P132" s="37">
        <v>0</v>
      </c>
      <c r="Q132" s="37">
        <v>0</v>
      </c>
      <c r="R132" s="65">
        <v>0.2048611111111111</v>
      </c>
      <c r="S132" s="65">
        <v>0.25</v>
      </c>
      <c r="T132" s="65">
        <v>0.20833333333333334</v>
      </c>
      <c r="U132" s="65">
        <v>0.22847222222222222</v>
      </c>
      <c r="V132" s="65">
        <v>0.23194444444444445</v>
      </c>
      <c r="W132" s="65">
        <v>0.24930555555555556</v>
      </c>
      <c r="X132" s="65">
        <v>0.22152777777777777</v>
      </c>
      <c r="Y132" s="65">
        <v>0.25416666666666665</v>
      </c>
      <c r="Z132" s="37" t="s">
        <v>40</v>
      </c>
      <c r="AA132" s="37"/>
      <c r="AB132" s="36">
        <v>8</v>
      </c>
      <c r="AC132" s="36">
        <v>22</v>
      </c>
      <c r="AD132" s="36">
        <v>18</v>
      </c>
      <c r="AE132" s="36">
        <v>5</v>
      </c>
      <c r="AF132" s="167">
        <v>45784</v>
      </c>
    </row>
    <row r="133" spans="1:96" s="28" customFormat="1" x14ac:dyDescent="0.25">
      <c r="A133" s="35">
        <v>45785</v>
      </c>
      <c r="B133" s="36" t="s">
        <v>621</v>
      </c>
      <c r="C133" s="37" t="s">
        <v>39</v>
      </c>
      <c r="D133" s="36">
        <v>44</v>
      </c>
      <c r="E133" s="65">
        <v>0.1736111111111111</v>
      </c>
      <c r="F133" s="65">
        <v>0.6166666666666667</v>
      </c>
      <c r="G133" s="65">
        <v>0.24305555555555555</v>
      </c>
      <c r="H133" s="65">
        <v>0.66736111111111107</v>
      </c>
      <c r="I133" s="38">
        <f t="shared" si="4"/>
        <v>5.0694444444444375E-2</v>
      </c>
      <c r="J133" s="65">
        <v>0.42430555555555555</v>
      </c>
      <c r="K133" s="37" t="s">
        <v>50</v>
      </c>
      <c r="L133" s="37" t="s">
        <v>726</v>
      </c>
      <c r="M133" s="37">
        <v>11</v>
      </c>
      <c r="N133" s="37">
        <v>0</v>
      </c>
      <c r="O133" s="37">
        <v>0</v>
      </c>
      <c r="P133" s="37">
        <v>0</v>
      </c>
      <c r="Q133" s="37">
        <v>0</v>
      </c>
      <c r="R133" s="65">
        <v>0.61805555555555558</v>
      </c>
      <c r="S133" s="65">
        <v>0.66249999999999998</v>
      </c>
      <c r="T133" s="65">
        <v>0.62152777777777779</v>
      </c>
      <c r="U133" s="65">
        <v>0.66249999999999998</v>
      </c>
      <c r="V133" s="65">
        <v>0.62152777777777779</v>
      </c>
      <c r="W133" s="65">
        <v>0.66249999999999998</v>
      </c>
      <c r="X133" s="65">
        <v>0.64166666666666672</v>
      </c>
      <c r="Y133" s="65">
        <v>0.66805555555555551</v>
      </c>
      <c r="Z133" s="65" t="s">
        <v>97</v>
      </c>
      <c r="AA133" s="37"/>
      <c r="AB133" s="36">
        <v>15</v>
      </c>
      <c r="AC133" s="36">
        <v>11</v>
      </c>
      <c r="AD133" s="36">
        <v>13</v>
      </c>
      <c r="AE133" s="36">
        <v>3</v>
      </c>
      <c r="AF133" s="167">
        <v>45785</v>
      </c>
    </row>
    <row r="134" spans="1:96" s="195" customFormat="1" x14ac:dyDescent="0.25">
      <c r="A134" s="190">
        <v>45786</v>
      </c>
      <c r="B134" s="191" t="s">
        <v>697</v>
      </c>
      <c r="C134" s="192" t="s">
        <v>48</v>
      </c>
      <c r="D134" s="191">
        <v>44</v>
      </c>
      <c r="E134" s="193">
        <v>0.1736111111111111</v>
      </c>
      <c r="F134" s="193">
        <v>0.66041666666666665</v>
      </c>
      <c r="G134" s="193"/>
      <c r="H134" s="196"/>
      <c r="I134" s="63">
        <f t="shared" si="4"/>
        <v>-0.66041666666666665</v>
      </c>
      <c r="J134" s="192"/>
      <c r="K134" s="192" t="s">
        <v>699</v>
      </c>
      <c r="L134" s="192" t="s">
        <v>726</v>
      </c>
      <c r="M134" s="192">
        <v>11</v>
      </c>
      <c r="N134" s="192">
        <v>0</v>
      </c>
      <c r="O134" s="192">
        <v>0</v>
      </c>
      <c r="P134" s="192">
        <v>0</v>
      </c>
      <c r="Q134" s="192">
        <v>0</v>
      </c>
      <c r="R134" s="193">
        <v>0.66249999999999998</v>
      </c>
      <c r="S134" s="193">
        <v>0.68680555555555556</v>
      </c>
      <c r="T134" s="193">
        <v>0.6645833333333333</v>
      </c>
      <c r="U134" s="193">
        <v>0.68680555555555556</v>
      </c>
      <c r="V134" s="192"/>
      <c r="W134" s="192"/>
      <c r="X134" s="192"/>
      <c r="Y134" s="192"/>
      <c r="Z134" s="192" t="s">
        <v>40</v>
      </c>
      <c r="AA134" s="192"/>
      <c r="AB134" s="192">
        <v>15</v>
      </c>
      <c r="AC134" s="192">
        <v>17</v>
      </c>
      <c r="AD134" s="192">
        <v>0</v>
      </c>
      <c r="AE134" s="192">
        <v>0</v>
      </c>
      <c r="AF134" s="194">
        <v>45786</v>
      </c>
    </row>
    <row r="135" spans="1:96" s="195" customFormat="1" x14ac:dyDescent="0.25">
      <c r="A135" s="190">
        <v>45787</v>
      </c>
      <c r="B135" s="191" t="s">
        <v>727</v>
      </c>
      <c r="C135" s="192" t="s">
        <v>48</v>
      </c>
      <c r="D135" s="191">
        <v>43</v>
      </c>
      <c r="E135" s="193"/>
      <c r="F135" s="193"/>
      <c r="G135" s="193">
        <v>0.41666666666666669</v>
      </c>
      <c r="H135" s="193">
        <v>0.4236111111111111</v>
      </c>
      <c r="I135" s="63"/>
      <c r="J135" s="196">
        <v>1.0534722222222221</v>
      </c>
      <c r="K135" s="192" t="s">
        <v>728</v>
      </c>
      <c r="L135" s="192" t="s">
        <v>729</v>
      </c>
      <c r="M135" s="192">
        <v>11</v>
      </c>
      <c r="N135" s="192">
        <v>0</v>
      </c>
      <c r="O135" s="192">
        <v>0</v>
      </c>
      <c r="P135" s="192">
        <v>0</v>
      </c>
      <c r="Q135" s="192">
        <v>0</v>
      </c>
      <c r="R135" s="193">
        <v>0.10972222222222222</v>
      </c>
      <c r="S135" s="193">
        <v>0.16666666666666666</v>
      </c>
      <c r="T135" s="192"/>
      <c r="U135" s="192"/>
      <c r="V135" s="193">
        <v>0.10972222222222222</v>
      </c>
      <c r="W135" s="193">
        <v>0.16111111111111112</v>
      </c>
      <c r="X135" s="192"/>
      <c r="Y135" s="193">
        <v>0.40277777777777779</v>
      </c>
      <c r="Z135" s="192" t="s">
        <v>86</v>
      </c>
      <c r="AA135" s="192"/>
      <c r="AB135" s="192">
        <v>0</v>
      </c>
      <c r="AC135" s="192">
        <v>0</v>
      </c>
      <c r="AD135" s="192">
        <v>21</v>
      </c>
      <c r="AE135" s="192">
        <v>8</v>
      </c>
      <c r="AF135" s="194">
        <v>45787</v>
      </c>
    </row>
    <row r="136" spans="1:96" s="28" customFormat="1" x14ac:dyDescent="0.25">
      <c r="A136" s="35">
        <v>45787</v>
      </c>
      <c r="B136" s="36" t="s">
        <v>621</v>
      </c>
      <c r="C136" s="37" t="s">
        <v>38</v>
      </c>
      <c r="D136" s="37">
        <v>42</v>
      </c>
      <c r="E136" s="65">
        <v>0.21527777777777779</v>
      </c>
      <c r="F136" s="65">
        <v>0.18541666666666667</v>
      </c>
      <c r="G136" s="65">
        <v>0.27777777777777779</v>
      </c>
      <c r="H136" s="65">
        <v>0.25138888888888888</v>
      </c>
      <c r="I136" s="38">
        <f t="shared" si="4"/>
        <v>6.597222222222221E-2</v>
      </c>
      <c r="J136" s="37"/>
      <c r="K136" s="37"/>
      <c r="L136" s="37" t="s">
        <v>33</v>
      </c>
      <c r="M136" s="37">
        <v>11</v>
      </c>
      <c r="N136" s="37">
        <v>0</v>
      </c>
      <c r="O136" s="37">
        <v>0</v>
      </c>
      <c r="P136" s="37">
        <v>0</v>
      </c>
      <c r="Q136" s="37">
        <v>0</v>
      </c>
      <c r="R136" s="65">
        <v>0.1875</v>
      </c>
      <c r="S136" s="65">
        <v>0.23958333333333334</v>
      </c>
      <c r="T136" s="65">
        <v>0.19097222222222221</v>
      </c>
      <c r="U136" s="65">
        <v>0.21527777777777779</v>
      </c>
      <c r="V136" s="65">
        <v>0.2013888888888889</v>
      </c>
      <c r="W136" s="65">
        <v>0.19791666666666666</v>
      </c>
      <c r="X136" s="65">
        <v>0.24166666666666667</v>
      </c>
      <c r="Y136" s="65">
        <v>0.25</v>
      </c>
      <c r="Z136" s="37" t="s">
        <v>86</v>
      </c>
      <c r="AA136" s="37"/>
      <c r="AB136" s="37">
        <v>10</v>
      </c>
      <c r="AC136" s="37">
        <v>11</v>
      </c>
      <c r="AD136" s="37">
        <v>14</v>
      </c>
      <c r="AE136" s="37">
        <v>0</v>
      </c>
      <c r="AF136" s="167">
        <v>45787</v>
      </c>
    </row>
    <row r="137" spans="1:96" s="28" customFormat="1" x14ac:dyDescent="0.25">
      <c r="A137" s="35">
        <v>45788</v>
      </c>
      <c r="B137" s="36"/>
      <c r="C137" s="37"/>
      <c r="D137" s="37"/>
      <c r="E137" s="37"/>
      <c r="F137" s="37"/>
      <c r="G137" s="37"/>
      <c r="H137" s="37"/>
      <c r="I137" s="38">
        <f t="shared" si="4"/>
        <v>0</v>
      </c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</row>
    <row r="138" spans="1:96" s="28" customFormat="1" x14ac:dyDescent="0.25">
      <c r="A138" s="35">
        <v>45789</v>
      </c>
      <c r="B138" s="36" t="s">
        <v>621</v>
      </c>
      <c r="C138" s="37" t="s">
        <v>46</v>
      </c>
      <c r="D138" s="37">
        <v>44</v>
      </c>
      <c r="E138" s="65">
        <v>0.13194444444444445</v>
      </c>
      <c r="F138" s="65">
        <v>0.14166666666666666</v>
      </c>
      <c r="G138" s="65">
        <v>0.1875</v>
      </c>
      <c r="H138" s="65">
        <v>0.19097222222222221</v>
      </c>
      <c r="I138" s="38">
        <f t="shared" si="4"/>
        <v>4.9305555555555547E-2</v>
      </c>
      <c r="J138" s="37">
        <v>0</v>
      </c>
      <c r="K138" s="37">
        <v>0</v>
      </c>
      <c r="L138" s="37" t="s">
        <v>33</v>
      </c>
      <c r="M138" s="37">
        <v>11</v>
      </c>
      <c r="N138" s="37">
        <v>0</v>
      </c>
      <c r="O138" s="37">
        <v>0</v>
      </c>
      <c r="P138" s="37">
        <v>0</v>
      </c>
      <c r="Q138" s="37">
        <v>0</v>
      </c>
      <c r="R138" s="65">
        <v>0.1423611111111111</v>
      </c>
      <c r="S138" s="65">
        <v>0.1875</v>
      </c>
      <c r="T138" s="65">
        <v>0.1451388888888889</v>
      </c>
      <c r="U138" s="65">
        <v>0.1673611111111111</v>
      </c>
      <c r="V138" s="65">
        <v>0.16944444444444445</v>
      </c>
      <c r="W138" s="65">
        <v>0.1875</v>
      </c>
      <c r="X138" s="65">
        <v>0.16666666666666666</v>
      </c>
      <c r="Y138" s="65">
        <v>0.19097222222222221</v>
      </c>
      <c r="Z138" s="37" t="s">
        <v>708</v>
      </c>
      <c r="AA138" s="37"/>
      <c r="AB138" s="37">
        <v>9</v>
      </c>
      <c r="AC138" s="37">
        <v>19</v>
      </c>
      <c r="AD138" s="37">
        <v>21</v>
      </c>
      <c r="AE138" s="37">
        <v>3</v>
      </c>
      <c r="AF138" s="167">
        <v>45789</v>
      </c>
    </row>
    <row r="139" spans="1:96" s="28" customFormat="1" x14ac:dyDescent="0.25">
      <c r="A139" s="35">
        <v>45790</v>
      </c>
      <c r="B139" s="36" t="s">
        <v>621</v>
      </c>
      <c r="C139" s="37" t="s">
        <v>39</v>
      </c>
      <c r="D139" s="37">
        <v>44</v>
      </c>
      <c r="E139" s="65">
        <v>0.1736111111111111</v>
      </c>
      <c r="F139" s="65">
        <v>0.17291666666666666</v>
      </c>
      <c r="G139" s="65">
        <v>0.24305555555555555</v>
      </c>
      <c r="H139" s="65">
        <v>0.2326388888888889</v>
      </c>
      <c r="I139" s="38">
        <f t="shared" si="4"/>
        <v>5.9722222222222232E-2</v>
      </c>
      <c r="J139" s="37">
        <v>0</v>
      </c>
      <c r="K139" s="37">
        <v>0</v>
      </c>
      <c r="L139" s="37" t="s">
        <v>33</v>
      </c>
      <c r="M139" s="37">
        <v>11</v>
      </c>
      <c r="N139" s="37">
        <v>0</v>
      </c>
      <c r="O139" s="37">
        <v>0</v>
      </c>
      <c r="P139" s="37">
        <v>0</v>
      </c>
      <c r="Q139" s="37">
        <v>0</v>
      </c>
      <c r="R139" s="65">
        <v>0.1736111111111111</v>
      </c>
      <c r="S139" s="65">
        <v>0.23819444444444443</v>
      </c>
      <c r="T139" s="65">
        <v>0.17708333333333334</v>
      </c>
      <c r="U139" s="65">
        <v>0.19444444444444445</v>
      </c>
      <c r="V139" s="65">
        <v>0.19444444444444445</v>
      </c>
      <c r="W139" s="65">
        <v>0.22430555555555556</v>
      </c>
      <c r="X139" s="65">
        <v>0.19930555555555557</v>
      </c>
      <c r="Y139" s="65">
        <v>0.2326388888888889</v>
      </c>
      <c r="Z139" s="37" t="s">
        <v>97</v>
      </c>
      <c r="AA139" s="37"/>
      <c r="AB139" s="37">
        <v>14</v>
      </c>
      <c r="AC139" s="37">
        <v>16</v>
      </c>
      <c r="AD139" s="37">
        <v>6</v>
      </c>
      <c r="AE139" s="37">
        <v>12</v>
      </c>
      <c r="AF139" s="167">
        <v>45790</v>
      </c>
    </row>
    <row r="140" spans="1:96" s="28" customFormat="1" x14ac:dyDescent="0.25">
      <c r="A140" s="35">
        <v>45791</v>
      </c>
      <c r="B140" s="36" t="s">
        <v>621</v>
      </c>
      <c r="C140" s="37" t="s">
        <v>46</v>
      </c>
      <c r="D140" s="37">
        <v>44</v>
      </c>
      <c r="E140" s="65">
        <v>0.1736111111111111</v>
      </c>
      <c r="F140" s="65">
        <v>0.18263888888888888</v>
      </c>
      <c r="G140" s="65">
        <v>0.24305555555555555</v>
      </c>
      <c r="H140" s="65">
        <v>0.23819444444444443</v>
      </c>
      <c r="I140" s="38">
        <f t="shared" si="4"/>
        <v>5.5555555555555552E-2</v>
      </c>
      <c r="J140" s="37">
        <v>0</v>
      </c>
      <c r="K140" s="37">
        <v>0</v>
      </c>
      <c r="L140" s="37" t="s">
        <v>33</v>
      </c>
      <c r="M140" s="37">
        <v>11</v>
      </c>
      <c r="N140" s="65">
        <v>0.19444444444444445</v>
      </c>
      <c r="O140" s="65">
        <v>0.24305555555555555</v>
      </c>
      <c r="P140" s="37">
        <v>0</v>
      </c>
      <c r="Q140" s="37">
        <v>0</v>
      </c>
      <c r="R140" s="65">
        <v>0.18402777777777779</v>
      </c>
      <c r="S140" s="65">
        <v>0.2326388888888889</v>
      </c>
      <c r="T140" s="65">
        <v>0.18541666666666667</v>
      </c>
      <c r="U140" s="65">
        <v>0.2013888888888889</v>
      </c>
      <c r="V140" s="65">
        <v>0.19375000000000001</v>
      </c>
      <c r="W140" s="65">
        <v>0.22916666666666666</v>
      </c>
      <c r="X140" s="65">
        <v>0.19236111111111112</v>
      </c>
      <c r="Y140" s="65">
        <v>0.2326388888888889</v>
      </c>
      <c r="Z140" s="37" t="s">
        <v>97</v>
      </c>
      <c r="AA140" s="37"/>
      <c r="AB140" s="37">
        <v>9</v>
      </c>
      <c r="AC140" s="37">
        <v>28</v>
      </c>
      <c r="AD140" s="37">
        <v>10</v>
      </c>
      <c r="AE140" s="37">
        <v>0</v>
      </c>
      <c r="AF140" s="167">
        <v>45791</v>
      </c>
    </row>
    <row r="141" spans="1:96" s="28" customFormat="1" x14ac:dyDescent="0.25">
      <c r="A141" s="35">
        <v>45792</v>
      </c>
      <c r="B141" s="36" t="e" cm="1">
        <f t="array" ref="B141">+´FOPHJ8</f>
        <v>#NAME?</v>
      </c>
      <c r="C141" s="37" t="s">
        <v>39</v>
      </c>
      <c r="D141" s="37">
        <v>43</v>
      </c>
      <c r="E141" s="65">
        <v>0.1736111111111111</v>
      </c>
      <c r="F141" s="65">
        <v>0.16597222222222222</v>
      </c>
      <c r="G141" s="65">
        <v>0.24305555555555555</v>
      </c>
      <c r="H141" s="65">
        <v>0.2361111111111111</v>
      </c>
      <c r="I141" s="38">
        <f t="shared" si="4"/>
        <v>7.013888888888889E-2</v>
      </c>
      <c r="J141" s="37">
        <v>0</v>
      </c>
      <c r="K141" s="37">
        <v>0</v>
      </c>
      <c r="L141" s="37" t="s">
        <v>33</v>
      </c>
      <c r="M141" s="37">
        <v>11</v>
      </c>
      <c r="N141" s="37">
        <v>0</v>
      </c>
      <c r="O141" s="37">
        <v>0</v>
      </c>
      <c r="P141" s="37">
        <v>0</v>
      </c>
      <c r="Q141" s="37">
        <v>0</v>
      </c>
      <c r="R141" s="65">
        <v>0.16875000000000001</v>
      </c>
      <c r="S141" s="65">
        <v>0.22291666666666668</v>
      </c>
      <c r="T141" s="65">
        <v>0.1701388888888889</v>
      </c>
      <c r="U141" s="65">
        <v>0.19166666666666668</v>
      </c>
      <c r="V141" s="65">
        <v>0.18194444444444444</v>
      </c>
      <c r="W141" s="65">
        <v>0.22291666666666668</v>
      </c>
      <c r="X141" s="65">
        <v>0.18194444444444444</v>
      </c>
      <c r="Y141" s="65">
        <v>0.2361111111111111</v>
      </c>
      <c r="Z141" s="37" t="s">
        <v>97</v>
      </c>
      <c r="AA141" s="37"/>
      <c r="AB141" s="37">
        <v>5</v>
      </c>
      <c r="AC141" s="37">
        <v>22</v>
      </c>
      <c r="AD141" s="37">
        <v>15</v>
      </c>
      <c r="AE141" s="37">
        <v>0</v>
      </c>
      <c r="AF141" s="167">
        <v>45792</v>
      </c>
      <c r="CR141" s="135">
        <v>0.21527777777777779</v>
      </c>
    </row>
    <row r="142" spans="1:96" s="28" customFormat="1" x14ac:dyDescent="0.25">
      <c r="A142" s="35">
        <v>45793</v>
      </c>
      <c r="B142" s="36" t="s">
        <v>621</v>
      </c>
      <c r="C142" s="37" t="s">
        <v>48</v>
      </c>
      <c r="D142" s="37">
        <v>43</v>
      </c>
      <c r="E142" s="65">
        <v>0.1736111111111111</v>
      </c>
      <c r="F142" s="65">
        <v>0.23958333333333334</v>
      </c>
      <c r="G142" s="65">
        <v>0.24305555555555555</v>
      </c>
      <c r="H142" s="65">
        <v>0.29930555555555555</v>
      </c>
      <c r="I142" s="38">
        <f t="shared" si="4"/>
        <v>5.9722222222222204E-2</v>
      </c>
      <c r="J142" s="65">
        <v>5.6250000000000001E-2</v>
      </c>
      <c r="K142" s="37" t="s">
        <v>50</v>
      </c>
      <c r="L142" s="37" t="s">
        <v>604</v>
      </c>
      <c r="M142" s="37">
        <v>11</v>
      </c>
      <c r="N142" s="37">
        <v>0</v>
      </c>
      <c r="O142" s="37">
        <v>0</v>
      </c>
      <c r="P142" s="37">
        <v>0</v>
      </c>
      <c r="Q142" s="37">
        <v>0</v>
      </c>
      <c r="R142" s="65">
        <v>0.24305555555555555</v>
      </c>
      <c r="S142" s="65">
        <v>0.29166666666666669</v>
      </c>
      <c r="T142" s="65">
        <v>0.24374999999999999</v>
      </c>
      <c r="U142" s="65">
        <v>0.26527777777777778</v>
      </c>
      <c r="V142" s="65">
        <v>0.26874999999999999</v>
      </c>
      <c r="W142" s="65">
        <v>0.29166666666666669</v>
      </c>
      <c r="X142" s="65">
        <v>0.25833333333333336</v>
      </c>
      <c r="Y142" s="65">
        <v>0.29444444444444445</v>
      </c>
      <c r="Z142" s="37" t="s">
        <v>708</v>
      </c>
      <c r="AA142" s="37"/>
      <c r="AB142" s="37">
        <v>13</v>
      </c>
      <c r="AC142" s="37">
        <v>21</v>
      </c>
      <c r="AD142" s="37">
        <v>12</v>
      </c>
      <c r="AE142" s="37">
        <v>12</v>
      </c>
      <c r="AF142" s="167">
        <v>45793</v>
      </c>
    </row>
    <row r="143" spans="1:96" s="28" customFormat="1" x14ac:dyDescent="0.25">
      <c r="A143" s="35">
        <v>45794</v>
      </c>
      <c r="B143" s="36" t="s">
        <v>621</v>
      </c>
      <c r="C143" s="37" t="s">
        <v>38</v>
      </c>
      <c r="D143" s="37">
        <v>44</v>
      </c>
      <c r="E143" s="65">
        <v>0.21527777777777779</v>
      </c>
      <c r="F143" s="65">
        <v>0.22013888888888888</v>
      </c>
      <c r="G143" s="65">
        <v>0.28472222222222221</v>
      </c>
      <c r="H143" s="65">
        <v>0.27361111111111114</v>
      </c>
      <c r="I143" s="38">
        <f t="shared" si="4"/>
        <v>5.3472222222222254E-2</v>
      </c>
      <c r="J143" s="37">
        <v>0</v>
      </c>
      <c r="K143" s="37">
        <v>0</v>
      </c>
      <c r="L143" s="37" t="s">
        <v>33</v>
      </c>
      <c r="M143" s="37">
        <v>12</v>
      </c>
      <c r="N143" s="37">
        <v>0</v>
      </c>
      <c r="O143" s="37">
        <v>0</v>
      </c>
      <c r="P143" s="37">
        <v>0</v>
      </c>
      <c r="Q143" s="37">
        <v>0</v>
      </c>
      <c r="R143" s="65">
        <v>0.22152777777777777</v>
      </c>
      <c r="S143" s="65">
        <v>0.26874999999999999</v>
      </c>
      <c r="T143" s="65">
        <v>0.22361111111111112</v>
      </c>
      <c r="U143" s="65">
        <v>0.24513888888888888</v>
      </c>
      <c r="V143" s="65">
        <v>0.24930555555555556</v>
      </c>
      <c r="W143" s="65">
        <v>0.26874999999999999</v>
      </c>
      <c r="X143" s="65">
        <v>0.23194444444444445</v>
      </c>
      <c r="Y143" s="65">
        <v>0.27152777777777776</v>
      </c>
      <c r="Z143" s="37" t="s">
        <v>40</v>
      </c>
      <c r="AA143" s="37"/>
      <c r="AB143" s="37">
        <v>12</v>
      </c>
      <c r="AC143" s="37">
        <v>12</v>
      </c>
      <c r="AD143" s="37">
        <v>10</v>
      </c>
      <c r="AE143" s="37">
        <v>22</v>
      </c>
      <c r="AF143" s="167">
        <v>45794</v>
      </c>
    </row>
    <row r="144" spans="1:96" s="28" customFormat="1" x14ac:dyDescent="0.25">
      <c r="A144" s="35">
        <v>45795</v>
      </c>
      <c r="B144" s="36"/>
      <c r="C144" s="37"/>
      <c r="D144" s="37"/>
      <c r="E144" s="37"/>
      <c r="F144" s="37"/>
      <c r="G144" s="37"/>
      <c r="H144" s="37"/>
      <c r="I144" s="38">
        <f t="shared" si="4"/>
        <v>0</v>
      </c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167"/>
    </row>
    <row r="145" spans="1:33" s="28" customFormat="1" x14ac:dyDescent="0.25">
      <c r="A145" s="35">
        <v>45796</v>
      </c>
      <c r="B145" s="36" t="s">
        <v>621</v>
      </c>
      <c r="C145" s="37" t="s">
        <v>48</v>
      </c>
      <c r="D145" s="37">
        <v>43</v>
      </c>
      <c r="E145" s="65">
        <v>0.13194444444444445</v>
      </c>
      <c r="F145" s="65">
        <v>0.14791666666666667</v>
      </c>
      <c r="G145" s="65">
        <v>0.1875</v>
      </c>
      <c r="H145" s="65">
        <v>0.2013888888888889</v>
      </c>
      <c r="I145" s="38">
        <f t="shared" si="4"/>
        <v>5.3472222222222227E-2</v>
      </c>
      <c r="J145" s="65">
        <v>1.3888888888888888E-2</v>
      </c>
      <c r="K145" s="37" t="s">
        <v>730</v>
      </c>
      <c r="L145" s="37" t="s">
        <v>731</v>
      </c>
      <c r="M145" s="37">
        <v>11</v>
      </c>
      <c r="N145" s="37">
        <v>0</v>
      </c>
      <c r="O145" s="37">
        <v>0</v>
      </c>
      <c r="P145" s="37">
        <v>0</v>
      </c>
      <c r="Q145" s="37">
        <v>0</v>
      </c>
      <c r="R145" s="65">
        <v>0.14930555555555555</v>
      </c>
      <c r="S145" s="65">
        <v>0.19444444444444445</v>
      </c>
      <c r="T145" s="65">
        <v>0.14930555555555555</v>
      </c>
      <c r="U145" s="65">
        <v>0.16527777777777777</v>
      </c>
      <c r="V145" s="65">
        <v>0.17083333333333334</v>
      </c>
      <c r="W145" s="65">
        <v>0.19444444444444445</v>
      </c>
      <c r="X145" s="65">
        <v>0.17222222222222222</v>
      </c>
      <c r="Y145" s="65">
        <v>0.2013888888888889</v>
      </c>
      <c r="Z145" s="37" t="s">
        <v>40</v>
      </c>
      <c r="AA145" s="37"/>
      <c r="AB145" s="37">
        <v>13</v>
      </c>
      <c r="AC145" s="37">
        <v>17</v>
      </c>
      <c r="AD145" s="37">
        <v>9</v>
      </c>
      <c r="AE145" s="37">
        <v>7</v>
      </c>
      <c r="AF145" s="167">
        <v>45796</v>
      </c>
    </row>
    <row r="146" spans="1:33" s="28" customFormat="1" x14ac:dyDescent="0.25">
      <c r="A146" s="35">
        <v>45797</v>
      </c>
      <c r="B146" s="36" t="s">
        <v>621</v>
      </c>
      <c r="C146" s="37" t="s">
        <v>39</v>
      </c>
      <c r="D146" s="37">
        <v>42</v>
      </c>
      <c r="E146" s="65">
        <v>0.1736111111111111</v>
      </c>
      <c r="F146" s="65">
        <v>0.17222222222222222</v>
      </c>
      <c r="G146" s="65">
        <v>0.2361111111111111</v>
      </c>
      <c r="H146" s="65">
        <v>0.2326388888888889</v>
      </c>
      <c r="I146" s="38">
        <f t="shared" si="4"/>
        <v>6.0416666666666674E-2</v>
      </c>
      <c r="J146" s="37">
        <v>0</v>
      </c>
      <c r="K146" s="37">
        <v>0</v>
      </c>
      <c r="L146" s="37" t="s">
        <v>33</v>
      </c>
      <c r="M146" s="37">
        <v>11</v>
      </c>
      <c r="N146" s="37">
        <v>0</v>
      </c>
      <c r="O146" s="37">
        <v>0</v>
      </c>
      <c r="P146" s="37">
        <v>0</v>
      </c>
      <c r="Q146" s="37">
        <v>0</v>
      </c>
      <c r="R146" s="65">
        <v>0.1763888888888889</v>
      </c>
      <c r="S146" s="65">
        <v>0.22222222222222221</v>
      </c>
      <c r="T146" s="65">
        <v>0.17916666666666667</v>
      </c>
      <c r="U146" s="65">
        <v>0.19930555555555557</v>
      </c>
      <c r="V146" s="65">
        <v>0.2</v>
      </c>
      <c r="W146" s="65">
        <v>0.22083333333333333</v>
      </c>
      <c r="X146" s="65">
        <v>0.18819444444444444</v>
      </c>
      <c r="Y146" s="65">
        <v>0.2298611111111111</v>
      </c>
      <c r="Z146" s="37" t="s">
        <v>40</v>
      </c>
      <c r="AA146" s="37"/>
      <c r="AB146" s="37">
        <v>20</v>
      </c>
      <c r="AC146" s="37">
        <v>6</v>
      </c>
      <c r="AD146" s="37">
        <v>4</v>
      </c>
      <c r="AE146" s="37">
        <v>12</v>
      </c>
      <c r="AF146" s="167">
        <v>45797</v>
      </c>
    </row>
    <row r="147" spans="1:33" s="28" customFormat="1" x14ac:dyDescent="0.25">
      <c r="A147" s="35">
        <v>45798</v>
      </c>
      <c r="B147" s="36" t="s">
        <v>621</v>
      </c>
      <c r="C147" s="37" t="s">
        <v>35</v>
      </c>
      <c r="D147" s="37">
        <v>44</v>
      </c>
      <c r="E147" s="65">
        <v>0.1736111111111111</v>
      </c>
      <c r="F147" s="65">
        <v>0.18402777777777779</v>
      </c>
      <c r="G147" s="65">
        <v>0.2361111111111111</v>
      </c>
      <c r="H147" s="65">
        <v>0.23819444444444443</v>
      </c>
      <c r="I147" s="38">
        <f t="shared" si="4"/>
        <v>5.4166666666666641E-2</v>
      </c>
      <c r="J147" s="37">
        <v>0</v>
      </c>
      <c r="K147" s="37">
        <v>0</v>
      </c>
      <c r="L147" s="37" t="s">
        <v>33</v>
      </c>
      <c r="M147" s="37">
        <v>11</v>
      </c>
      <c r="N147" s="37">
        <v>0</v>
      </c>
      <c r="O147" s="37">
        <v>0</v>
      </c>
      <c r="P147" s="37">
        <v>0</v>
      </c>
      <c r="Q147" s="37">
        <v>0</v>
      </c>
      <c r="R147" s="65">
        <v>0.18541666666666667</v>
      </c>
      <c r="S147" s="65">
        <v>0.22638888888888889</v>
      </c>
      <c r="T147" s="65">
        <v>0.1875</v>
      </c>
      <c r="U147" s="65">
        <v>0.20555555555555555</v>
      </c>
      <c r="V147" s="65">
        <v>0.20694444444444443</v>
      </c>
      <c r="W147" s="65">
        <v>0.22638888888888889</v>
      </c>
      <c r="X147" s="65">
        <v>0.19652777777777777</v>
      </c>
      <c r="Y147" s="65">
        <v>0.23541666666666666</v>
      </c>
      <c r="Z147" s="37" t="s">
        <v>708</v>
      </c>
      <c r="AA147" s="37"/>
      <c r="AB147" s="37">
        <v>17</v>
      </c>
      <c r="AC147" s="37">
        <v>14</v>
      </c>
      <c r="AD147" s="37">
        <v>12</v>
      </c>
      <c r="AE147" s="37">
        <v>9</v>
      </c>
      <c r="AF147" s="167">
        <v>45798</v>
      </c>
    </row>
    <row r="148" spans="1:33" s="28" customFormat="1" x14ac:dyDescent="0.25">
      <c r="A148" s="35">
        <v>45799</v>
      </c>
      <c r="B148" s="36" t="s">
        <v>621</v>
      </c>
      <c r="C148" s="37" t="s">
        <v>32</v>
      </c>
      <c r="D148" s="37">
        <v>46</v>
      </c>
      <c r="E148" s="65">
        <v>0.1736111111111111</v>
      </c>
      <c r="F148" s="65">
        <v>0.16319444444444445</v>
      </c>
      <c r="G148" s="65">
        <v>0.2361111111111111</v>
      </c>
      <c r="H148" s="65">
        <v>0.23472222222222222</v>
      </c>
      <c r="I148" s="38">
        <f t="shared" si="4"/>
        <v>7.1527777777777773E-2</v>
      </c>
      <c r="J148" s="37">
        <v>0</v>
      </c>
      <c r="K148" s="37">
        <v>0</v>
      </c>
      <c r="L148" s="37" t="s">
        <v>33</v>
      </c>
      <c r="M148" s="37">
        <v>11</v>
      </c>
      <c r="N148" s="37">
        <v>0</v>
      </c>
      <c r="O148" s="37">
        <v>0</v>
      </c>
      <c r="P148" s="37">
        <v>0</v>
      </c>
      <c r="Q148" s="37">
        <v>0</v>
      </c>
      <c r="R148" s="65">
        <v>0.16458333333333333</v>
      </c>
      <c r="S148" s="65">
        <v>0.21319444444444444</v>
      </c>
      <c r="T148" s="65">
        <v>0.1673611111111111</v>
      </c>
      <c r="U148" s="65">
        <v>0.18819444444444444</v>
      </c>
      <c r="V148" s="65">
        <v>0.19097222222222221</v>
      </c>
      <c r="W148" s="65">
        <v>0.21319444444444444</v>
      </c>
      <c r="X148" s="65">
        <v>0.17569444444444443</v>
      </c>
      <c r="Y148" s="65">
        <v>0.22569444444444445</v>
      </c>
      <c r="Z148" s="37" t="s">
        <v>708</v>
      </c>
      <c r="AA148" s="37"/>
      <c r="AB148" s="37">
        <v>16</v>
      </c>
      <c r="AC148" s="37">
        <v>21</v>
      </c>
      <c r="AD148" s="37">
        <v>14</v>
      </c>
      <c r="AE148" s="37">
        <v>9</v>
      </c>
      <c r="AF148" s="167">
        <v>45799</v>
      </c>
    </row>
    <row r="149" spans="1:33" s="28" customFormat="1" x14ac:dyDescent="0.25">
      <c r="A149" s="35">
        <v>45800</v>
      </c>
      <c r="B149" s="36" t="s">
        <v>621</v>
      </c>
      <c r="C149" s="37" t="s">
        <v>35</v>
      </c>
      <c r="D149" s="37">
        <v>45</v>
      </c>
      <c r="E149" s="65">
        <v>0.1736111111111111</v>
      </c>
      <c r="F149" s="65">
        <v>0.17777777777777778</v>
      </c>
      <c r="G149" s="65">
        <v>0.2361111111111111</v>
      </c>
      <c r="H149" s="65">
        <v>0.23680555555555555</v>
      </c>
      <c r="I149" s="38">
        <f t="shared" si="4"/>
        <v>5.9027777777777762E-2</v>
      </c>
      <c r="J149" s="37">
        <v>0</v>
      </c>
      <c r="K149" s="37">
        <v>0</v>
      </c>
      <c r="L149" s="37" t="s">
        <v>33</v>
      </c>
      <c r="M149" s="37">
        <v>12</v>
      </c>
      <c r="N149" s="37">
        <v>0</v>
      </c>
      <c r="O149" s="37">
        <v>0</v>
      </c>
      <c r="P149" s="37">
        <v>0</v>
      </c>
      <c r="Q149" s="37">
        <v>0</v>
      </c>
      <c r="R149" s="65">
        <v>0.18055555555555555</v>
      </c>
      <c r="S149" s="65">
        <v>0.23055555555555557</v>
      </c>
      <c r="T149" s="65">
        <v>0.18055555555555555</v>
      </c>
      <c r="U149" s="65">
        <v>0.20902777777777778</v>
      </c>
      <c r="V149" s="65">
        <v>0.21180555555555555</v>
      </c>
      <c r="W149" s="65">
        <v>0.23055555555555557</v>
      </c>
      <c r="X149" s="65">
        <v>0.1875</v>
      </c>
      <c r="Y149" s="65">
        <v>0.23541666666666666</v>
      </c>
      <c r="Z149" s="37" t="s">
        <v>708</v>
      </c>
      <c r="AA149" s="37"/>
      <c r="AB149" s="37">
        <v>21</v>
      </c>
      <c r="AC149" s="37">
        <v>11</v>
      </c>
      <c r="AD149" s="37">
        <v>10</v>
      </c>
      <c r="AE149" s="37">
        <v>7</v>
      </c>
      <c r="AF149" s="167">
        <v>45800</v>
      </c>
      <c r="AG149" s="28" t="s">
        <v>119</v>
      </c>
    </row>
    <row r="150" spans="1:33" s="28" customFormat="1" x14ac:dyDescent="0.25">
      <c r="A150" s="35">
        <v>45801</v>
      </c>
      <c r="B150" s="36" t="s">
        <v>621</v>
      </c>
      <c r="C150" s="37" t="s">
        <v>39</v>
      </c>
      <c r="D150" s="37">
        <v>44</v>
      </c>
      <c r="E150" s="65">
        <v>0.21527777777777779</v>
      </c>
      <c r="F150" s="65">
        <v>0.2076388888888889</v>
      </c>
      <c r="G150" s="65">
        <v>0.27777777777777779</v>
      </c>
      <c r="H150" s="65">
        <v>0.26319444444444445</v>
      </c>
      <c r="I150" s="38">
        <f t="shared" si="4"/>
        <v>5.5555555555555552E-2</v>
      </c>
      <c r="J150" s="37">
        <v>0</v>
      </c>
      <c r="K150" s="37">
        <v>0</v>
      </c>
      <c r="L150" s="37" t="s">
        <v>33</v>
      </c>
      <c r="M150" s="37">
        <v>12</v>
      </c>
      <c r="N150" s="37">
        <v>0</v>
      </c>
      <c r="O150" s="37">
        <v>0</v>
      </c>
      <c r="P150" s="37">
        <v>0</v>
      </c>
      <c r="Q150" s="37">
        <v>0</v>
      </c>
      <c r="R150" s="65">
        <v>0.20902777777777778</v>
      </c>
      <c r="S150" s="65">
        <v>0.25624999999999998</v>
      </c>
      <c r="T150" s="65">
        <v>0.21319444444444444</v>
      </c>
      <c r="U150" s="65">
        <v>0.23402777777777778</v>
      </c>
      <c r="V150" s="65">
        <v>0.23472222222222222</v>
      </c>
      <c r="W150" s="65">
        <v>0.25347222222222221</v>
      </c>
      <c r="X150" s="65">
        <v>0.21805555555555556</v>
      </c>
      <c r="Y150" s="65">
        <v>0.25624999999999998</v>
      </c>
      <c r="Z150" s="37" t="s">
        <v>97</v>
      </c>
      <c r="AA150" s="37"/>
      <c r="AB150" s="37">
        <v>0</v>
      </c>
      <c r="AC150" s="37">
        <v>26</v>
      </c>
      <c r="AD150" s="37">
        <v>8</v>
      </c>
      <c r="AE150" s="37">
        <v>0</v>
      </c>
      <c r="AF150" s="167">
        <v>45801</v>
      </c>
    </row>
    <row r="151" spans="1:33" s="28" customFormat="1" x14ac:dyDescent="0.25">
      <c r="A151" s="35">
        <v>45802</v>
      </c>
      <c r="B151" s="36"/>
      <c r="C151" s="37"/>
      <c r="D151" s="37"/>
      <c r="E151" s="37"/>
      <c r="F151" s="37"/>
      <c r="G151" s="37"/>
      <c r="H151" s="37"/>
      <c r="I151" s="38">
        <f t="shared" si="4"/>
        <v>0</v>
      </c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</row>
    <row r="152" spans="1:33" s="28" customFormat="1" x14ac:dyDescent="0.25">
      <c r="A152" s="35">
        <v>45803</v>
      </c>
      <c r="B152" s="36" t="s">
        <v>621</v>
      </c>
      <c r="C152" s="37" t="s">
        <v>32</v>
      </c>
      <c r="D152" s="37">
        <v>43</v>
      </c>
      <c r="E152" s="65">
        <v>0.125</v>
      </c>
      <c r="F152" s="65">
        <v>0.12430555555555556</v>
      </c>
      <c r="G152" s="65">
        <v>0.24305555555555555</v>
      </c>
      <c r="H152" s="65">
        <v>0.18680555555555556</v>
      </c>
      <c r="I152" s="38"/>
      <c r="J152" s="37">
        <v>0</v>
      </c>
      <c r="K152" s="37">
        <v>0</v>
      </c>
      <c r="L152" s="37" t="s">
        <v>33</v>
      </c>
      <c r="M152" s="37">
        <v>12</v>
      </c>
      <c r="N152" s="37">
        <v>0</v>
      </c>
      <c r="O152" s="37">
        <v>0</v>
      </c>
      <c r="P152" s="37">
        <v>0</v>
      </c>
      <c r="Q152" s="37">
        <v>0</v>
      </c>
      <c r="R152" s="65">
        <v>0.13194444444444445</v>
      </c>
      <c r="S152" s="65">
        <v>0.17708333333333334</v>
      </c>
      <c r="T152" s="65">
        <v>0.13402777777777777</v>
      </c>
      <c r="U152" s="65">
        <v>0.15555555555555556</v>
      </c>
      <c r="V152" s="65">
        <v>0.15347222222222223</v>
      </c>
      <c r="W152" s="65">
        <v>0.17222222222222222</v>
      </c>
      <c r="X152" s="65">
        <v>0.14305555555555555</v>
      </c>
      <c r="Y152" s="65">
        <v>0.18263888888888888</v>
      </c>
      <c r="Z152" s="37" t="s">
        <v>97</v>
      </c>
      <c r="AA152" s="37"/>
      <c r="AB152" s="37">
        <v>16</v>
      </c>
      <c r="AC152" s="37">
        <v>16</v>
      </c>
      <c r="AD152" s="37">
        <v>0</v>
      </c>
      <c r="AE152" s="37">
        <v>4</v>
      </c>
      <c r="AF152" s="167">
        <v>45803</v>
      </c>
    </row>
    <row r="153" spans="1:33" s="28" customFormat="1" x14ac:dyDescent="0.25">
      <c r="A153" s="35">
        <v>45804</v>
      </c>
      <c r="B153" s="36" t="s">
        <v>621</v>
      </c>
      <c r="C153" s="37" t="s">
        <v>39</v>
      </c>
      <c r="D153" s="37">
        <v>44</v>
      </c>
      <c r="E153" s="65">
        <v>0.1736111111111111</v>
      </c>
      <c r="F153" s="65">
        <v>0.23819444444444443</v>
      </c>
      <c r="G153" s="65">
        <v>0.2361111111111111</v>
      </c>
      <c r="H153" s="65">
        <v>0.29375000000000001</v>
      </c>
      <c r="I153" s="38">
        <f t="shared" si="4"/>
        <v>5.555555555555558E-2</v>
      </c>
      <c r="J153" s="65">
        <v>5.0694444444444445E-2</v>
      </c>
      <c r="K153" s="37" t="s">
        <v>711</v>
      </c>
      <c r="L153" s="37" t="s">
        <v>604</v>
      </c>
      <c r="M153" s="37">
        <v>11</v>
      </c>
      <c r="N153" s="37">
        <v>0</v>
      </c>
      <c r="O153" s="37">
        <v>0</v>
      </c>
      <c r="P153" s="37">
        <v>0</v>
      </c>
      <c r="Q153" s="37">
        <v>0</v>
      </c>
      <c r="R153" s="65">
        <v>0.23958333333333334</v>
      </c>
      <c r="S153" s="65">
        <v>0.28888888888888886</v>
      </c>
      <c r="T153" s="65">
        <v>0.24166666666666667</v>
      </c>
      <c r="U153" s="65">
        <v>0.26597222222222222</v>
      </c>
      <c r="V153" s="65">
        <v>0.26944444444444443</v>
      </c>
      <c r="W153" s="65">
        <v>0.29375000000000001</v>
      </c>
      <c r="X153" s="65">
        <v>0.25972222222222224</v>
      </c>
      <c r="Y153" s="65">
        <v>0.29305555555555557</v>
      </c>
      <c r="Z153" s="37" t="s">
        <v>708</v>
      </c>
      <c r="AA153" s="37"/>
      <c r="AB153" s="37">
        <v>5</v>
      </c>
      <c r="AC153" s="37">
        <v>8</v>
      </c>
      <c r="AD153" s="37">
        <v>12</v>
      </c>
      <c r="AE153" s="37">
        <v>20</v>
      </c>
      <c r="AF153" s="167">
        <v>45804</v>
      </c>
    </row>
    <row r="154" spans="1:33" s="28" customFormat="1" x14ac:dyDescent="0.25">
      <c r="A154" s="35">
        <v>45805</v>
      </c>
      <c r="B154" s="36" t="s">
        <v>621</v>
      </c>
      <c r="C154" s="37" t="s">
        <v>35</v>
      </c>
      <c r="D154" s="37">
        <v>43</v>
      </c>
      <c r="E154" s="65">
        <v>0.1736111111111111</v>
      </c>
      <c r="F154" s="65">
        <v>0.19513888888888889</v>
      </c>
      <c r="G154" s="65">
        <v>0.24305555555555555</v>
      </c>
      <c r="H154" s="65">
        <v>0.25555555555555554</v>
      </c>
      <c r="I154" s="38">
        <f t="shared" si="4"/>
        <v>6.0416666666666646E-2</v>
      </c>
      <c r="J154" s="65">
        <v>1.2500000000000001E-2</v>
      </c>
      <c r="K154" s="37" t="s">
        <v>50</v>
      </c>
      <c r="L154" s="37" t="s">
        <v>604</v>
      </c>
      <c r="M154" s="37">
        <v>12</v>
      </c>
      <c r="N154" s="37">
        <v>0</v>
      </c>
      <c r="O154" s="37">
        <v>0</v>
      </c>
      <c r="P154" s="37">
        <v>0</v>
      </c>
      <c r="Q154" s="37">
        <v>0</v>
      </c>
      <c r="R154" s="65">
        <v>0.19305555555555556</v>
      </c>
      <c r="S154" s="65">
        <v>0.24513888888888888</v>
      </c>
      <c r="T154" s="65">
        <v>0.19583333333333333</v>
      </c>
      <c r="U154" s="65">
        <v>0.21875</v>
      </c>
      <c r="V154" s="65">
        <v>0.21527777777777779</v>
      </c>
      <c r="W154" s="65">
        <v>0.24513888888888888</v>
      </c>
      <c r="X154" s="65">
        <v>0.20902777777777778</v>
      </c>
      <c r="Y154" s="65">
        <v>0.25555555555555554</v>
      </c>
      <c r="Z154" s="37" t="s">
        <v>97</v>
      </c>
      <c r="AA154" s="37"/>
      <c r="AB154" s="37">
        <v>0</v>
      </c>
      <c r="AC154" s="37">
        <v>21</v>
      </c>
      <c r="AD154" s="37">
        <v>9</v>
      </c>
      <c r="AE154" s="37">
        <v>4</v>
      </c>
      <c r="AF154" s="167">
        <v>45805</v>
      </c>
    </row>
    <row r="155" spans="1:33" s="28" customFormat="1" x14ac:dyDescent="0.25">
      <c r="A155" s="35">
        <v>45806</v>
      </c>
      <c r="B155" s="36" t="s">
        <v>621</v>
      </c>
      <c r="C155" s="37" t="s">
        <v>32</v>
      </c>
      <c r="D155" s="37">
        <v>44</v>
      </c>
      <c r="E155" s="65">
        <v>0.1736111111111111</v>
      </c>
      <c r="F155" s="65">
        <v>0.18333333333333332</v>
      </c>
      <c r="G155" s="65">
        <v>0.24305555555555555</v>
      </c>
      <c r="H155" s="65">
        <v>0.2388888888888889</v>
      </c>
      <c r="I155" s="38">
        <f t="shared" si="4"/>
        <v>5.555555555555558E-2</v>
      </c>
      <c r="J155" s="37">
        <v>0</v>
      </c>
      <c r="K155" s="37">
        <v>0</v>
      </c>
      <c r="L155" s="37" t="s">
        <v>242</v>
      </c>
      <c r="M155" s="37">
        <v>12</v>
      </c>
      <c r="N155" s="37">
        <v>0</v>
      </c>
      <c r="O155" s="37">
        <v>0</v>
      </c>
      <c r="P155" s="37">
        <v>0</v>
      </c>
      <c r="Q155" s="37">
        <v>0</v>
      </c>
      <c r="R155" s="65">
        <v>0.18611111111111112</v>
      </c>
      <c r="S155" s="65">
        <v>0.23402777777777778</v>
      </c>
      <c r="T155" s="65">
        <v>0.1875</v>
      </c>
      <c r="U155" s="65">
        <v>0.20833333333333334</v>
      </c>
      <c r="V155" s="65">
        <v>0.1875</v>
      </c>
      <c r="W155" s="65">
        <v>0.23125000000000001</v>
      </c>
      <c r="X155" s="65">
        <v>0.20347222222222222</v>
      </c>
      <c r="Y155" s="65">
        <v>0.23402777777777778</v>
      </c>
      <c r="Z155" s="37" t="s">
        <v>97</v>
      </c>
      <c r="AA155" s="37"/>
      <c r="AB155" s="37">
        <v>5</v>
      </c>
      <c r="AC155" s="37">
        <v>25</v>
      </c>
      <c r="AD155" s="37">
        <v>10</v>
      </c>
      <c r="AE155" s="37"/>
      <c r="AF155" s="167">
        <v>45806</v>
      </c>
    </row>
    <row r="156" spans="1:33" s="28" customFormat="1" x14ac:dyDescent="0.25">
      <c r="A156" s="35">
        <v>45807</v>
      </c>
      <c r="B156" s="36" t="s">
        <v>621</v>
      </c>
      <c r="C156" s="37" t="s">
        <v>48</v>
      </c>
      <c r="D156" s="37">
        <v>44</v>
      </c>
      <c r="E156" s="65">
        <v>0.1736111111111111</v>
      </c>
      <c r="F156" s="65">
        <v>0.16527777777777777</v>
      </c>
      <c r="G156" s="65">
        <v>0.24305555555555555</v>
      </c>
      <c r="H156" s="65">
        <v>0.22083333333333333</v>
      </c>
      <c r="I156" s="38">
        <f t="shared" si="4"/>
        <v>5.5555555555555552E-2</v>
      </c>
      <c r="J156" s="37">
        <v>0</v>
      </c>
      <c r="K156" s="37">
        <v>0</v>
      </c>
      <c r="L156" s="37" t="s">
        <v>33</v>
      </c>
      <c r="M156" s="37">
        <v>11</v>
      </c>
      <c r="N156" s="37">
        <v>0</v>
      </c>
      <c r="O156" s="37">
        <v>0</v>
      </c>
      <c r="P156" s="37">
        <v>0</v>
      </c>
      <c r="Q156" s="37">
        <v>0</v>
      </c>
      <c r="R156" s="65">
        <v>0.1673611111111111</v>
      </c>
      <c r="S156" s="65">
        <v>0.21736111111111112</v>
      </c>
      <c r="T156" s="65">
        <v>0.16944444444444445</v>
      </c>
      <c r="U156" s="65">
        <v>0.19305555555555556</v>
      </c>
      <c r="V156" s="65">
        <v>0.19652777777777777</v>
      </c>
      <c r="W156" s="65">
        <v>0.21736111111111112</v>
      </c>
      <c r="X156" s="65">
        <v>0.18055555555555555</v>
      </c>
      <c r="Y156" s="65">
        <v>0.21875</v>
      </c>
      <c r="Z156" s="37" t="s">
        <v>40</v>
      </c>
      <c r="AA156" s="37"/>
      <c r="AB156" s="37">
        <v>16</v>
      </c>
      <c r="AC156" s="37">
        <v>15</v>
      </c>
      <c r="AD156" s="37">
        <v>7</v>
      </c>
      <c r="AE156" s="37">
        <v>16</v>
      </c>
      <c r="AF156" s="167">
        <v>45807</v>
      </c>
    </row>
    <row r="157" spans="1:33" s="28" customFormat="1" x14ac:dyDescent="0.25">
      <c r="A157" s="35">
        <v>45808</v>
      </c>
      <c r="B157" s="36" t="s">
        <v>621</v>
      </c>
      <c r="C157" s="37" t="s">
        <v>35</v>
      </c>
      <c r="D157" s="37">
        <v>44</v>
      </c>
      <c r="E157" s="65">
        <v>0.21527777777777779</v>
      </c>
      <c r="F157" s="65">
        <v>0.21458333333333332</v>
      </c>
      <c r="G157" s="65">
        <v>0.27777777777777779</v>
      </c>
      <c r="H157" s="65">
        <v>0.27500000000000002</v>
      </c>
      <c r="I157" s="38">
        <f t="shared" si="4"/>
        <v>6.0416666666666702E-2</v>
      </c>
      <c r="J157" s="37">
        <v>0</v>
      </c>
      <c r="K157" s="37">
        <v>0</v>
      </c>
      <c r="L157" s="37" t="s">
        <v>33</v>
      </c>
      <c r="M157" s="37">
        <v>12</v>
      </c>
      <c r="N157" s="65">
        <v>0.21527777777777779</v>
      </c>
      <c r="O157" s="65">
        <v>0.27777777777777779</v>
      </c>
      <c r="P157" s="65">
        <v>0.27083333333333331</v>
      </c>
      <c r="Q157" s="65">
        <v>0.27777777777777779</v>
      </c>
      <c r="R157" s="65">
        <v>0.21458333333333332</v>
      </c>
      <c r="S157" s="65">
        <v>0.2673611111111111</v>
      </c>
      <c r="T157" s="65">
        <v>0.21666666666666667</v>
      </c>
      <c r="U157" s="65">
        <v>0.23958333333333334</v>
      </c>
      <c r="V157" s="65">
        <v>0.24236111111111111</v>
      </c>
      <c r="W157" s="65">
        <v>0.2673611111111111</v>
      </c>
      <c r="X157" s="65">
        <v>0.23194444444444445</v>
      </c>
      <c r="Y157" s="65">
        <v>0.27361111111111114</v>
      </c>
      <c r="Z157" s="37" t="s">
        <v>40</v>
      </c>
      <c r="AA157" s="37"/>
      <c r="AB157" s="37">
        <v>22</v>
      </c>
      <c r="AC157" s="37">
        <v>17</v>
      </c>
      <c r="AD157" s="37">
        <v>10</v>
      </c>
      <c r="AE157" s="37">
        <v>9</v>
      </c>
      <c r="AF157" s="167">
        <v>45808</v>
      </c>
    </row>
    <row r="158" spans="1:33" s="28" customFormat="1" x14ac:dyDescent="0.25">
      <c r="A158" s="35">
        <v>45809</v>
      </c>
      <c r="B158" s="36"/>
      <c r="C158" s="37"/>
      <c r="D158" s="37"/>
      <c r="E158" s="65"/>
      <c r="F158" s="65"/>
      <c r="G158" s="65"/>
      <c r="H158" s="65"/>
      <c r="I158" s="38">
        <f t="shared" si="4"/>
        <v>0</v>
      </c>
      <c r="J158" s="65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167">
        <v>45809</v>
      </c>
    </row>
    <row r="159" spans="1:33" s="28" customFormat="1" x14ac:dyDescent="0.25">
      <c r="A159" s="35">
        <v>45810</v>
      </c>
      <c r="B159" s="36" t="s">
        <v>621</v>
      </c>
      <c r="C159" s="37" t="s">
        <v>48</v>
      </c>
      <c r="D159" s="37">
        <v>44</v>
      </c>
      <c r="E159" s="65">
        <v>0.13194444444444445</v>
      </c>
      <c r="F159" s="65">
        <v>0.14583333333333334</v>
      </c>
      <c r="G159" s="65">
        <v>0.1875</v>
      </c>
      <c r="H159" s="65">
        <v>0.19375000000000001</v>
      </c>
      <c r="I159" s="38">
        <f t="shared" si="4"/>
        <v>4.7916666666666663E-2</v>
      </c>
      <c r="J159" s="65">
        <v>6.2500000000000003E-3</v>
      </c>
      <c r="K159" s="37" t="s">
        <v>730</v>
      </c>
      <c r="L159" s="37" t="s">
        <v>604</v>
      </c>
      <c r="M159" s="37">
        <v>11</v>
      </c>
      <c r="N159" s="37">
        <v>0</v>
      </c>
      <c r="O159" s="37">
        <v>0</v>
      </c>
      <c r="P159" s="37">
        <v>0</v>
      </c>
      <c r="Q159" s="37">
        <v>0</v>
      </c>
      <c r="R159" s="65">
        <v>0.14791666666666667</v>
      </c>
      <c r="S159" s="65">
        <v>0.18819444444444444</v>
      </c>
      <c r="T159" s="65">
        <v>0.15</v>
      </c>
      <c r="U159" s="65">
        <v>0.17499999999999999</v>
      </c>
      <c r="V159" s="65">
        <v>0.17569444444444443</v>
      </c>
      <c r="W159" s="65">
        <v>0.18819444444444444</v>
      </c>
      <c r="X159" s="65">
        <v>0.15555555555555556</v>
      </c>
      <c r="Y159" s="65">
        <v>0.19375000000000001</v>
      </c>
      <c r="Z159" s="37" t="s">
        <v>708</v>
      </c>
      <c r="AA159" s="37"/>
      <c r="AB159" s="37">
        <v>21</v>
      </c>
      <c r="AC159" s="37">
        <v>12</v>
      </c>
      <c r="AD159" s="37">
        <v>4</v>
      </c>
      <c r="AE159" s="37">
        <v>7</v>
      </c>
      <c r="AF159" s="167">
        <v>45810</v>
      </c>
    </row>
    <row r="160" spans="1:33" s="28" customFormat="1" x14ac:dyDescent="0.25">
      <c r="A160" s="35">
        <v>45811</v>
      </c>
      <c r="B160" s="36" t="s">
        <v>621</v>
      </c>
      <c r="C160" s="37" t="s">
        <v>32</v>
      </c>
      <c r="D160" s="37">
        <v>43</v>
      </c>
      <c r="E160" s="65">
        <v>0.1736111111111111</v>
      </c>
      <c r="F160" s="65">
        <v>0.27916666666666667</v>
      </c>
      <c r="G160" s="65">
        <v>0.24305555555555555</v>
      </c>
      <c r="H160" s="65">
        <v>0.34236111111111112</v>
      </c>
      <c r="I160" s="38">
        <f t="shared" si="4"/>
        <v>6.3194444444444442E-2</v>
      </c>
      <c r="J160" s="65">
        <v>9.930555555555555E-2</v>
      </c>
      <c r="K160" s="37" t="s">
        <v>732</v>
      </c>
      <c r="L160" s="37" t="s">
        <v>733</v>
      </c>
      <c r="M160" s="37">
        <v>11</v>
      </c>
      <c r="N160" s="37">
        <v>0</v>
      </c>
      <c r="O160" s="37">
        <v>0</v>
      </c>
      <c r="P160" s="37">
        <v>0</v>
      </c>
      <c r="Q160" s="37">
        <v>0</v>
      </c>
      <c r="R160" s="65">
        <v>0.27916666666666667</v>
      </c>
      <c r="S160" s="65">
        <v>0.3298611111111111</v>
      </c>
      <c r="T160" s="65">
        <v>0.28194444444444444</v>
      </c>
      <c r="U160" s="65">
        <v>0.30555555555555558</v>
      </c>
      <c r="V160" s="65">
        <v>0.30694444444444446</v>
      </c>
      <c r="W160" s="65">
        <v>0.34027777777777779</v>
      </c>
      <c r="X160" s="65">
        <v>0.29166666666666669</v>
      </c>
      <c r="Y160" s="65">
        <v>0.34236111111111112</v>
      </c>
      <c r="Z160" s="37" t="s">
        <v>704</v>
      </c>
      <c r="AA160" s="37"/>
      <c r="AB160" s="37">
        <v>17</v>
      </c>
      <c r="AC160" s="37">
        <v>15</v>
      </c>
      <c r="AD160" s="37">
        <v>10</v>
      </c>
      <c r="AE160" s="37">
        <v>7</v>
      </c>
      <c r="AF160" s="167">
        <v>45811</v>
      </c>
    </row>
    <row r="161" spans="1:32" s="28" customFormat="1" x14ac:dyDescent="0.25">
      <c r="A161" s="35">
        <v>45812</v>
      </c>
      <c r="B161" s="36" t="s">
        <v>621</v>
      </c>
      <c r="C161" s="37" t="s">
        <v>38</v>
      </c>
      <c r="D161" s="37">
        <v>44</v>
      </c>
      <c r="E161" s="65">
        <v>0.1736111111111111</v>
      </c>
      <c r="F161" s="65">
        <v>0.2048611111111111</v>
      </c>
      <c r="G161" s="65">
        <v>0.24305555555555555</v>
      </c>
      <c r="H161" s="65">
        <v>0.25833333333333336</v>
      </c>
      <c r="I161" s="38">
        <f>H161-F161</f>
        <v>5.3472222222222254E-2</v>
      </c>
      <c r="J161" s="65">
        <v>1.5277777777777777E-2</v>
      </c>
      <c r="K161" s="37" t="s">
        <v>50</v>
      </c>
      <c r="L161" s="37" t="s">
        <v>604</v>
      </c>
      <c r="M161" s="37">
        <v>11</v>
      </c>
      <c r="N161" s="37">
        <v>0</v>
      </c>
      <c r="O161" s="37">
        <v>0</v>
      </c>
      <c r="P161" s="37">
        <v>0</v>
      </c>
      <c r="Q161" s="37">
        <v>0</v>
      </c>
      <c r="R161" s="65">
        <v>0.24791666666666667</v>
      </c>
      <c r="S161" s="65">
        <v>0.25347222222222221</v>
      </c>
      <c r="T161" s="65">
        <v>0.20833333333333334</v>
      </c>
      <c r="U161" s="65">
        <v>0.22916666666666666</v>
      </c>
      <c r="V161" s="65">
        <v>0.22708333333333333</v>
      </c>
      <c r="W161" s="65">
        <v>0.25347222222222221</v>
      </c>
      <c r="X161" s="65">
        <v>0.21666666666666667</v>
      </c>
      <c r="Y161" s="65">
        <v>0.25833333333333336</v>
      </c>
      <c r="Z161" s="37" t="s">
        <v>90</v>
      </c>
      <c r="AA161" s="37"/>
      <c r="AB161" s="37">
        <v>0</v>
      </c>
      <c r="AC161" s="37">
        <v>20</v>
      </c>
      <c r="AD161" s="37">
        <v>7</v>
      </c>
      <c r="AE161" s="37">
        <v>3</v>
      </c>
      <c r="AF161" s="167">
        <v>45812</v>
      </c>
    </row>
    <row r="162" spans="1:32" s="28" customFormat="1" x14ac:dyDescent="0.25">
      <c r="A162" s="35">
        <v>45813</v>
      </c>
      <c r="B162" s="36" t="s">
        <v>621</v>
      </c>
      <c r="C162" s="37" t="s">
        <v>35</v>
      </c>
      <c r="D162" s="37">
        <v>44</v>
      </c>
      <c r="E162" s="65">
        <v>0.1736111111111111</v>
      </c>
      <c r="F162" s="65">
        <v>0.20902777777777778</v>
      </c>
      <c r="G162" s="65">
        <v>0.24305555555555555</v>
      </c>
      <c r="H162" s="65">
        <v>0.26041666666666669</v>
      </c>
      <c r="I162" s="38">
        <f t="shared" si="4"/>
        <v>5.1388888888888901E-2</v>
      </c>
      <c r="J162" s="65">
        <v>1.7361111111111112E-2</v>
      </c>
      <c r="K162" s="37" t="s">
        <v>82</v>
      </c>
      <c r="L162" s="37" t="s">
        <v>604</v>
      </c>
      <c r="M162" s="37">
        <v>11</v>
      </c>
      <c r="N162" s="37">
        <v>0</v>
      </c>
      <c r="O162" s="37">
        <v>0</v>
      </c>
      <c r="P162" s="37">
        <v>0</v>
      </c>
      <c r="Q162" s="37">
        <v>0</v>
      </c>
      <c r="R162" s="65">
        <v>0.21041666666666667</v>
      </c>
      <c r="S162" s="65">
        <v>0.25694444444444442</v>
      </c>
      <c r="T162" s="65">
        <v>0.21111111111111111</v>
      </c>
      <c r="U162" s="65">
        <v>0.23749999999999999</v>
      </c>
      <c r="V162" s="65">
        <v>0.2388888888888889</v>
      </c>
      <c r="W162" s="65">
        <v>0.25694444444444442</v>
      </c>
      <c r="X162" s="65">
        <v>0.22777777777777777</v>
      </c>
      <c r="Y162" s="65">
        <v>0.26041666666666669</v>
      </c>
      <c r="Z162" s="37" t="s">
        <v>708</v>
      </c>
      <c r="AA162" s="37"/>
      <c r="AB162" s="37">
        <v>21</v>
      </c>
      <c r="AC162" s="37">
        <v>11</v>
      </c>
      <c r="AD162" s="37">
        <v>5</v>
      </c>
      <c r="AE162" s="37">
        <v>15</v>
      </c>
      <c r="AF162" s="167">
        <v>45813</v>
      </c>
    </row>
    <row r="163" spans="1:32" s="28" customFormat="1" x14ac:dyDescent="0.25">
      <c r="A163" s="35">
        <v>45814</v>
      </c>
      <c r="B163" s="36" t="s">
        <v>621</v>
      </c>
      <c r="C163" s="37" t="s">
        <v>48</v>
      </c>
      <c r="D163" s="37">
        <v>44</v>
      </c>
      <c r="E163" s="65">
        <v>0.1736111111111111</v>
      </c>
      <c r="F163" s="65">
        <v>0.21041666666666667</v>
      </c>
      <c r="G163" s="65">
        <v>0.24305555555555555</v>
      </c>
      <c r="H163" s="65">
        <v>0.2590277777777778</v>
      </c>
      <c r="I163" s="38">
        <f t="shared" si="4"/>
        <v>4.8611111111111133E-2</v>
      </c>
      <c r="J163" s="65">
        <v>1.5972222222222221E-2</v>
      </c>
      <c r="K163" s="37" t="s">
        <v>50</v>
      </c>
      <c r="L163" s="37" t="s">
        <v>604</v>
      </c>
      <c r="M163" s="37">
        <v>11</v>
      </c>
      <c r="N163" s="37">
        <v>0</v>
      </c>
      <c r="O163" s="37">
        <v>0</v>
      </c>
      <c r="P163" s="37">
        <v>0</v>
      </c>
      <c r="Q163" s="37">
        <v>0</v>
      </c>
      <c r="R163" s="65">
        <v>0.21041666666666667</v>
      </c>
      <c r="S163" s="65">
        <v>0.25555555555555554</v>
      </c>
      <c r="T163" s="65">
        <v>0.21249999999999999</v>
      </c>
      <c r="U163" s="65">
        <v>0.22916666666666666</v>
      </c>
      <c r="V163" s="65">
        <v>0.22916666666666666</v>
      </c>
      <c r="W163" s="65">
        <v>0.25555555555555554</v>
      </c>
      <c r="X163" s="65">
        <v>0.22569444444444445</v>
      </c>
      <c r="Y163" s="65">
        <v>0.2590277777777778</v>
      </c>
      <c r="Z163" s="37" t="s">
        <v>105</v>
      </c>
      <c r="AA163" s="37"/>
      <c r="AB163" s="37">
        <v>4</v>
      </c>
      <c r="AC163" s="37">
        <v>21</v>
      </c>
      <c r="AD163" s="37">
        <v>4</v>
      </c>
      <c r="AE163" s="37">
        <v>7</v>
      </c>
      <c r="AF163" s="167">
        <v>45814</v>
      </c>
    </row>
    <row r="164" spans="1:32" s="28" customFormat="1" x14ac:dyDescent="0.25">
      <c r="A164" s="35">
        <v>45815</v>
      </c>
      <c r="B164" s="36" t="s">
        <v>621</v>
      </c>
      <c r="C164" s="37" t="s">
        <v>32</v>
      </c>
      <c r="D164" s="37">
        <v>42</v>
      </c>
      <c r="E164" s="65">
        <v>0.21527777777777779</v>
      </c>
      <c r="F164" s="65">
        <v>0.21319444444444444</v>
      </c>
      <c r="G164" s="65">
        <v>0.27777777777777779</v>
      </c>
      <c r="H164" s="65">
        <v>0.31180555555555556</v>
      </c>
      <c r="I164" s="38">
        <f t="shared" si="4"/>
        <v>9.8611111111111122E-2</v>
      </c>
      <c r="J164" s="65">
        <v>3.4027777777777775E-2</v>
      </c>
      <c r="K164" s="37" t="s">
        <v>734</v>
      </c>
      <c r="L164" s="37" t="s">
        <v>735</v>
      </c>
      <c r="M164" s="37">
        <v>14</v>
      </c>
      <c r="N164" s="37">
        <v>0</v>
      </c>
      <c r="O164" s="37">
        <v>0</v>
      </c>
      <c r="P164" s="37">
        <v>0</v>
      </c>
      <c r="Q164" s="37">
        <v>0</v>
      </c>
      <c r="R164" s="65">
        <v>0.21527777777777779</v>
      </c>
      <c r="S164" s="65">
        <v>0.26458333333333334</v>
      </c>
      <c r="T164" s="65">
        <v>0.21736111111111112</v>
      </c>
      <c r="U164" s="65">
        <v>0.2361111111111111</v>
      </c>
      <c r="V164" s="65">
        <v>0.2361111111111111</v>
      </c>
      <c r="W164" s="65">
        <v>0.26458333333333334</v>
      </c>
      <c r="X164" s="65">
        <v>0.22708333333333333</v>
      </c>
      <c r="Y164" s="65">
        <v>0.31180555555555556</v>
      </c>
      <c r="Z164" s="37" t="s">
        <v>97</v>
      </c>
      <c r="AA164" s="37"/>
      <c r="AB164" s="37">
        <v>21</v>
      </c>
      <c r="AC164" s="37">
        <v>28</v>
      </c>
      <c r="AD164" s="37">
        <v>0</v>
      </c>
      <c r="AE164" s="37">
        <v>0</v>
      </c>
      <c r="AF164" s="167">
        <v>45815</v>
      </c>
    </row>
    <row r="165" spans="1:32" s="28" customFormat="1" x14ac:dyDescent="0.25">
      <c r="A165" s="35">
        <v>45816</v>
      </c>
      <c r="B165" s="36"/>
      <c r="C165" s="37"/>
      <c r="D165" s="37"/>
      <c r="E165" s="65"/>
      <c r="F165" s="37"/>
      <c r="G165" s="65"/>
      <c r="H165" s="37"/>
      <c r="I165" s="38">
        <f t="shared" si="4"/>
        <v>0</v>
      </c>
      <c r="J165" s="65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</row>
    <row r="166" spans="1:32" s="28" customFormat="1" x14ac:dyDescent="0.25">
      <c r="A166" s="35">
        <v>45817</v>
      </c>
      <c r="B166" s="36" t="s">
        <v>621</v>
      </c>
      <c r="C166" s="37" t="s">
        <v>35</v>
      </c>
      <c r="D166" s="37">
        <v>42</v>
      </c>
      <c r="E166" s="65">
        <v>0.13194444444444445</v>
      </c>
      <c r="F166" s="65">
        <v>0.15486111111111112</v>
      </c>
      <c r="G166" s="65">
        <v>0.1875</v>
      </c>
      <c r="H166" s="65">
        <v>0.20555555555555555</v>
      </c>
      <c r="I166" s="38">
        <f t="shared" ref="I166:I229" si="6">H166-F166</f>
        <v>5.0694444444444431E-2</v>
      </c>
      <c r="J166" s="65">
        <v>1.8055555555555554E-2</v>
      </c>
      <c r="K166" s="37">
        <v>93</v>
      </c>
      <c r="L166" s="37" t="s">
        <v>604</v>
      </c>
      <c r="M166" s="37">
        <v>11</v>
      </c>
      <c r="N166" s="37">
        <v>0</v>
      </c>
      <c r="O166" s="37">
        <v>0</v>
      </c>
      <c r="P166" s="37">
        <v>0</v>
      </c>
      <c r="Q166" s="37">
        <v>0</v>
      </c>
      <c r="R166" s="65">
        <v>0.15833333333333333</v>
      </c>
      <c r="S166" s="65">
        <v>0.19930555555555557</v>
      </c>
      <c r="T166" s="65">
        <v>0.15972222222222221</v>
      </c>
      <c r="U166" s="65">
        <v>0.17847222222222223</v>
      </c>
      <c r="V166" s="65">
        <v>0.17569444444444443</v>
      </c>
      <c r="W166" s="65">
        <v>0.19930555555555557</v>
      </c>
      <c r="X166" s="65">
        <v>0.17777777777777778</v>
      </c>
      <c r="Y166" s="65">
        <v>0.20555555555555555</v>
      </c>
      <c r="Z166" s="37" t="s">
        <v>105</v>
      </c>
      <c r="AA166" s="37"/>
      <c r="AB166" s="37">
        <v>2</v>
      </c>
      <c r="AC166" s="37">
        <v>28</v>
      </c>
      <c r="AD166" s="37">
        <v>14</v>
      </c>
      <c r="AE166" s="37">
        <v>0</v>
      </c>
      <c r="AF166" s="167">
        <v>45817</v>
      </c>
    </row>
    <row r="167" spans="1:32" s="28" customFormat="1" x14ac:dyDescent="0.25">
      <c r="A167" s="35">
        <v>45818</v>
      </c>
      <c r="B167" s="36" t="s">
        <v>621</v>
      </c>
      <c r="C167" s="37" t="s">
        <v>32</v>
      </c>
      <c r="D167" s="37">
        <v>46</v>
      </c>
      <c r="E167" s="65">
        <v>0.1736111111111111</v>
      </c>
      <c r="F167" s="65">
        <v>0.17083333333333334</v>
      </c>
      <c r="G167" s="65">
        <v>0.24305555555555555</v>
      </c>
      <c r="H167" s="65">
        <v>0.23541666666666666</v>
      </c>
      <c r="I167" s="38">
        <f t="shared" si="6"/>
        <v>6.4583333333333326E-2</v>
      </c>
      <c r="J167" s="37">
        <v>0</v>
      </c>
      <c r="K167" s="37"/>
      <c r="L167" s="37" t="s">
        <v>33</v>
      </c>
      <c r="M167" s="37">
        <v>11</v>
      </c>
      <c r="N167" s="37">
        <v>0</v>
      </c>
      <c r="O167" s="37">
        <v>0</v>
      </c>
      <c r="P167" s="37">
        <v>0</v>
      </c>
      <c r="Q167" s="37">
        <v>0</v>
      </c>
      <c r="R167" s="65">
        <v>0.17291666666666666</v>
      </c>
      <c r="S167" s="65">
        <v>0.22777777777777777</v>
      </c>
      <c r="T167" s="65">
        <v>0.17499999999999999</v>
      </c>
      <c r="U167" s="65">
        <v>0.19305555555555556</v>
      </c>
      <c r="V167" s="65">
        <v>0.18541666666666667</v>
      </c>
      <c r="W167" s="65">
        <v>0.22777777777777777</v>
      </c>
      <c r="X167" s="65">
        <v>0.18611111111111112</v>
      </c>
      <c r="Y167" s="65">
        <v>0.23541666666666666</v>
      </c>
      <c r="Z167" s="37" t="s">
        <v>105</v>
      </c>
      <c r="AA167" s="37"/>
      <c r="AB167" s="37">
        <v>0</v>
      </c>
      <c r="AC167" s="37">
        <v>30</v>
      </c>
      <c r="AD167" s="37">
        <v>16</v>
      </c>
      <c r="AE167" s="37">
        <v>0</v>
      </c>
      <c r="AF167" s="167">
        <v>45818</v>
      </c>
    </row>
    <row r="168" spans="1:32" s="28" customFormat="1" x14ac:dyDescent="0.25">
      <c r="A168" s="35">
        <v>45819</v>
      </c>
      <c r="B168" s="36" t="s">
        <v>621</v>
      </c>
      <c r="C168" s="37" t="s">
        <v>35</v>
      </c>
      <c r="D168" s="37">
        <v>43</v>
      </c>
      <c r="E168" s="65">
        <v>0.1736111111111111</v>
      </c>
      <c r="F168" s="65">
        <v>0.19097222222222221</v>
      </c>
      <c r="G168" s="65">
        <v>0.24305555555555555</v>
      </c>
      <c r="H168" s="65">
        <v>0.25208333333333333</v>
      </c>
      <c r="I168" s="38">
        <f t="shared" si="6"/>
        <v>6.1111111111111116E-2</v>
      </c>
      <c r="J168" s="65">
        <v>9.0277777777777769E-3</v>
      </c>
      <c r="K168" s="37" t="s">
        <v>50</v>
      </c>
      <c r="L168" s="37" t="s">
        <v>604</v>
      </c>
      <c r="M168" s="37">
        <v>11</v>
      </c>
      <c r="N168" s="37">
        <v>0</v>
      </c>
      <c r="O168" s="37">
        <v>0</v>
      </c>
      <c r="P168" s="37">
        <v>0</v>
      </c>
      <c r="Q168" s="37">
        <v>0</v>
      </c>
      <c r="R168" s="65">
        <v>0.19236111111111112</v>
      </c>
      <c r="S168" s="65">
        <v>0.24166666666666667</v>
      </c>
      <c r="T168" s="65">
        <v>0.19375000000000001</v>
      </c>
      <c r="U168" s="65">
        <v>0.22569444444444445</v>
      </c>
      <c r="V168" s="65">
        <v>0.21180555555555555</v>
      </c>
      <c r="W168" s="65">
        <v>0.24166666666666667</v>
      </c>
      <c r="X168" s="65">
        <v>0.2048611111111111</v>
      </c>
      <c r="Y168" s="65">
        <v>0.25208333333333333</v>
      </c>
      <c r="Z168" s="37" t="s">
        <v>105</v>
      </c>
      <c r="AA168" s="37"/>
      <c r="AB168" s="37">
        <v>11</v>
      </c>
      <c r="AC168" s="37">
        <v>19</v>
      </c>
      <c r="AD168" s="37">
        <v>5</v>
      </c>
      <c r="AE168" s="37">
        <v>4</v>
      </c>
      <c r="AF168" s="167">
        <v>45819</v>
      </c>
    </row>
    <row r="169" spans="1:32" s="28" customFormat="1" x14ac:dyDescent="0.25">
      <c r="A169" s="35">
        <v>45820</v>
      </c>
      <c r="B169" s="36" t="s">
        <v>621</v>
      </c>
      <c r="C169" s="37" t="s">
        <v>38</v>
      </c>
      <c r="D169" s="37">
        <v>44</v>
      </c>
      <c r="E169" s="65">
        <v>0.1736111111111111</v>
      </c>
      <c r="F169" s="65">
        <v>0.17430555555555555</v>
      </c>
      <c r="G169" s="65">
        <v>0.24305555555555555</v>
      </c>
      <c r="H169" s="65">
        <v>0.24097222222222223</v>
      </c>
      <c r="I169" s="38">
        <f t="shared" si="6"/>
        <v>6.666666666666668E-2</v>
      </c>
      <c r="J169" s="37">
        <v>0</v>
      </c>
      <c r="K169" s="37"/>
      <c r="L169" s="37" t="s">
        <v>33</v>
      </c>
      <c r="M169" s="37">
        <v>11</v>
      </c>
      <c r="N169" s="37">
        <v>0</v>
      </c>
      <c r="O169" s="37">
        <v>0</v>
      </c>
      <c r="P169" s="37">
        <v>0</v>
      </c>
      <c r="Q169" s="37">
        <v>0</v>
      </c>
      <c r="R169" s="65">
        <v>0.17499999999999999</v>
      </c>
      <c r="S169" s="65">
        <v>0.22222222222222221</v>
      </c>
      <c r="T169" s="65">
        <v>0.18055555555555555</v>
      </c>
      <c r="U169" s="65">
        <v>0.19791666666666666</v>
      </c>
      <c r="V169" s="65">
        <v>0.17708333333333334</v>
      </c>
      <c r="W169" s="65">
        <v>0.21875</v>
      </c>
      <c r="X169" s="65">
        <v>0.19305555555555556</v>
      </c>
      <c r="Y169" s="65">
        <v>0.23541666666666666</v>
      </c>
      <c r="Z169" s="37" t="s">
        <v>97</v>
      </c>
      <c r="AA169" s="37"/>
      <c r="AB169" s="37">
        <v>0</v>
      </c>
      <c r="AC169" s="37">
        <v>22</v>
      </c>
      <c r="AD169" s="37">
        <v>15</v>
      </c>
      <c r="AE169" s="37">
        <v>5</v>
      </c>
      <c r="AF169" s="167">
        <v>45820</v>
      </c>
    </row>
    <row r="170" spans="1:32" s="28" customFormat="1" x14ac:dyDescent="0.25">
      <c r="A170" s="35">
        <v>45821</v>
      </c>
      <c r="B170" s="36" t="s">
        <v>621</v>
      </c>
      <c r="C170" s="37" t="s">
        <v>48</v>
      </c>
      <c r="D170" s="37">
        <v>43</v>
      </c>
      <c r="E170" s="65">
        <v>0.1736111111111111</v>
      </c>
      <c r="F170" s="65">
        <v>0.18402777777777779</v>
      </c>
      <c r="G170" s="65">
        <v>0.24305555555555555</v>
      </c>
      <c r="H170" s="65">
        <v>0.24305555555555555</v>
      </c>
      <c r="I170" s="38">
        <f t="shared" si="6"/>
        <v>5.9027777777777762E-2</v>
      </c>
      <c r="J170" s="37">
        <v>0</v>
      </c>
      <c r="K170" s="37"/>
      <c r="L170" s="37" t="s">
        <v>33</v>
      </c>
      <c r="M170" s="37">
        <v>11</v>
      </c>
      <c r="N170" s="37">
        <v>0</v>
      </c>
      <c r="O170" s="37">
        <v>0</v>
      </c>
      <c r="P170" s="37">
        <v>0</v>
      </c>
      <c r="Q170" s="37">
        <v>0</v>
      </c>
      <c r="R170" s="65">
        <v>0.18472222222222223</v>
      </c>
      <c r="S170" s="65">
        <v>0.23680555555555555</v>
      </c>
      <c r="T170" s="65">
        <v>0.18680555555555556</v>
      </c>
      <c r="U170" s="65">
        <v>0.2361111111111111</v>
      </c>
      <c r="V170" s="65">
        <v>0.19791666666666666</v>
      </c>
      <c r="W170" s="65">
        <v>0.2361111111111111</v>
      </c>
      <c r="X170" s="65">
        <v>0.19930555555555557</v>
      </c>
      <c r="Y170" s="65">
        <v>0.24097222222222223</v>
      </c>
      <c r="Z170" s="37" t="s">
        <v>736</v>
      </c>
      <c r="AA170" s="37"/>
      <c r="AB170" s="37">
        <v>18</v>
      </c>
      <c r="AC170" s="37">
        <v>13</v>
      </c>
      <c r="AD170" s="37">
        <v>12</v>
      </c>
      <c r="AE170" s="37">
        <v>10</v>
      </c>
      <c r="AF170" s="167">
        <v>45821</v>
      </c>
    </row>
    <row r="171" spans="1:32" s="28" customFormat="1" x14ac:dyDescent="0.25">
      <c r="A171" s="35">
        <v>45822</v>
      </c>
      <c r="B171" s="36" t="s">
        <v>621</v>
      </c>
      <c r="C171" s="37" t="s">
        <v>46</v>
      </c>
      <c r="D171" s="37">
        <v>44</v>
      </c>
      <c r="E171" s="65">
        <v>0.21527777777777779</v>
      </c>
      <c r="F171" s="65">
        <v>0.21319444444444444</v>
      </c>
      <c r="G171" s="65">
        <v>0.27777777777777779</v>
      </c>
      <c r="H171" s="65">
        <v>0.27777777777777779</v>
      </c>
      <c r="I171" s="38">
        <f t="shared" si="6"/>
        <v>6.4583333333333354E-2</v>
      </c>
      <c r="J171" s="37">
        <v>0</v>
      </c>
      <c r="K171" s="37">
        <v>0</v>
      </c>
      <c r="L171" s="37" t="s">
        <v>33</v>
      </c>
      <c r="M171" s="37">
        <v>11</v>
      </c>
      <c r="N171" s="37">
        <v>0</v>
      </c>
      <c r="O171" s="37">
        <v>0</v>
      </c>
      <c r="P171" s="37">
        <v>0</v>
      </c>
      <c r="Q171" s="37">
        <v>0</v>
      </c>
      <c r="R171" s="65">
        <v>0.21388888888888888</v>
      </c>
      <c r="S171" s="65">
        <v>0.26250000000000001</v>
      </c>
      <c r="T171" s="65">
        <v>0.21666666666666667</v>
      </c>
      <c r="U171" s="65">
        <v>0.23958333333333334</v>
      </c>
      <c r="V171" s="65">
        <v>0.24166666666666667</v>
      </c>
      <c r="W171" s="65">
        <v>0.26250000000000001</v>
      </c>
      <c r="X171" s="65">
        <v>0.22500000000000001</v>
      </c>
      <c r="Y171" s="65">
        <v>0.27500000000000002</v>
      </c>
      <c r="Z171" s="37" t="s">
        <v>704</v>
      </c>
      <c r="AA171" s="37"/>
      <c r="AB171" s="37">
        <v>12</v>
      </c>
      <c r="AC171" s="37">
        <v>19</v>
      </c>
      <c r="AD171" s="37">
        <v>12</v>
      </c>
      <c r="AE171" s="37">
        <v>4</v>
      </c>
      <c r="AF171" s="167">
        <v>45822</v>
      </c>
    </row>
    <row r="172" spans="1:32" s="28" customFormat="1" x14ac:dyDescent="0.25">
      <c r="A172" s="35">
        <v>45823</v>
      </c>
      <c r="B172" s="36"/>
      <c r="C172" s="37"/>
      <c r="D172" s="37"/>
      <c r="E172" s="37"/>
      <c r="F172" s="37"/>
      <c r="G172" s="37"/>
      <c r="H172" s="37"/>
      <c r="I172" s="38">
        <f t="shared" si="6"/>
        <v>0</v>
      </c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167"/>
    </row>
    <row r="173" spans="1:32" s="28" customFormat="1" x14ac:dyDescent="0.25">
      <c r="A173" s="35">
        <v>45824</v>
      </c>
      <c r="B173" s="36" t="s">
        <v>621</v>
      </c>
      <c r="C173" s="37" t="s">
        <v>48</v>
      </c>
      <c r="D173" s="37">
        <v>44</v>
      </c>
      <c r="E173" s="65">
        <v>0.13194444444444445</v>
      </c>
      <c r="F173" s="65">
        <v>0.14722222222222223</v>
      </c>
      <c r="G173" s="65">
        <v>0.1875</v>
      </c>
      <c r="H173" s="65">
        <v>0.24861111111111112</v>
      </c>
      <c r="I173" s="38">
        <f t="shared" si="6"/>
        <v>0.10138888888888889</v>
      </c>
      <c r="J173" s="65">
        <v>6.1111111111111109E-2</v>
      </c>
      <c r="K173" s="37" t="s">
        <v>737</v>
      </c>
      <c r="L173" s="37" t="s">
        <v>738</v>
      </c>
      <c r="M173" s="37">
        <v>11</v>
      </c>
      <c r="N173" s="37">
        <v>0</v>
      </c>
      <c r="O173" s="37">
        <v>0</v>
      </c>
      <c r="P173" s="37">
        <v>0</v>
      </c>
      <c r="Q173" s="37">
        <v>0</v>
      </c>
      <c r="R173" s="65">
        <v>0.14861111111111111</v>
      </c>
      <c r="S173" s="65">
        <v>0.19791666666666666</v>
      </c>
      <c r="T173" s="65">
        <v>0.15138888888888888</v>
      </c>
      <c r="U173" s="65">
        <v>0.17222222222222222</v>
      </c>
      <c r="V173" s="65">
        <v>0.1736111111111111</v>
      </c>
      <c r="W173" s="65">
        <v>0.19791666666666666</v>
      </c>
      <c r="X173" s="65">
        <v>0.16458333333333333</v>
      </c>
      <c r="Y173" s="65">
        <v>0.21319444444444444</v>
      </c>
      <c r="Z173" s="37" t="s">
        <v>704</v>
      </c>
      <c r="AA173" s="37"/>
      <c r="AB173" s="37">
        <v>19</v>
      </c>
      <c r="AC173" s="37">
        <v>14</v>
      </c>
      <c r="AD173" s="37">
        <v>6</v>
      </c>
      <c r="AE173" s="37">
        <v>4</v>
      </c>
      <c r="AF173" s="167">
        <v>45824</v>
      </c>
    </row>
    <row r="174" spans="1:32" s="28" customFormat="1" x14ac:dyDescent="0.25">
      <c r="A174" s="35">
        <v>45825</v>
      </c>
      <c r="B174" s="36" t="s">
        <v>621</v>
      </c>
      <c r="C174" s="37" t="s">
        <v>38</v>
      </c>
      <c r="D174" s="37">
        <v>42</v>
      </c>
      <c r="E174" s="65">
        <v>0.1736111111111111</v>
      </c>
      <c r="F174" s="65">
        <v>0.17708333333333334</v>
      </c>
      <c r="G174" s="65">
        <v>0.24305555555555555</v>
      </c>
      <c r="H174" s="65">
        <v>0.2388888888888889</v>
      </c>
      <c r="I174" s="38">
        <f t="shared" si="6"/>
        <v>6.1805555555555558E-2</v>
      </c>
      <c r="J174" s="37">
        <v>0</v>
      </c>
      <c r="K174" s="37"/>
      <c r="L174" s="37" t="s">
        <v>33</v>
      </c>
      <c r="M174" s="37">
        <v>11</v>
      </c>
      <c r="N174" s="37">
        <v>0</v>
      </c>
      <c r="O174" s="37">
        <v>0</v>
      </c>
      <c r="P174" s="37">
        <v>0</v>
      </c>
      <c r="Q174" s="37">
        <v>0</v>
      </c>
      <c r="R174" s="65">
        <v>0.17777777777777778</v>
      </c>
      <c r="S174" s="65">
        <v>0.23055555555555557</v>
      </c>
      <c r="T174" s="65">
        <v>0.17986111111111111</v>
      </c>
      <c r="U174" s="65">
        <v>0.2048611111111111</v>
      </c>
      <c r="V174" s="65">
        <v>0.18611111111111112</v>
      </c>
      <c r="W174" s="65">
        <v>0.22500000000000001</v>
      </c>
      <c r="X174" s="65">
        <v>0.21319444444444444</v>
      </c>
      <c r="Y174" s="65">
        <v>0.23680555555555555</v>
      </c>
      <c r="Z174" s="37" t="s">
        <v>736</v>
      </c>
      <c r="AA174" s="37"/>
      <c r="AB174" s="37">
        <v>4</v>
      </c>
      <c r="AC174" s="37">
        <v>21</v>
      </c>
      <c r="AD174" s="37">
        <v>4</v>
      </c>
      <c r="AE174" s="37">
        <v>2</v>
      </c>
      <c r="AF174" s="167">
        <v>45825</v>
      </c>
    </row>
    <row r="175" spans="1:32" s="28" customFormat="1" x14ac:dyDescent="0.25">
      <c r="A175" s="35">
        <v>45826</v>
      </c>
      <c r="B175" s="36" t="s">
        <v>621</v>
      </c>
      <c r="C175" s="37" t="s">
        <v>46</v>
      </c>
      <c r="D175" s="37">
        <v>44</v>
      </c>
      <c r="E175" s="65">
        <v>0.1736111111111111</v>
      </c>
      <c r="F175" s="65">
        <v>0.16111111111111112</v>
      </c>
      <c r="G175" s="65">
        <v>0.24305555555555555</v>
      </c>
      <c r="H175" s="65">
        <v>0.23402777777777778</v>
      </c>
      <c r="I175" s="38">
        <f t="shared" si="6"/>
        <v>7.2916666666666657E-2</v>
      </c>
      <c r="J175" s="37">
        <v>0</v>
      </c>
      <c r="K175" s="37">
        <v>0</v>
      </c>
      <c r="L175" s="37" t="s">
        <v>33</v>
      </c>
      <c r="M175" s="37">
        <v>11</v>
      </c>
      <c r="N175" s="37">
        <v>0</v>
      </c>
      <c r="O175" s="37">
        <v>0</v>
      </c>
      <c r="P175" s="37">
        <v>0</v>
      </c>
      <c r="Q175" s="37">
        <v>0</v>
      </c>
      <c r="R175" s="65">
        <v>0.15972222222222221</v>
      </c>
      <c r="S175" s="65">
        <v>0.20416666666666666</v>
      </c>
      <c r="T175" s="65">
        <v>0.16250000000000001</v>
      </c>
      <c r="U175" s="65">
        <v>0.19444444444444445</v>
      </c>
      <c r="V175" s="65">
        <v>0.18055555555555555</v>
      </c>
      <c r="W175" s="65">
        <v>0.2013888888888889</v>
      </c>
      <c r="X175" s="65">
        <v>0.17499999999999999</v>
      </c>
      <c r="Y175" s="37">
        <v>525</v>
      </c>
      <c r="Z175" s="37" t="s">
        <v>105</v>
      </c>
      <c r="AA175" s="37"/>
      <c r="AB175" s="37">
        <v>0</v>
      </c>
      <c r="AC175" s="37">
        <v>19</v>
      </c>
      <c r="AD175" s="37">
        <v>12</v>
      </c>
      <c r="AE175" s="37">
        <v>6</v>
      </c>
      <c r="AF175" s="167">
        <v>45826</v>
      </c>
    </row>
    <row r="176" spans="1:32" s="28" customFormat="1" x14ac:dyDescent="0.25">
      <c r="A176" s="35">
        <v>45827</v>
      </c>
      <c r="B176" s="36" t="s">
        <v>621</v>
      </c>
      <c r="C176" s="37" t="s">
        <v>32</v>
      </c>
      <c r="D176" s="37">
        <v>44</v>
      </c>
      <c r="E176" s="65">
        <v>0.1736111111111111</v>
      </c>
      <c r="F176" s="65">
        <v>0.15833333333333333</v>
      </c>
      <c r="G176" s="65">
        <v>0.24305555555555555</v>
      </c>
      <c r="H176" s="65">
        <v>0.22152777777777777</v>
      </c>
      <c r="I176" s="38">
        <f t="shared" si="6"/>
        <v>6.3194444444444442E-2</v>
      </c>
      <c r="J176" s="37">
        <v>0</v>
      </c>
      <c r="K176" s="37">
        <v>0</v>
      </c>
      <c r="L176" s="37" t="s">
        <v>33</v>
      </c>
      <c r="M176" s="37">
        <v>11</v>
      </c>
      <c r="N176" s="37">
        <v>0</v>
      </c>
      <c r="O176" s="37">
        <v>0</v>
      </c>
      <c r="P176" s="37">
        <v>0</v>
      </c>
      <c r="Q176" s="37">
        <v>0</v>
      </c>
      <c r="R176" s="65">
        <v>0.16250000000000001</v>
      </c>
      <c r="S176" s="65">
        <v>0.20624999999999999</v>
      </c>
      <c r="T176" s="65">
        <v>0.16388888888888889</v>
      </c>
      <c r="U176" s="65">
        <v>0.18402777777777779</v>
      </c>
      <c r="V176" s="65">
        <v>0.18055555555555555</v>
      </c>
      <c r="W176" s="65">
        <v>0.20624999999999999</v>
      </c>
      <c r="X176" s="65">
        <v>0.18194444444444444</v>
      </c>
      <c r="Y176" s="65">
        <v>0.22013888888888888</v>
      </c>
      <c r="Z176" s="37" t="s">
        <v>97</v>
      </c>
      <c r="AA176" s="37"/>
      <c r="AB176" s="37">
        <v>4</v>
      </c>
      <c r="AC176" s="37">
        <v>22</v>
      </c>
      <c r="AD176" s="37" t="s">
        <v>204</v>
      </c>
      <c r="AE176" s="37">
        <v>4</v>
      </c>
      <c r="AF176" s="167">
        <v>45827</v>
      </c>
    </row>
    <row r="177" spans="1:32" s="28" customFormat="1" x14ac:dyDescent="0.25">
      <c r="A177" s="35">
        <v>45828</v>
      </c>
      <c r="B177" s="36" t="s">
        <v>621</v>
      </c>
      <c r="C177" s="37" t="s">
        <v>46</v>
      </c>
      <c r="D177" s="37">
        <v>43</v>
      </c>
      <c r="E177" s="65">
        <v>0.1736111111111111</v>
      </c>
      <c r="F177" s="65">
        <v>0.17152777777777778</v>
      </c>
      <c r="G177" s="65">
        <v>0.24305555555555555</v>
      </c>
      <c r="H177" s="65">
        <v>0.23472222222222222</v>
      </c>
      <c r="I177" s="38">
        <f t="shared" si="6"/>
        <v>6.3194444444444442E-2</v>
      </c>
      <c r="J177" s="37">
        <v>0</v>
      </c>
      <c r="K177" s="37">
        <v>0</v>
      </c>
      <c r="L177" s="37" t="s">
        <v>33</v>
      </c>
      <c r="M177" s="37">
        <v>11</v>
      </c>
      <c r="N177" s="37">
        <v>0</v>
      </c>
      <c r="O177" s="37">
        <v>0</v>
      </c>
      <c r="P177" s="37">
        <v>0</v>
      </c>
      <c r="Q177" s="37">
        <v>0</v>
      </c>
      <c r="R177" s="65">
        <v>0.17152777777777778</v>
      </c>
      <c r="S177" s="65">
        <v>0.22777777777777777</v>
      </c>
      <c r="T177" s="65">
        <v>0.17291666666666666</v>
      </c>
      <c r="U177" s="65">
        <v>0.22777777777777777</v>
      </c>
      <c r="V177" s="65">
        <v>0.18680555555555556</v>
      </c>
      <c r="W177" s="65">
        <v>0.22777777777777777</v>
      </c>
      <c r="X177" s="65">
        <v>0.18333333333333332</v>
      </c>
      <c r="Y177" s="65">
        <v>0.23194444444444445</v>
      </c>
      <c r="Z177" s="37" t="s">
        <v>97</v>
      </c>
      <c r="AA177" s="37"/>
      <c r="AB177" s="37">
        <v>18</v>
      </c>
      <c r="AC177" s="37">
        <v>7</v>
      </c>
      <c r="AD177" s="37">
        <v>0</v>
      </c>
      <c r="AE177" s="37">
        <v>10</v>
      </c>
      <c r="AF177" s="167">
        <v>45828</v>
      </c>
    </row>
    <row r="178" spans="1:32" s="28" customFormat="1" x14ac:dyDescent="0.25">
      <c r="A178" s="35">
        <v>45829</v>
      </c>
      <c r="B178" s="36" t="s">
        <v>621</v>
      </c>
      <c r="C178" s="37" t="s">
        <v>38</v>
      </c>
      <c r="D178" s="37">
        <v>45</v>
      </c>
      <c r="E178" s="65">
        <v>0.21527777777777779</v>
      </c>
      <c r="F178" s="65">
        <v>0.2</v>
      </c>
      <c r="G178" s="65">
        <v>0.27777777777777779</v>
      </c>
      <c r="H178" s="65">
        <v>0.24722222222222223</v>
      </c>
      <c r="I178" s="38">
        <f t="shared" si="6"/>
        <v>4.7222222222222221E-2</v>
      </c>
      <c r="J178" s="37">
        <v>0</v>
      </c>
      <c r="K178" s="37">
        <v>0</v>
      </c>
      <c r="L178" s="37" t="s">
        <v>33</v>
      </c>
      <c r="M178" s="37">
        <v>11</v>
      </c>
      <c r="N178" s="37">
        <v>0</v>
      </c>
      <c r="O178" s="37">
        <v>0</v>
      </c>
      <c r="P178" s="37">
        <v>0</v>
      </c>
      <c r="Q178" s="37">
        <v>0</v>
      </c>
      <c r="R178" s="65">
        <v>0.20069444444444445</v>
      </c>
      <c r="S178" s="65">
        <v>0.24166666666666667</v>
      </c>
      <c r="T178" s="65">
        <v>0.20347222222222222</v>
      </c>
      <c r="U178" s="65">
        <v>0.21805555555555556</v>
      </c>
      <c r="V178" s="65">
        <v>0.21805555555555556</v>
      </c>
      <c r="W178" s="65">
        <v>0.24166666666666667</v>
      </c>
      <c r="X178" s="65">
        <v>0.21527777777777779</v>
      </c>
      <c r="Y178" s="65">
        <v>0.24722222222222223</v>
      </c>
      <c r="Z178" s="37" t="s">
        <v>40</v>
      </c>
      <c r="AA178" s="37"/>
      <c r="AB178" s="37">
        <v>12</v>
      </c>
      <c r="AC178" s="37">
        <v>16</v>
      </c>
      <c r="AD178" s="37">
        <v>13</v>
      </c>
      <c r="AE178" s="37">
        <v>20</v>
      </c>
      <c r="AF178" s="167">
        <v>45829</v>
      </c>
    </row>
    <row r="179" spans="1:32" s="28" customFormat="1" x14ac:dyDescent="0.25">
      <c r="A179" s="35">
        <v>45830</v>
      </c>
      <c r="B179" s="36"/>
      <c r="C179" s="37"/>
      <c r="D179" s="37"/>
      <c r="E179" s="37"/>
      <c r="F179" s="37"/>
      <c r="G179" s="37"/>
      <c r="H179" s="37"/>
      <c r="I179" s="38">
        <f t="shared" si="6"/>
        <v>0</v>
      </c>
      <c r="J179" s="37"/>
      <c r="K179" s="37"/>
      <c r="L179" s="37"/>
      <c r="M179" s="37"/>
      <c r="N179" s="37"/>
      <c r="O179" s="37"/>
      <c r="P179" s="37"/>
      <c r="Q179" s="37"/>
      <c r="R179" s="37"/>
      <c r="S179" s="65"/>
      <c r="T179" s="65"/>
      <c r="U179" s="65"/>
      <c r="V179" s="65"/>
      <c r="W179" s="65"/>
      <c r="X179" s="65"/>
      <c r="Y179" s="65"/>
      <c r="Z179" s="37"/>
      <c r="AA179" s="37"/>
      <c r="AB179" s="37"/>
      <c r="AC179" s="37"/>
      <c r="AD179" s="37"/>
      <c r="AE179" s="37"/>
    </row>
    <row r="180" spans="1:32" s="28" customFormat="1" x14ac:dyDescent="0.25">
      <c r="A180" s="35">
        <v>45831</v>
      </c>
      <c r="B180" s="36" t="s">
        <v>621</v>
      </c>
      <c r="C180" s="37" t="s">
        <v>38</v>
      </c>
      <c r="D180" s="37">
        <v>44</v>
      </c>
      <c r="E180" s="65">
        <v>0.13194444444444445</v>
      </c>
      <c r="F180" s="65">
        <v>0.68680555555555556</v>
      </c>
      <c r="G180" s="65">
        <v>0.1875</v>
      </c>
      <c r="H180" s="65">
        <v>0.73958333333333337</v>
      </c>
      <c r="I180" s="38">
        <f t="shared" si="6"/>
        <v>5.2777777777777812E-2</v>
      </c>
      <c r="J180" s="65">
        <v>0.55208333333333337</v>
      </c>
      <c r="K180" s="37" t="s">
        <v>50</v>
      </c>
      <c r="L180" s="37" t="s">
        <v>738</v>
      </c>
      <c r="M180" s="37">
        <v>11</v>
      </c>
      <c r="N180" s="37">
        <v>0</v>
      </c>
      <c r="O180" s="37">
        <v>0</v>
      </c>
      <c r="P180" s="37">
        <v>0</v>
      </c>
      <c r="Q180" s="37">
        <v>0</v>
      </c>
      <c r="R180" s="65">
        <v>0.68680555555555556</v>
      </c>
      <c r="S180" s="65">
        <v>0.72847222222222219</v>
      </c>
      <c r="T180" s="65">
        <v>0.6875</v>
      </c>
      <c r="U180" s="65">
        <v>0.70833333333333337</v>
      </c>
      <c r="V180" s="65">
        <v>0.70833333333333337</v>
      </c>
      <c r="W180" s="65">
        <v>0.72569444444444442</v>
      </c>
      <c r="X180" s="65">
        <v>0.70138888888888884</v>
      </c>
      <c r="Y180" s="65">
        <v>0.7368055555555556</v>
      </c>
      <c r="Z180" s="37" t="s">
        <v>736</v>
      </c>
      <c r="AA180" s="37"/>
      <c r="AB180" s="37">
        <v>4</v>
      </c>
      <c r="AC180" s="37">
        <v>18</v>
      </c>
      <c r="AD180" s="37">
        <v>4</v>
      </c>
      <c r="AE180" s="37">
        <v>4</v>
      </c>
      <c r="AF180" s="167">
        <v>45831</v>
      </c>
    </row>
    <row r="181" spans="1:32" s="28" customFormat="1" x14ac:dyDescent="0.25">
      <c r="A181" s="35">
        <v>45832</v>
      </c>
      <c r="B181" s="36" t="s">
        <v>621</v>
      </c>
      <c r="C181" s="37" t="s">
        <v>32</v>
      </c>
      <c r="D181" s="37">
        <v>44</v>
      </c>
      <c r="E181" s="65">
        <v>0.1736111111111111</v>
      </c>
      <c r="F181" s="65">
        <v>0.18055555555555555</v>
      </c>
      <c r="G181" s="65">
        <v>0.24305555555555555</v>
      </c>
      <c r="H181" s="65">
        <v>0.2388888888888889</v>
      </c>
      <c r="I181" s="38">
        <f t="shared" si="6"/>
        <v>5.8333333333333348E-2</v>
      </c>
      <c r="J181" s="37">
        <v>0</v>
      </c>
      <c r="K181" s="37">
        <v>0</v>
      </c>
      <c r="L181" s="37" t="s">
        <v>33</v>
      </c>
      <c r="M181" s="37">
        <v>11</v>
      </c>
      <c r="N181" s="37">
        <v>0</v>
      </c>
      <c r="O181" s="37">
        <v>0</v>
      </c>
      <c r="P181" s="37">
        <v>0</v>
      </c>
      <c r="Q181" s="37">
        <v>0</v>
      </c>
      <c r="R181" s="65">
        <v>0.18124999999999999</v>
      </c>
      <c r="S181" s="65">
        <v>0.22916666666666666</v>
      </c>
      <c r="T181" s="65">
        <v>0.18263888888888888</v>
      </c>
      <c r="U181" s="65">
        <v>0.22916666666666666</v>
      </c>
      <c r="V181" s="65">
        <v>0.20277777777777778</v>
      </c>
      <c r="W181" s="65">
        <v>0.22916666666666666</v>
      </c>
      <c r="X181" s="65">
        <v>0.19097222222222221</v>
      </c>
      <c r="Y181" s="65">
        <v>0.2388888888888889</v>
      </c>
      <c r="Z181" s="37" t="s">
        <v>736</v>
      </c>
      <c r="AA181" s="37"/>
      <c r="AB181" s="37">
        <v>8</v>
      </c>
      <c r="AC181" s="37">
        <v>22</v>
      </c>
      <c r="AD181" s="37">
        <v>0</v>
      </c>
      <c r="AE181" s="37">
        <v>4</v>
      </c>
      <c r="AF181" s="167">
        <v>45832</v>
      </c>
    </row>
    <row r="182" spans="1:32" s="28" customFormat="1" x14ac:dyDescent="0.25">
      <c r="A182" s="35">
        <v>45833</v>
      </c>
      <c r="B182" s="36" t="s">
        <v>621</v>
      </c>
      <c r="C182" s="37" t="s">
        <v>38</v>
      </c>
      <c r="D182" s="37">
        <v>44</v>
      </c>
      <c r="E182" s="65">
        <v>0.1736111111111111</v>
      </c>
      <c r="F182" s="65">
        <v>0.20208333333333334</v>
      </c>
      <c r="G182" s="65">
        <v>0.24305555555555555</v>
      </c>
      <c r="H182" s="65">
        <v>0.2590277777777778</v>
      </c>
      <c r="I182" s="38">
        <f t="shared" si="6"/>
        <v>5.6944444444444464E-2</v>
      </c>
      <c r="J182" s="65">
        <v>1.5972222222222221E-2</v>
      </c>
      <c r="K182" s="37" t="s">
        <v>50</v>
      </c>
      <c r="L182" s="37" t="s">
        <v>604</v>
      </c>
      <c r="M182" s="37">
        <v>11</v>
      </c>
      <c r="N182" s="37">
        <v>0</v>
      </c>
      <c r="O182" s="37">
        <v>0</v>
      </c>
      <c r="P182" s="37">
        <v>0</v>
      </c>
      <c r="Q182" s="37">
        <v>0</v>
      </c>
      <c r="R182" s="65">
        <v>0.20277777777777778</v>
      </c>
      <c r="S182" s="65">
        <v>0.25138888888888888</v>
      </c>
      <c r="T182" s="65">
        <v>0.20347222222222222</v>
      </c>
      <c r="U182" s="65">
        <v>0.25</v>
      </c>
      <c r="V182" s="65">
        <v>0.22500000000000001</v>
      </c>
      <c r="W182" s="65">
        <v>0.25</v>
      </c>
      <c r="X182" s="65">
        <v>0.21388888888888888</v>
      </c>
      <c r="Y182" s="65">
        <v>0.25694444444444442</v>
      </c>
      <c r="Z182" s="37" t="s">
        <v>736</v>
      </c>
      <c r="AA182" s="37"/>
      <c r="AB182" s="37">
        <v>15</v>
      </c>
      <c r="AC182" s="37">
        <v>20</v>
      </c>
      <c r="AD182" s="37">
        <v>0</v>
      </c>
      <c r="AE182" s="37">
        <v>11</v>
      </c>
      <c r="AF182" s="167">
        <v>45833</v>
      </c>
    </row>
    <row r="183" spans="1:32" s="28" customFormat="1" x14ac:dyDescent="0.25">
      <c r="A183" s="35">
        <v>45834</v>
      </c>
      <c r="B183" s="36" t="s">
        <v>621</v>
      </c>
      <c r="C183" s="37" t="s">
        <v>35</v>
      </c>
      <c r="D183" s="37">
        <v>44</v>
      </c>
      <c r="E183" s="65">
        <v>0.1736111111111111</v>
      </c>
      <c r="F183" s="65">
        <v>0.1763888888888889</v>
      </c>
      <c r="G183" s="65">
        <v>0.24305555555555555</v>
      </c>
      <c r="H183" s="65">
        <v>0.23680555555555555</v>
      </c>
      <c r="I183" s="38">
        <f t="shared" si="6"/>
        <v>6.0416666666666646E-2</v>
      </c>
      <c r="J183" s="37">
        <v>0</v>
      </c>
      <c r="K183" s="37">
        <v>0</v>
      </c>
      <c r="L183" s="37" t="s">
        <v>33</v>
      </c>
      <c r="M183" s="37">
        <v>11</v>
      </c>
      <c r="N183" s="37">
        <v>0</v>
      </c>
      <c r="O183" s="37">
        <v>0</v>
      </c>
      <c r="P183" s="37">
        <v>0</v>
      </c>
      <c r="Q183" s="37">
        <v>0</v>
      </c>
      <c r="R183" s="65">
        <v>0.17777777777777778</v>
      </c>
      <c r="S183" s="65">
        <v>0.22083333333333333</v>
      </c>
      <c r="T183" s="65">
        <v>0.17777777777777778</v>
      </c>
      <c r="U183" s="65">
        <v>0.19652777777777777</v>
      </c>
      <c r="V183" s="65">
        <v>0.19722222222222222</v>
      </c>
      <c r="W183" s="65">
        <v>0.22083333333333333</v>
      </c>
      <c r="X183" s="65">
        <v>0.19791666666666666</v>
      </c>
      <c r="Y183" s="65">
        <v>0.2298611111111111</v>
      </c>
      <c r="Z183" s="37" t="s">
        <v>40</v>
      </c>
      <c r="AA183" s="37"/>
      <c r="AB183" s="37">
        <v>20</v>
      </c>
      <c r="AC183" s="37">
        <v>12</v>
      </c>
      <c r="AD183" s="37">
        <v>15</v>
      </c>
      <c r="AE183" s="37">
        <v>7</v>
      </c>
      <c r="AF183" s="167">
        <v>45834</v>
      </c>
    </row>
    <row r="184" spans="1:32" s="28" customFormat="1" x14ac:dyDescent="0.25">
      <c r="A184" s="35">
        <v>45835</v>
      </c>
      <c r="B184" s="36" t="s">
        <v>621</v>
      </c>
      <c r="C184" s="37" t="s">
        <v>48</v>
      </c>
      <c r="D184" s="37">
        <v>44</v>
      </c>
      <c r="E184" s="65">
        <v>0.1736111111111111</v>
      </c>
      <c r="F184" s="65">
        <v>0.17222222222222222</v>
      </c>
      <c r="G184" s="65">
        <v>0.24305555555555555</v>
      </c>
      <c r="H184" s="65">
        <v>0.22638888888888889</v>
      </c>
      <c r="I184" s="38">
        <f t="shared" si="6"/>
        <v>5.4166666666666669E-2</v>
      </c>
      <c r="J184" s="37">
        <v>0</v>
      </c>
      <c r="K184" s="37">
        <v>0</v>
      </c>
      <c r="L184" s="37" t="s">
        <v>33</v>
      </c>
      <c r="M184" s="37">
        <v>11</v>
      </c>
      <c r="N184" s="37">
        <v>0</v>
      </c>
      <c r="O184" s="37">
        <v>0</v>
      </c>
      <c r="P184" s="37">
        <v>0</v>
      </c>
      <c r="Q184" s="37">
        <v>0</v>
      </c>
      <c r="R184" s="65">
        <v>0.17291666666666666</v>
      </c>
      <c r="S184" s="65">
        <v>0.21736111111111112</v>
      </c>
      <c r="T184" s="65">
        <v>0.17569444444444443</v>
      </c>
      <c r="U184" s="65">
        <v>0.19097222222222221</v>
      </c>
      <c r="V184" s="65">
        <v>0.19166666666666668</v>
      </c>
      <c r="W184" s="65">
        <v>0.20833333333333334</v>
      </c>
      <c r="X184" s="65">
        <v>0.19722222222222222</v>
      </c>
      <c r="Y184" s="65">
        <v>0.22222222222222221</v>
      </c>
      <c r="Z184" s="37" t="s">
        <v>40</v>
      </c>
      <c r="AA184" s="37"/>
      <c r="AB184" s="37">
        <v>16</v>
      </c>
      <c r="AC184" s="37">
        <v>20</v>
      </c>
      <c r="AD184" s="37">
        <v>14</v>
      </c>
      <c r="AE184" s="37">
        <v>9</v>
      </c>
      <c r="AF184" s="167">
        <v>45835</v>
      </c>
    </row>
    <row r="185" spans="1:32" s="28" customFormat="1" x14ac:dyDescent="0.25">
      <c r="A185" s="35">
        <v>45836</v>
      </c>
      <c r="B185" s="36" t="s">
        <v>621</v>
      </c>
      <c r="C185" s="37" t="s">
        <v>32</v>
      </c>
      <c r="D185" s="37">
        <v>44</v>
      </c>
      <c r="E185" s="65">
        <v>0.21527777777777779</v>
      </c>
      <c r="F185" s="65">
        <v>0.21319444444444444</v>
      </c>
      <c r="G185" s="65">
        <v>0.27777777777777779</v>
      </c>
      <c r="H185" s="65">
        <v>0.27638888888888891</v>
      </c>
      <c r="I185" s="38">
        <f t="shared" si="6"/>
        <v>6.319444444444447E-2</v>
      </c>
      <c r="J185" s="37">
        <v>0</v>
      </c>
      <c r="K185" s="37">
        <v>0</v>
      </c>
      <c r="L185" s="37" t="s">
        <v>33</v>
      </c>
      <c r="M185" s="37">
        <v>12</v>
      </c>
      <c r="N185" s="37">
        <v>0</v>
      </c>
      <c r="O185" s="37">
        <v>0</v>
      </c>
      <c r="P185" s="37">
        <v>0</v>
      </c>
      <c r="Q185" s="37">
        <v>0</v>
      </c>
      <c r="R185" s="65">
        <v>0.22569444444444445</v>
      </c>
      <c r="S185" s="65">
        <v>0.26597222222222222</v>
      </c>
      <c r="T185" s="65">
        <v>0.21458333333333332</v>
      </c>
      <c r="U185" s="65">
        <v>0.26180555555555557</v>
      </c>
      <c r="V185" s="65">
        <v>0.21944444444444444</v>
      </c>
      <c r="W185" s="65">
        <v>0.26180555555555557</v>
      </c>
      <c r="X185" s="65">
        <v>0.22569444444444445</v>
      </c>
      <c r="Y185" s="65">
        <v>0.27430555555555558</v>
      </c>
      <c r="Z185" s="37" t="s">
        <v>97</v>
      </c>
      <c r="AA185" s="37"/>
      <c r="AB185" s="37">
        <v>4</v>
      </c>
      <c r="AC185" s="37">
        <v>18</v>
      </c>
      <c r="AD185" s="37">
        <v>4</v>
      </c>
      <c r="AE185" s="37">
        <v>5</v>
      </c>
      <c r="AF185" s="167">
        <v>45836</v>
      </c>
    </row>
    <row r="186" spans="1:32" s="28" customFormat="1" x14ac:dyDescent="0.25">
      <c r="A186" s="35">
        <v>45837</v>
      </c>
      <c r="B186" s="36"/>
      <c r="C186" s="37"/>
      <c r="D186" s="37"/>
      <c r="E186" s="65"/>
      <c r="F186" s="65"/>
      <c r="G186" s="65"/>
      <c r="H186" s="65"/>
      <c r="I186" s="38">
        <f t="shared" si="6"/>
        <v>0</v>
      </c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</row>
    <row r="187" spans="1:32" s="28" customFormat="1" x14ac:dyDescent="0.25">
      <c r="A187" s="35">
        <v>45838</v>
      </c>
      <c r="B187" s="36" t="s">
        <v>621</v>
      </c>
      <c r="C187" s="37" t="s">
        <v>35</v>
      </c>
      <c r="D187" s="37">
        <v>46</v>
      </c>
      <c r="E187" s="65">
        <v>0.125</v>
      </c>
      <c r="F187" s="65">
        <v>0.13055555555555556</v>
      </c>
      <c r="G187" s="65">
        <v>0.1875</v>
      </c>
      <c r="H187" s="65">
        <v>0.17916666666666667</v>
      </c>
      <c r="I187" s="38">
        <f t="shared" si="6"/>
        <v>4.8611111111111105E-2</v>
      </c>
      <c r="J187" s="37">
        <v>0</v>
      </c>
      <c r="K187" s="37">
        <v>0</v>
      </c>
      <c r="L187" s="37" t="s">
        <v>33</v>
      </c>
      <c r="M187" s="37">
        <v>11</v>
      </c>
      <c r="N187" s="37">
        <v>0</v>
      </c>
      <c r="O187" s="37">
        <v>0</v>
      </c>
      <c r="P187" s="37">
        <v>0</v>
      </c>
      <c r="Q187" s="37">
        <v>0</v>
      </c>
      <c r="R187" s="65">
        <v>0.13263888888888889</v>
      </c>
      <c r="S187" s="37">
        <v>308</v>
      </c>
      <c r="T187" s="65">
        <v>0.13263888888888889</v>
      </c>
      <c r="U187" s="65">
        <v>0.16944444444444445</v>
      </c>
      <c r="V187" s="65">
        <v>0.13263888888888889</v>
      </c>
      <c r="W187" s="65">
        <v>0.16944444444444445</v>
      </c>
      <c r="X187" s="65">
        <v>0.1423611111111111</v>
      </c>
      <c r="Y187" s="65">
        <v>0.17847222222222223</v>
      </c>
      <c r="Z187" s="37" t="s">
        <v>97</v>
      </c>
      <c r="AA187" s="37"/>
      <c r="AB187" s="37">
        <v>10</v>
      </c>
      <c r="AC187" s="37">
        <v>18</v>
      </c>
      <c r="AD187" s="37">
        <v>0</v>
      </c>
      <c r="AE187" s="37">
        <v>6</v>
      </c>
      <c r="AF187" s="167">
        <v>45838</v>
      </c>
    </row>
    <row r="188" spans="1:32" s="28" customFormat="1" x14ac:dyDescent="0.25">
      <c r="A188" s="35">
        <v>45839</v>
      </c>
      <c r="B188" s="36" t="s">
        <v>621</v>
      </c>
      <c r="C188" s="37" t="s">
        <v>32</v>
      </c>
      <c r="D188" s="37">
        <v>43</v>
      </c>
      <c r="E188" s="65">
        <v>0.1736111111111111</v>
      </c>
      <c r="F188" s="65">
        <v>0.22569444444444445</v>
      </c>
      <c r="G188" s="65">
        <v>0.24305555555555555</v>
      </c>
      <c r="H188" s="65">
        <v>0.28194444444444444</v>
      </c>
      <c r="I188" s="38">
        <f t="shared" si="6"/>
        <v>5.6249999999999994E-2</v>
      </c>
      <c r="J188" s="65">
        <v>3.888888888888889E-2</v>
      </c>
      <c r="K188" s="37" t="s">
        <v>50</v>
      </c>
      <c r="L188" s="37" t="s">
        <v>604</v>
      </c>
      <c r="M188" s="37">
        <v>12</v>
      </c>
      <c r="N188" s="37">
        <v>0</v>
      </c>
      <c r="O188" s="37">
        <v>0</v>
      </c>
      <c r="P188" s="37">
        <v>0</v>
      </c>
      <c r="Q188" s="37">
        <v>0</v>
      </c>
      <c r="R188" s="65">
        <v>0.22847222222222222</v>
      </c>
      <c r="S188" s="65">
        <v>0.2638888888888889</v>
      </c>
      <c r="T188" s="65">
        <v>0.22847222222222222</v>
      </c>
      <c r="U188" s="65">
        <v>0.25</v>
      </c>
      <c r="V188" s="65">
        <v>0.25069444444444444</v>
      </c>
      <c r="W188" s="65">
        <v>0.2638888888888889</v>
      </c>
      <c r="X188" s="65">
        <v>0.23958333333333334</v>
      </c>
      <c r="Y188" s="65">
        <v>0.28194444444444444</v>
      </c>
      <c r="Z188" s="37" t="s">
        <v>708</v>
      </c>
      <c r="AA188" s="37"/>
      <c r="AB188" s="37">
        <v>11</v>
      </c>
      <c r="AC188" s="37">
        <v>19</v>
      </c>
      <c r="AD188" s="37">
        <v>3</v>
      </c>
      <c r="AE188" s="37">
        <v>10</v>
      </c>
      <c r="AF188" s="167">
        <v>45839</v>
      </c>
    </row>
    <row r="189" spans="1:32" s="28" customFormat="1" x14ac:dyDescent="0.25">
      <c r="A189" s="35">
        <v>45840</v>
      </c>
      <c r="B189" s="36" t="s">
        <v>621</v>
      </c>
      <c r="C189" s="37" t="s">
        <v>35</v>
      </c>
      <c r="D189" s="37">
        <v>44</v>
      </c>
      <c r="E189" s="65">
        <v>0.1736111111111111</v>
      </c>
      <c r="F189" s="65">
        <v>0.20208333333333334</v>
      </c>
      <c r="G189" s="65">
        <v>0.24305555555555555</v>
      </c>
      <c r="H189" s="65">
        <v>0.25763888888888886</v>
      </c>
      <c r="I189" s="38">
        <f t="shared" si="6"/>
        <v>5.5555555555555525E-2</v>
      </c>
      <c r="J189" s="65">
        <v>1.4583333333333334E-2</v>
      </c>
      <c r="K189" s="37" t="s">
        <v>739</v>
      </c>
      <c r="L189" s="37" t="s">
        <v>604</v>
      </c>
      <c r="M189" s="37">
        <v>11</v>
      </c>
      <c r="N189" s="37">
        <v>0</v>
      </c>
      <c r="O189" s="37">
        <v>0</v>
      </c>
      <c r="P189" s="37">
        <v>0</v>
      </c>
      <c r="Q189" s="37">
        <v>0</v>
      </c>
      <c r="R189" s="65">
        <v>0.20347222222222222</v>
      </c>
      <c r="S189" s="65">
        <v>0.24652777777777779</v>
      </c>
      <c r="T189" s="65">
        <v>0.20555555555555555</v>
      </c>
      <c r="U189" s="65">
        <v>0.22361111111111112</v>
      </c>
      <c r="V189" s="65">
        <v>0.22430555555555556</v>
      </c>
      <c r="W189" s="65">
        <v>0.24652777777777779</v>
      </c>
      <c r="X189" s="65">
        <v>0.22291666666666668</v>
      </c>
      <c r="Y189" s="65">
        <v>0.25486111111111109</v>
      </c>
      <c r="Z189" s="37" t="s">
        <v>40</v>
      </c>
      <c r="AA189" s="37"/>
      <c r="AB189" s="37">
        <v>4</v>
      </c>
      <c r="AC189" s="37">
        <v>23</v>
      </c>
      <c r="AD189" s="37">
        <v>7</v>
      </c>
      <c r="AE189" s="37">
        <v>7</v>
      </c>
      <c r="AF189" s="167">
        <v>45840</v>
      </c>
    </row>
    <row r="190" spans="1:32" s="28" customFormat="1" x14ac:dyDescent="0.25">
      <c r="A190" s="35">
        <v>45841</v>
      </c>
      <c r="B190" s="36" t="s">
        <v>621</v>
      </c>
      <c r="C190" s="37" t="s">
        <v>48</v>
      </c>
      <c r="D190" s="37">
        <v>44</v>
      </c>
      <c r="E190" s="65">
        <v>0.1736111111111111</v>
      </c>
      <c r="F190" s="65">
        <v>0.28749999999999998</v>
      </c>
      <c r="G190" s="65">
        <v>0.24305555555555555</v>
      </c>
      <c r="H190" s="65">
        <v>0.35208333333333336</v>
      </c>
      <c r="I190" s="38">
        <f t="shared" si="6"/>
        <v>6.4583333333333381E-2</v>
      </c>
      <c r="J190" s="65">
        <v>0.10902777777777778</v>
      </c>
      <c r="K190" s="37" t="s">
        <v>50</v>
      </c>
      <c r="L190" s="37" t="s">
        <v>604</v>
      </c>
      <c r="M190" s="37">
        <v>11</v>
      </c>
      <c r="N190" s="37">
        <v>0</v>
      </c>
      <c r="O190" s="37">
        <v>0</v>
      </c>
      <c r="P190" s="37">
        <v>0</v>
      </c>
      <c r="Q190" s="37">
        <v>0</v>
      </c>
      <c r="R190" s="65">
        <v>0.2902777777777778</v>
      </c>
      <c r="S190" s="65">
        <v>0.2986111111111111</v>
      </c>
      <c r="T190" s="65">
        <v>0.2902777777777778</v>
      </c>
      <c r="U190" s="65">
        <v>0.29930555555555555</v>
      </c>
      <c r="V190" s="65">
        <v>0.3</v>
      </c>
      <c r="W190" s="65">
        <v>0.32916666666666666</v>
      </c>
      <c r="X190" s="65">
        <v>0.30833333333333335</v>
      </c>
      <c r="Y190" s="65">
        <v>0.35208333333333336</v>
      </c>
      <c r="Z190" s="37" t="s">
        <v>40</v>
      </c>
      <c r="AA190" s="37"/>
      <c r="AB190" s="37">
        <v>9</v>
      </c>
      <c r="AC190" s="37">
        <v>18</v>
      </c>
      <c r="AD190" s="37">
        <v>6</v>
      </c>
      <c r="AE190" s="37">
        <v>7</v>
      </c>
      <c r="AF190" s="167">
        <v>45841</v>
      </c>
    </row>
    <row r="191" spans="1:32" s="28" customFormat="1" x14ac:dyDescent="0.25">
      <c r="A191" s="35">
        <v>45842</v>
      </c>
      <c r="B191" s="36" t="s">
        <v>621</v>
      </c>
      <c r="C191" s="37" t="s">
        <v>35</v>
      </c>
      <c r="D191" s="37">
        <v>44</v>
      </c>
      <c r="E191" s="65">
        <v>0.1736111111111111</v>
      </c>
      <c r="F191" s="65">
        <v>0.22222222222222221</v>
      </c>
      <c r="G191" s="65">
        <v>0.24305555555555555</v>
      </c>
      <c r="H191" s="65">
        <v>0.27638888888888891</v>
      </c>
      <c r="I191" s="38">
        <f t="shared" si="6"/>
        <v>5.4166666666666696E-2</v>
      </c>
      <c r="J191" s="65">
        <v>3.3333333333333333E-2</v>
      </c>
      <c r="K191" s="37" t="s">
        <v>50</v>
      </c>
      <c r="L191" s="65" t="s">
        <v>604</v>
      </c>
      <c r="M191" s="37">
        <v>11</v>
      </c>
      <c r="N191" s="37">
        <v>0</v>
      </c>
      <c r="O191" s="37">
        <v>0</v>
      </c>
      <c r="P191" s="37">
        <v>0</v>
      </c>
      <c r="Q191" s="37">
        <v>0</v>
      </c>
      <c r="R191" s="65">
        <v>0.22083333333333333</v>
      </c>
      <c r="S191" s="65">
        <v>0.22152777777777777</v>
      </c>
      <c r="T191" s="65">
        <v>0.22569444444444445</v>
      </c>
      <c r="U191" s="65">
        <v>0.24513888888888888</v>
      </c>
      <c r="V191" s="65">
        <v>0.2326388888888889</v>
      </c>
      <c r="W191" s="65">
        <v>0.26250000000000001</v>
      </c>
      <c r="X191" s="65">
        <v>0.2326388888888889</v>
      </c>
      <c r="Y191" s="65">
        <v>0.27430555555555558</v>
      </c>
      <c r="Z191" s="37" t="s">
        <v>97</v>
      </c>
      <c r="AA191" s="37"/>
      <c r="AB191" s="37">
        <v>5</v>
      </c>
      <c r="AC191" s="37">
        <v>22</v>
      </c>
      <c r="AD191" s="37">
        <v>6</v>
      </c>
      <c r="AE191" s="37">
        <v>4</v>
      </c>
      <c r="AF191" s="167">
        <v>45842</v>
      </c>
    </row>
    <row r="192" spans="1:32" s="28" customFormat="1" x14ac:dyDescent="0.25">
      <c r="A192" s="35">
        <v>45843</v>
      </c>
      <c r="B192" s="36" t="s">
        <v>621</v>
      </c>
      <c r="C192" s="37" t="s">
        <v>32</v>
      </c>
      <c r="D192" s="37">
        <v>43</v>
      </c>
      <c r="E192" s="65">
        <v>0.21527777777777779</v>
      </c>
      <c r="F192" s="65">
        <v>0.27083333333333331</v>
      </c>
      <c r="G192" s="65">
        <v>0.27777777777777779</v>
      </c>
      <c r="H192" s="65">
        <v>0.32569444444444445</v>
      </c>
      <c r="I192" s="38">
        <f t="shared" si="6"/>
        <v>5.4861111111111138E-2</v>
      </c>
      <c r="J192" s="65">
        <v>4.791666666666667E-2</v>
      </c>
      <c r="K192" s="37" t="s">
        <v>50</v>
      </c>
      <c r="L192" s="37" t="s">
        <v>604</v>
      </c>
      <c r="M192" s="37">
        <v>11</v>
      </c>
      <c r="N192" s="37">
        <v>0</v>
      </c>
      <c r="O192" s="37">
        <v>0</v>
      </c>
      <c r="P192" s="37">
        <v>0</v>
      </c>
      <c r="Q192" s="37">
        <v>0</v>
      </c>
      <c r="R192" s="65">
        <v>0.2722222222222222</v>
      </c>
      <c r="S192" s="65">
        <v>0.31041666666666667</v>
      </c>
      <c r="T192" s="65">
        <v>0.31458333333333333</v>
      </c>
      <c r="U192" s="65">
        <v>0.31041666666666667</v>
      </c>
      <c r="V192" s="65">
        <v>0.28125</v>
      </c>
      <c r="W192" s="65">
        <v>0.31041666666666667</v>
      </c>
      <c r="X192" s="130">
        <v>2.90625</v>
      </c>
      <c r="Y192" s="65">
        <v>0.31944444444444442</v>
      </c>
      <c r="Z192" s="37" t="s">
        <v>708</v>
      </c>
      <c r="AA192" s="37"/>
      <c r="AB192" s="37">
        <v>14</v>
      </c>
      <c r="AC192" s="37">
        <v>28</v>
      </c>
      <c r="AD192" s="37">
        <v>4</v>
      </c>
      <c r="AE192" s="37">
        <v>4</v>
      </c>
      <c r="AF192" s="167">
        <v>45842</v>
      </c>
    </row>
    <row r="193" spans="1:32" s="28" customFormat="1" x14ac:dyDescent="0.25">
      <c r="A193" s="35">
        <v>45844</v>
      </c>
      <c r="B193" s="36"/>
      <c r="C193" s="37"/>
      <c r="D193" s="37"/>
      <c r="E193" s="37"/>
      <c r="F193" s="37"/>
      <c r="G193" s="37"/>
      <c r="H193" s="37"/>
      <c r="I193" s="38">
        <f t="shared" si="6"/>
        <v>0</v>
      </c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167"/>
    </row>
    <row r="194" spans="1:32" s="28" customFormat="1" x14ac:dyDescent="0.25">
      <c r="A194" s="35">
        <v>45845</v>
      </c>
      <c r="B194" s="36" t="s">
        <v>621</v>
      </c>
      <c r="C194" s="37" t="s">
        <v>48</v>
      </c>
      <c r="D194" s="37">
        <v>44</v>
      </c>
      <c r="E194" s="65">
        <v>0.13194444444444445</v>
      </c>
      <c r="F194" s="65">
        <v>0.15694444444444444</v>
      </c>
      <c r="G194" s="65">
        <v>0.1875</v>
      </c>
      <c r="H194" s="65">
        <v>0.22777777777777777</v>
      </c>
      <c r="I194" s="38">
        <f t="shared" si="6"/>
        <v>7.0833333333333331E-2</v>
      </c>
      <c r="J194" s="65">
        <v>4.027777777777778E-2</v>
      </c>
      <c r="K194" s="37" t="s">
        <v>740</v>
      </c>
      <c r="L194" s="37" t="s">
        <v>741</v>
      </c>
      <c r="M194" s="37">
        <v>12</v>
      </c>
      <c r="N194" s="37">
        <v>0</v>
      </c>
      <c r="O194" s="37">
        <v>0</v>
      </c>
      <c r="P194" s="37">
        <v>0</v>
      </c>
      <c r="Q194" s="37">
        <v>0</v>
      </c>
      <c r="R194" s="65">
        <v>0.16875000000000001</v>
      </c>
      <c r="S194" s="65">
        <v>0.21527777777777779</v>
      </c>
      <c r="T194" s="65">
        <v>0.16875000000000001</v>
      </c>
      <c r="U194" s="65">
        <v>0.19097222222222221</v>
      </c>
      <c r="V194" s="65">
        <v>0.19166666666666668</v>
      </c>
      <c r="W194" s="65">
        <v>0.21527777777777779</v>
      </c>
      <c r="X194" s="65">
        <v>0.17986111111111111</v>
      </c>
      <c r="Y194" s="65">
        <v>0.22013888888888888</v>
      </c>
      <c r="Z194" s="37" t="s">
        <v>708</v>
      </c>
      <c r="AA194" s="37"/>
      <c r="AB194" s="37">
        <v>10</v>
      </c>
      <c r="AC194" s="37">
        <v>20</v>
      </c>
      <c r="AD194" s="37">
        <v>7</v>
      </c>
      <c r="AE194" s="37">
        <v>6</v>
      </c>
      <c r="AF194" s="167">
        <v>45845</v>
      </c>
    </row>
    <row r="195" spans="1:32" s="28" customFormat="1" x14ac:dyDescent="0.25">
      <c r="A195" s="35">
        <v>45846</v>
      </c>
      <c r="B195" s="36" t="s">
        <v>621</v>
      </c>
      <c r="C195" s="37" t="s">
        <v>46</v>
      </c>
      <c r="D195" s="37">
        <v>43</v>
      </c>
      <c r="E195" s="65">
        <v>0.1736111111111111</v>
      </c>
      <c r="F195" s="65">
        <v>0.15902777777777777</v>
      </c>
      <c r="G195" s="65">
        <v>0.24305555555555555</v>
      </c>
      <c r="H195" s="65">
        <v>0.21041666666666667</v>
      </c>
      <c r="I195" s="38">
        <f t="shared" si="6"/>
        <v>5.1388888888888901E-2</v>
      </c>
      <c r="J195" s="37">
        <v>0</v>
      </c>
      <c r="K195" s="37">
        <v>0</v>
      </c>
      <c r="L195" s="37" t="s">
        <v>33</v>
      </c>
      <c r="M195" s="37">
        <v>11</v>
      </c>
      <c r="N195" s="37">
        <v>0</v>
      </c>
      <c r="O195" s="37">
        <v>0</v>
      </c>
      <c r="P195" s="37">
        <v>0</v>
      </c>
      <c r="Q195" s="37">
        <v>0</v>
      </c>
      <c r="R195" s="65">
        <v>0.16180555555555556</v>
      </c>
      <c r="S195" s="65">
        <v>0.20208333333333334</v>
      </c>
      <c r="T195" s="65">
        <v>0.16319444444444445</v>
      </c>
      <c r="U195" s="65">
        <v>0.18472222222222223</v>
      </c>
      <c r="V195" s="65">
        <v>0.18472222222222223</v>
      </c>
      <c r="W195" s="65">
        <v>0.2013888888888889</v>
      </c>
      <c r="X195" s="65">
        <v>0.17847222222222223</v>
      </c>
      <c r="Y195" s="65">
        <v>0.20833333333333334</v>
      </c>
      <c r="Z195" s="37" t="s">
        <v>708</v>
      </c>
      <c r="AA195" s="37"/>
      <c r="AB195" s="37">
        <v>20</v>
      </c>
      <c r="AC195" s="37">
        <v>18</v>
      </c>
      <c r="AD195" s="37">
        <v>8</v>
      </c>
      <c r="AE195" s="37">
        <v>0</v>
      </c>
      <c r="AF195" s="167">
        <v>45846</v>
      </c>
    </row>
    <row r="196" spans="1:32" s="28" customFormat="1" x14ac:dyDescent="0.25">
      <c r="A196" s="35">
        <v>45847</v>
      </c>
      <c r="B196" s="36" t="s">
        <v>621</v>
      </c>
      <c r="C196" s="37" t="s">
        <v>48</v>
      </c>
      <c r="D196" s="37">
        <v>43</v>
      </c>
      <c r="E196" s="65">
        <v>0.1736111111111111</v>
      </c>
      <c r="F196" s="65">
        <v>0.26805555555555555</v>
      </c>
      <c r="G196" s="65">
        <v>0.24305555555555555</v>
      </c>
      <c r="H196" s="65">
        <v>0.31874999999999998</v>
      </c>
      <c r="I196" s="38">
        <f t="shared" si="6"/>
        <v>5.0694444444444431E-2</v>
      </c>
      <c r="J196" s="65">
        <v>7.5694444444444439E-2</v>
      </c>
      <c r="K196" s="37" t="s">
        <v>50</v>
      </c>
      <c r="L196" s="37" t="s">
        <v>604</v>
      </c>
      <c r="M196" s="37">
        <v>11</v>
      </c>
      <c r="N196" s="37">
        <v>0</v>
      </c>
      <c r="O196" s="37">
        <v>0</v>
      </c>
      <c r="P196" s="37">
        <v>0</v>
      </c>
      <c r="Q196" s="37">
        <v>0</v>
      </c>
      <c r="R196" s="65">
        <v>0.26874999999999999</v>
      </c>
      <c r="S196" s="65">
        <v>0.31041666666666667</v>
      </c>
      <c r="T196" s="65">
        <v>0.26874999999999999</v>
      </c>
      <c r="U196" s="65">
        <v>0.28958333333333336</v>
      </c>
      <c r="V196" s="65">
        <v>0.2902777777777778</v>
      </c>
      <c r="W196" s="65">
        <v>0.31041666666666667</v>
      </c>
      <c r="X196" s="65">
        <v>0.28819444444444442</v>
      </c>
      <c r="Y196" s="65">
        <v>0.31736111111111109</v>
      </c>
      <c r="Z196" s="37" t="s">
        <v>40</v>
      </c>
      <c r="AA196" s="37"/>
      <c r="AB196" s="37">
        <v>11</v>
      </c>
      <c r="AC196" s="37">
        <v>22</v>
      </c>
      <c r="AD196" s="37">
        <v>5</v>
      </c>
      <c r="AE196" s="37">
        <v>12</v>
      </c>
      <c r="AF196" s="167">
        <v>45847</v>
      </c>
    </row>
    <row r="197" spans="1:32" s="28" customFormat="1" x14ac:dyDescent="0.25">
      <c r="A197" s="35">
        <v>45848</v>
      </c>
      <c r="B197" s="36" t="s">
        <v>621</v>
      </c>
      <c r="C197" s="37" t="s">
        <v>46</v>
      </c>
      <c r="D197" s="37">
        <v>43</v>
      </c>
      <c r="E197" s="65">
        <v>0.1736111111111111</v>
      </c>
      <c r="F197" s="65">
        <v>0.18055555555555555</v>
      </c>
      <c r="G197" s="65">
        <v>0.24305555555555555</v>
      </c>
      <c r="H197" s="65">
        <v>0.2326388888888889</v>
      </c>
      <c r="I197" s="38">
        <f t="shared" si="6"/>
        <v>5.2083333333333343E-2</v>
      </c>
      <c r="J197" s="37">
        <v>0</v>
      </c>
      <c r="K197" s="37">
        <v>0</v>
      </c>
      <c r="L197" s="37" t="s">
        <v>33</v>
      </c>
      <c r="M197" s="37">
        <v>11</v>
      </c>
      <c r="N197" s="37">
        <v>0</v>
      </c>
      <c r="O197" s="37">
        <v>0</v>
      </c>
      <c r="P197" s="37">
        <v>0</v>
      </c>
      <c r="Q197" s="37">
        <v>0</v>
      </c>
      <c r="R197" s="65">
        <v>0.18402777777777779</v>
      </c>
      <c r="S197" s="65">
        <v>0.17986111111111111</v>
      </c>
      <c r="T197" s="65">
        <v>0.18611111111111112</v>
      </c>
      <c r="U197" s="65">
        <v>0.22083333333333333</v>
      </c>
      <c r="V197" s="65">
        <v>0.2</v>
      </c>
      <c r="W197" s="65">
        <v>0.22083333333333333</v>
      </c>
      <c r="X197" s="65">
        <v>0.19444444444444445</v>
      </c>
      <c r="Y197" s="65">
        <v>0.23125000000000001</v>
      </c>
      <c r="Z197" s="37" t="s">
        <v>97</v>
      </c>
      <c r="AA197" s="37"/>
      <c r="AB197" s="37">
        <v>0</v>
      </c>
      <c r="AC197" s="37">
        <v>13</v>
      </c>
      <c r="AD197" s="37">
        <v>0</v>
      </c>
      <c r="AE197" s="37">
        <v>19</v>
      </c>
      <c r="AF197" s="167">
        <v>45848</v>
      </c>
    </row>
    <row r="198" spans="1:32" s="28" customFormat="1" x14ac:dyDescent="0.25">
      <c r="A198" s="35">
        <v>45849</v>
      </c>
      <c r="B198" s="36" t="s">
        <v>621</v>
      </c>
      <c r="C198" s="37" t="s">
        <v>35</v>
      </c>
      <c r="D198" s="37">
        <v>45</v>
      </c>
      <c r="E198" s="65">
        <v>0.1736111111111111</v>
      </c>
      <c r="F198" s="65">
        <v>0.15</v>
      </c>
      <c r="G198" s="65">
        <v>0.24305555555555555</v>
      </c>
      <c r="H198" s="65">
        <v>0.20624999999999999</v>
      </c>
      <c r="I198" s="38">
        <f t="shared" si="6"/>
        <v>5.6249999999999994E-2</v>
      </c>
      <c r="J198" s="37">
        <v>0</v>
      </c>
      <c r="K198" s="37">
        <v>0</v>
      </c>
      <c r="L198" s="37" t="s">
        <v>33</v>
      </c>
      <c r="M198" s="37">
        <v>11</v>
      </c>
      <c r="N198" s="37">
        <v>0</v>
      </c>
      <c r="O198" s="37">
        <v>0</v>
      </c>
      <c r="P198" s="37">
        <v>0</v>
      </c>
      <c r="Q198" s="37">
        <v>0</v>
      </c>
      <c r="R198" s="65">
        <v>0.15208333333333332</v>
      </c>
      <c r="S198" s="65">
        <v>0.2</v>
      </c>
      <c r="T198" s="65">
        <v>0.15347222222222223</v>
      </c>
      <c r="U198" s="65">
        <v>0.19930555555555557</v>
      </c>
      <c r="V198" s="65">
        <v>0.17499999999999999</v>
      </c>
      <c r="W198" s="65">
        <v>0.19930555555555557</v>
      </c>
      <c r="X198" s="65">
        <v>0.16666666666666666</v>
      </c>
      <c r="Y198" s="65">
        <v>0.20624999999999999</v>
      </c>
      <c r="Z198" s="37" t="s">
        <v>708</v>
      </c>
      <c r="AA198" s="37"/>
      <c r="AB198" s="37">
        <v>10</v>
      </c>
      <c r="AC198" s="37">
        <v>14</v>
      </c>
      <c r="AD198" s="37">
        <v>9</v>
      </c>
      <c r="AE198" s="37">
        <v>10</v>
      </c>
      <c r="AF198" s="167">
        <v>45849</v>
      </c>
    </row>
    <row r="199" spans="1:32" s="28" customFormat="1" x14ac:dyDescent="0.25">
      <c r="A199" s="35">
        <v>45850</v>
      </c>
      <c r="B199" s="36" t="s">
        <v>621</v>
      </c>
      <c r="C199" s="37" t="s">
        <v>38</v>
      </c>
      <c r="D199" s="37">
        <v>44</v>
      </c>
      <c r="E199" s="65">
        <v>0.21527777777777779</v>
      </c>
      <c r="F199" s="65">
        <v>0.24513888888888888</v>
      </c>
      <c r="G199" s="65">
        <v>0.27777777777777779</v>
      </c>
      <c r="H199" s="65">
        <v>0.30694444444444446</v>
      </c>
      <c r="I199" s="38">
        <f t="shared" si="6"/>
        <v>6.1805555555555586E-2</v>
      </c>
      <c r="J199" s="65">
        <v>2.9861111111111113E-2</v>
      </c>
      <c r="K199" s="37" t="s">
        <v>50</v>
      </c>
      <c r="L199" s="37" t="s">
        <v>604</v>
      </c>
      <c r="M199" s="37">
        <v>11</v>
      </c>
      <c r="N199" s="65">
        <v>0.24583333333333332</v>
      </c>
      <c r="O199" s="65">
        <v>0.30902777777777779</v>
      </c>
      <c r="P199" s="37">
        <v>0</v>
      </c>
      <c r="Q199" s="37">
        <v>0</v>
      </c>
      <c r="R199" s="65">
        <v>0.24652777777777779</v>
      </c>
      <c r="S199" s="65">
        <v>0.29166666666666669</v>
      </c>
      <c r="T199" s="65">
        <v>0.24861111111111112</v>
      </c>
      <c r="U199" s="65">
        <v>0.27500000000000002</v>
      </c>
      <c r="V199" s="65">
        <v>0.27777777777777779</v>
      </c>
      <c r="W199" s="65">
        <v>0.29166666666666669</v>
      </c>
      <c r="X199" s="65">
        <v>0.26180555555555557</v>
      </c>
      <c r="Y199" s="65">
        <v>0.30138888888888887</v>
      </c>
      <c r="Z199" s="37" t="s">
        <v>40</v>
      </c>
      <c r="AA199" s="37"/>
      <c r="AB199" s="37">
        <v>16</v>
      </c>
      <c r="AC199" s="37">
        <v>16</v>
      </c>
      <c r="AD199" s="37">
        <v>5</v>
      </c>
      <c r="AE199" s="37">
        <v>9</v>
      </c>
      <c r="AF199" s="167">
        <v>45850</v>
      </c>
    </row>
    <row r="200" spans="1:32" s="28" customFormat="1" x14ac:dyDescent="0.25">
      <c r="A200" s="35">
        <v>45851</v>
      </c>
      <c r="B200" s="36" t="s">
        <v>742</v>
      </c>
      <c r="C200" s="37" t="s">
        <v>743</v>
      </c>
      <c r="D200" s="37">
        <v>44</v>
      </c>
      <c r="E200" s="65">
        <v>0.1736111111111111</v>
      </c>
      <c r="F200" s="65">
        <v>0.16875000000000001</v>
      </c>
      <c r="G200" s="65">
        <v>0.24305555555555555</v>
      </c>
      <c r="H200" s="65">
        <v>0.25972222222222224</v>
      </c>
      <c r="I200" s="38">
        <f t="shared" si="6"/>
        <v>9.0972222222222232E-2</v>
      </c>
      <c r="J200" s="65">
        <v>9.7222222222222224E-3</v>
      </c>
      <c r="K200" s="37">
        <v>61</v>
      </c>
      <c r="L200" s="37" t="s">
        <v>744</v>
      </c>
      <c r="M200" s="37">
        <v>11</v>
      </c>
      <c r="N200" s="37">
        <v>0</v>
      </c>
      <c r="O200" s="37">
        <v>0</v>
      </c>
      <c r="P200" s="37">
        <v>0</v>
      </c>
      <c r="Q200" s="37">
        <v>0</v>
      </c>
      <c r="R200" s="65">
        <v>0.16875000000000001</v>
      </c>
      <c r="S200" s="65">
        <v>0.2013888888888889</v>
      </c>
      <c r="T200" s="65">
        <v>0.1701388888888889</v>
      </c>
      <c r="U200" s="65">
        <v>0.1875</v>
      </c>
      <c r="V200" s="65">
        <v>0.18819444444444444</v>
      </c>
      <c r="W200" s="65">
        <v>0.2013888888888889</v>
      </c>
      <c r="X200" s="65">
        <v>0.1875</v>
      </c>
      <c r="Y200" s="65">
        <v>0.25972222222222224</v>
      </c>
      <c r="Z200" s="37" t="s">
        <v>40</v>
      </c>
      <c r="AA200" s="37"/>
      <c r="AB200" s="37">
        <v>20</v>
      </c>
      <c r="AC200" s="37">
        <v>7</v>
      </c>
      <c r="AD200" s="37">
        <v>5</v>
      </c>
      <c r="AE200" s="37">
        <v>8</v>
      </c>
      <c r="AF200" s="167">
        <v>45851</v>
      </c>
    </row>
    <row r="201" spans="1:32" s="28" customFormat="1" x14ac:dyDescent="0.25">
      <c r="A201" s="35">
        <v>45852</v>
      </c>
      <c r="B201" s="36" t="s">
        <v>621</v>
      </c>
      <c r="C201" s="37" t="s">
        <v>46</v>
      </c>
      <c r="D201" s="37">
        <v>43</v>
      </c>
      <c r="E201" s="65">
        <v>0.13194444444444445</v>
      </c>
      <c r="F201" s="65">
        <v>0.23819444444444443</v>
      </c>
      <c r="G201" s="65">
        <v>0.1875</v>
      </c>
      <c r="H201" s="65">
        <v>0.35486111111111113</v>
      </c>
      <c r="I201" s="38">
        <f t="shared" si="6"/>
        <v>0.1166666666666667</v>
      </c>
      <c r="J201" s="65">
        <v>0.1673611111111111</v>
      </c>
      <c r="K201" s="37" t="s">
        <v>745</v>
      </c>
      <c r="L201" s="37" t="s">
        <v>746</v>
      </c>
      <c r="M201" s="37">
        <v>11</v>
      </c>
      <c r="N201" s="37">
        <v>0</v>
      </c>
      <c r="O201" s="37">
        <v>0</v>
      </c>
      <c r="P201" s="37">
        <v>0</v>
      </c>
      <c r="Q201" s="37">
        <v>0</v>
      </c>
      <c r="R201" s="65">
        <v>0.23819444444444443</v>
      </c>
      <c r="S201" s="65">
        <v>0.27777777777777779</v>
      </c>
      <c r="T201" s="65">
        <v>0.23819444444444443</v>
      </c>
      <c r="U201" s="65">
        <v>0.26041666666666669</v>
      </c>
      <c r="V201" s="65">
        <v>0.26041666666666669</v>
      </c>
      <c r="W201" s="65">
        <v>0.27777777777777779</v>
      </c>
      <c r="X201" s="65">
        <v>0.24444444444444444</v>
      </c>
      <c r="Y201" s="65">
        <v>0.35486111111111113</v>
      </c>
      <c r="Z201" s="37" t="s">
        <v>708</v>
      </c>
      <c r="AA201" s="37"/>
      <c r="AB201" s="37">
        <v>10</v>
      </c>
      <c r="AC201" s="37">
        <v>15</v>
      </c>
      <c r="AD201" s="37">
        <v>3</v>
      </c>
      <c r="AE201" s="37">
        <v>16</v>
      </c>
      <c r="AF201" s="167">
        <v>45852</v>
      </c>
    </row>
    <row r="202" spans="1:32" s="28" customFormat="1" x14ac:dyDescent="0.25">
      <c r="A202" s="35">
        <v>45853</v>
      </c>
      <c r="B202" s="36" t="s">
        <v>621</v>
      </c>
      <c r="C202" s="37" t="s">
        <v>48</v>
      </c>
      <c r="D202" s="37">
        <v>46</v>
      </c>
      <c r="E202" s="65">
        <v>0.1736111111111111</v>
      </c>
      <c r="F202" s="65">
        <v>0.18472222222222223</v>
      </c>
      <c r="G202" s="65">
        <v>0.24305555555555555</v>
      </c>
      <c r="H202" s="65">
        <v>0.30416666666666664</v>
      </c>
      <c r="I202" s="38">
        <f t="shared" si="6"/>
        <v>0.11944444444444441</v>
      </c>
      <c r="J202" s="65">
        <v>6.1111111111111109E-2</v>
      </c>
      <c r="K202" s="37" t="s">
        <v>737</v>
      </c>
      <c r="L202" s="37" t="s">
        <v>738</v>
      </c>
      <c r="M202" s="37">
        <v>11</v>
      </c>
      <c r="N202" s="37">
        <v>0</v>
      </c>
      <c r="O202" s="37">
        <v>0</v>
      </c>
      <c r="P202" s="37">
        <v>0</v>
      </c>
      <c r="Q202" s="37">
        <v>0</v>
      </c>
      <c r="R202" s="65">
        <v>0.23055555555555557</v>
      </c>
      <c r="S202" s="65">
        <v>0.27361111111111114</v>
      </c>
      <c r="T202" s="65">
        <v>0.23194444444444445</v>
      </c>
      <c r="U202" s="65">
        <v>0.25208333333333333</v>
      </c>
      <c r="V202" s="65">
        <v>0.25208333333333333</v>
      </c>
      <c r="W202" s="65">
        <v>0.27291666666666664</v>
      </c>
      <c r="X202" s="65">
        <v>0.23541666666666666</v>
      </c>
      <c r="Y202" s="37"/>
      <c r="Z202" s="37" t="s">
        <v>97</v>
      </c>
      <c r="AA202" s="37"/>
      <c r="AB202" s="37">
        <v>20</v>
      </c>
      <c r="AC202" s="37">
        <v>3</v>
      </c>
      <c r="AD202" s="37">
        <v>0</v>
      </c>
      <c r="AE202" s="37">
        <v>19</v>
      </c>
      <c r="AF202" s="167">
        <v>45853</v>
      </c>
    </row>
    <row r="203" spans="1:32" s="28" customFormat="1" x14ac:dyDescent="0.25">
      <c r="A203" s="35">
        <v>45854</v>
      </c>
      <c r="B203" s="36" t="s">
        <v>621</v>
      </c>
      <c r="C203" s="37" t="s">
        <v>35</v>
      </c>
      <c r="D203" s="37">
        <v>44</v>
      </c>
      <c r="E203" s="65">
        <v>0.1736111111111111</v>
      </c>
      <c r="F203" s="65">
        <v>0.18472222222222223</v>
      </c>
      <c r="G203" s="65">
        <v>0.24305555555555555</v>
      </c>
      <c r="H203" s="65">
        <v>0.24652777777777779</v>
      </c>
      <c r="I203" s="38">
        <f t="shared" si="6"/>
        <v>6.1805555555555558E-2</v>
      </c>
      <c r="J203" s="65">
        <v>3.472222222222222E-3</v>
      </c>
      <c r="K203" s="37">
        <v>89</v>
      </c>
      <c r="L203" s="37" t="s">
        <v>747</v>
      </c>
      <c r="M203" s="37">
        <v>11</v>
      </c>
      <c r="N203" s="37">
        <v>0</v>
      </c>
      <c r="O203" s="37">
        <v>0</v>
      </c>
      <c r="P203" s="37">
        <v>0</v>
      </c>
      <c r="Q203" s="37">
        <v>0</v>
      </c>
      <c r="R203" s="65">
        <v>0.18611111111111112</v>
      </c>
      <c r="S203" s="65">
        <v>0.2388888888888889</v>
      </c>
      <c r="T203" s="65">
        <v>0.18611111111111112</v>
      </c>
      <c r="U203" s="65">
        <v>0.21388888888888888</v>
      </c>
      <c r="V203" s="65">
        <v>0.21458333333333332</v>
      </c>
      <c r="W203" s="65">
        <v>0.2388888888888889</v>
      </c>
      <c r="X203" s="65">
        <v>0.19444444444444445</v>
      </c>
      <c r="Y203" s="65">
        <v>0.24652777777777779</v>
      </c>
      <c r="Z203" s="37" t="s">
        <v>708</v>
      </c>
      <c r="AA203" s="37"/>
      <c r="AB203" s="37">
        <v>21</v>
      </c>
      <c r="AC203" s="37">
        <v>22</v>
      </c>
      <c r="AD203" s="37">
        <v>8</v>
      </c>
      <c r="AE203" s="37">
        <v>8</v>
      </c>
      <c r="AF203" s="167">
        <v>45854</v>
      </c>
    </row>
    <row r="204" spans="1:32" s="28" customFormat="1" x14ac:dyDescent="0.25">
      <c r="A204" s="35">
        <v>45855</v>
      </c>
      <c r="B204" s="36" t="s">
        <v>621</v>
      </c>
      <c r="C204" s="37" t="s">
        <v>38</v>
      </c>
      <c r="D204" s="37">
        <v>44</v>
      </c>
      <c r="E204" s="65">
        <v>0.1736111111111111</v>
      </c>
      <c r="F204" s="65">
        <v>0.19375000000000001</v>
      </c>
      <c r="G204" s="65">
        <v>0.24305555555555555</v>
      </c>
      <c r="H204" s="65">
        <v>0.25208333333333333</v>
      </c>
      <c r="I204" s="38">
        <f t="shared" si="6"/>
        <v>5.833333333333332E-2</v>
      </c>
      <c r="J204" s="65">
        <v>9.0277777777777769E-3</v>
      </c>
      <c r="K204" s="37" t="s">
        <v>50</v>
      </c>
      <c r="L204" s="37" t="s">
        <v>604</v>
      </c>
      <c r="M204" s="37">
        <v>11</v>
      </c>
      <c r="N204" s="37">
        <v>0</v>
      </c>
      <c r="O204" s="37">
        <v>0</v>
      </c>
      <c r="P204" s="37">
        <v>0</v>
      </c>
      <c r="Q204" s="37">
        <v>0</v>
      </c>
      <c r="R204" s="65">
        <v>0.18958333333333333</v>
      </c>
      <c r="S204" s="65">
        <v>0.20555555555555555</v>
      </c>
      <c r="T204" s="65">
        <v>0.19583333333333333</v>
      </c>
      <c r="U204" s="65">
        <v>0.21180555555555555</v>
      </c>
      <c r="V204" s="65">
        <v>0.20972222222222223</v>
      </c>
      <c r="W204" s="65">
        <v>0.24722222222222223</v>
      </c>
      <c r="X204" s="65">
        <v>0.21111111111111111</v>
      </c>
      <c r="Y204" s="65">
        <v>0.24930555555555556</v>
      </c>
      <c r="Z204" s="37" t="s">
        <v>708</v>
      </c>
      <c r="AA204" s="37"/>
      <c r="AB204" s="37">
        <v>10</v>
      </c>
      <c r="AC204" s="37">
        <v>25</v>
      </c>
      <c r="AD204" s="37">
        <v>5</v>
      </c>
      <c r="AE204" s="37">
        <v>10</v>
      </c>
      <c r="AF204" s="167">
        <v>45855</v>
      </c>
    </row>
    <row r="205" spans="1:32" s="28" customFormat="1" x14ac:dyDescent="0.25">
      <c r="A205" s="35">
        <v>45856</v>
      </c>
      <c r="B205" s="36" t="s">
        <v>621</v>
      </c>
      <c r="C205" s="37" t="s">
        <v>46</v>
      </c>
      <c r="D205" s="37">
        <v>43</v>
      </c>
      <c r="E205" s="65">
        <v>0.1736111111111111</v>
      </c>
      <c r="F205" s="65">
        <v>0.15833333333333333</v>
      </c>
      <c r="G205" s="65">
        <v>0.24305555555555555</v>
      </c>
      <c r="H205" s="65">
        <v>0.22222222222222221</v>
      </c>
      <c r="I205" s="38">
        <f t="shared" si="6"/>
        <v>6.3888888888888884E-2</v>
      </c>
      <c r="J205" s="37">
        <v>0</v>
      </c>
      <c r="K205" s="37">
        <v>0</v>
      </c>
      <c r="L205" s="37" t="s">
        <v>33</v>
      </c>
      <c r="M205" s="37">
        <v>11</v>
      </c>
      <c r="N205" s="37">
        <v>0</v>
      </c>
      <c r="O205" s="37">
        <v>0</v>
      </c>
      <c r="P205" s="37">
        <v>0</v>
      </c>
      <c r="Q205" s="37">
        <v>0</v>
      </c>
      <c r="R205" s="65">
        <v>0.16458333333333333</v>
      </c>
      <c r="S205" s="65">
        <v>0.20833333333333334</v>
      </c>
      <c r="T205" s="65">
        <v>0.1673611111111111</v>
      </c>
      <c r="U205" s="65">
        <v>0.18263888888888888</v>
      </c>
      <c r="V205" s="65">
        <v>0.18541666666666667</v>
      </c>
      <c r="W205" s="65">
        <v>0.20833333333333334</v>
      </c>
      <c r="X205" s="65">
        <v>0.17708333333333334</v>
      </c>
      <c r="Y205" s="65">
        <v>0.21527777777777779</v>
      </c>
      <c r="Z205" s="37" t="s">
        <v>40</v>
      </c>
      <c r="AA205" s="37"/>
      <c r="AB205" s="37">
        <v>8</v>
      </c>
      <c r="AC205" s="37">
        <v>22</v>
      </c>
      <c r="AD205" s="37">
        <v>7</v>
      </c>
      <c r="AE205" s="37">
        <v>13</v>
      </c>
      <c r="AF205" s="167">
        <v>45856</v>
      </c>
    </row>
    <row r="206" spans="1:32" s="28" customFormat="1" x14ac:dyDescent="0.25">
      <c r="A206" s="35">
        <v>45857</v>
      </c>
      <c r="B206" s="36" t="s">
        <v>621</v>
      </c>
      <c r="C206" s="37" t="s">
        <v>32</v>
      </c>
      <c r="D206" s="37">
        <v>43</v>
      </c>
      <c r="E206" s="65">
        <v>0.21527777777777779</v>
      </c>
      <c r="F206" s="65">
        <v>0.18541666666666667</v>
      </c>
      <c r="G206" s="65">
        <v>0.27777777777777779</v>
      </c>
      <c r="H206" s="65">
        <v>0.25833333333333336</v>
      </c>
      <c r="I206" s="38">
        <f t="shared" si="6"/>
        <v>7.2916666666666685E-2</v>
      </c>
      <c r="J206" s="37">
        <v>0</v>
      </c>
      <c r="K206" s="37">
        <v>0</v>
      </c>
      <c r="L206" s="37" t="s">
        <v>33</v>
      </c>
      <c r="M206" s="37">
        <v>11</v>
      </c>
      <c r="N206" s="37">
        <v>0</v>
      </c>
      <c r="O206" s="37">
        <v>0</v>
      </c>
      <c r="P206" s="37">
        <v>0</v>
      </c>
      <c r="Q206" s="37">
        <v>0</v>
      </c>
      <c r="R206" s="130">
        <v>0.18541666666666667</v>
      </c>
      <c r="S206" s="65">
        <v>0.21875</v>
      </c>
      <c r="T206" s="65">
        <v>0.18958333333333333</v>
      </c>
      <c r="U206" s="65">
        <v>0.20555555555555555</v>
      </c>
      <c r="V206" s="65">
        <v>0.20555555555555555</v>
      </c>
      <c r="W206" s="65">
        <v>0.21875</v>
      </c>
      <c r="X206" s="37" t="s">
        <v>748</v>
      </c>
      <c r="Y206" s="65">
        <v>0.24722222222222223</v>
      </c>
      <c r="Z206" s="37" t="s">
        <v>97</v>
      </c>
      <c r="AA206" s="37"/>
      <c r="AB206" s="37">
        <v>0</v>
      </c>
      <c r="AC206" s="37">
        <v>25</v>
      </c>
      <c r="AD206" s="37">
        <v>8</v>
      </c>
      <c r="AE206" s="37">
        <v>0</v>
      </c>
      <c r="AF206" s="167">
        <v>45857</v>
      </c>
    </row>
    <row r="207" spans="1:32" s="28" customFormat="1" x14ac:dyDescent="0.25">
      <c r="A207" s="35">
        <v>45858</v>
      </c>
      <c r="B207" s="36" t="s">
        <v>742</v>
      </c>
      <c r="C207" s="37" t="s">
        <v>749</v>
      </c>
      <c r="D207" s="37">
        <v>44</v>
      </c>
      <c r="E207" s="65">
        <v>0.1736111111111111</v>
      </c>
      <c r="F207" s="65">
        <v>0.15694444444444444</v>
      </c>
      <c r="G207" s="65">
        <v>0.25</v>
      </c>
      <c r="H207" s="65">
        <v>0.24791666666666667</v>
      </c>
      <c r="I207" s="38">
        <f t="shared" si="6"/>
        <v>9.0972222222222232E-2</v>
      </c>
      <c r="J207" s="37">
        <v>0</v>
      </c>
      <c r="K207" s="37"/>
      <c r="L207" s="37" t="s">
        <v>33</v>
      </c>
      <c r="M207" s="37">
        <v>11</v>
      </c>
      <c r="N207" s="37">
        <v>0</v>
      </c>
      <c r="O207" s="37">
        <v>0</v>
      </c>
      <c r="P207" s="37">
        <v>0</v>
      </c>
      <c r="Q207" s="37">
        <v>0</v>
      </c>
      <c r="R207" s="65">
        <v>0.15972222222222221</v>
      </c>
      <c r="S207" s="65">
        <v>0.20833333333333334</v>
      </c>
      <c r="T207" s="65">
        <v>0.16180555555555556</v>
      </c>
      <c r="U207" s="65">
        <v>0.20833333333333334</v>
      </c>
      <c r="V207" s="65">
        <v>0.16944444444444445</v>
      </c>
      <c r="W207" s="65">
        <v>0.20833333333333334</v>
      </c>
      <c r="X207" s="65">
        <v>0.17777777777777778</v>
      </c>
      <c r="Y207" s="65">
        <v>0.24791666666666667</v>
      </c>
      <c r="Z207" s="37" t="s">
        <v>97</v>
      </c>
      <c r="AA207" s="37"/>
      <c r="AB207" s="37">
        <v>0</v>
      </c>
      <c r="AC207" s="37">
        <v>26</v>
      </c>
      <c r="AD207" s="37">
        <v>10</v>
      </c>
      <c r="AE207" s="37">
        <v>0</v>
      </c>
      <c r="AF207" s="167">
        <v>45858</v>
      </c>
    </row>
    <row r="208" spans="1:32" s="28" customFormat="1" x14ac:dyDescent="0.25">
      <c r="A208" s="35">
        <v>45859</v>
      </c>
      <c r="B208" s="36" t="s">
        <v>621</v>
      </c>
      <c r="C208" s="37" t="s">
        <v>46</v>
      </c>
      <c r="D208" s="37">
        <v>44</v>
      </c>
      <c r="E208" s="65">
        <v>0.13194444444444445</v>
      </c>
      <c r="F208" s="65">
        <v>0.14374999999999999</v>
      </c>
      <c r="G208" s="65">
        <v>0.1875</v>
      </c>
      <c r="H208" s="65">
        <v>0.19236111111111112</v>
      </c>
      <c r="I208" s="38">
        <f t="shared" si="6"/>
        <v>4.8611111111111133E-2</v>
      </c>
      <c r="J208" s="65">
        <v>4.8611111111111112E-3</v>
      </c>
      <c r="K208" s="37" t="s">
        <v>50</v>
      </c>
      <c r="L208" s="37" t="s">
        <v>750</v>
      </c>
      <c r="M208" s="37">
        <v>11</v>
      </c>
      <c r="N208" s="37">
        <v>0</v>
      </c>
      <c r="O208" s="37">
        <v>0</v>
      </c>
      <c r="P208" s="37">
        <v>0</v>
      </c>
      <c r="Q208" s="37">
        <v>0</v>
      </c>
      <c r="R208" s="65">
        <v>0.1451388888888889</v>
      </c>
      <c r="S208" s="65">
        <v>0.17569444444444443</v>
      </c>
      <c r="T208" s="65">
        <v>0.14583333333333334</v>
      </c>
      <c r="U208" s="65">
        <v>0.16250000000000001</v>
      </c>
      <c r="V208" s="65">
        <v>0.16319444444444445</v>
      </c>
      <c r="W208" s="65">
        <v>0.17569444444444443</v>
      </c>
      <c r="X208" s="65">
        <v>0.16250000000000001</v>
      </c>
      <c r="Y208" s="65">
        <v>0.19236111111111112</v>
      </c>
      <c r="Z208" s="37" t="s">
        <v>736</v>
      </c>
      <c r="AA208" s="37"/>
      <c r="AB208" s="37">
        <v>8</v>
      </c>
      <c r="AC208" s="37">
        <v>21</v>
      </c>
      <c r="AD208" s="37">
        <v>2</v>
      </c>
      <c r="AE208" s="37">
        <v>10</v>
      </c>
      <c r="AF208" s="167">
        <v>45859</v>
      </c>
    </row>
    <row r="209" spans="1:32" s="28" customFormat="1" x14ac:dyDescent="0.25">
      <c r="A209" s="35">
        <v>45860</v>
      </c>
      <c r="B209" s="36" t="s">
        <v>621</v>
      </c>
      <c r="C209" s="37" t="s">
        <v>38</v>
      </c>
      <c r="D209" s="37">
        <v>46</v>
      </c>
      <c r="E209" s="65">
        <v>0.1736111111111111</v>
      </c>
      <c r="F209" s="65">
        <v>0.18263888888888888</v>
      </c>
      <c r="G209" s="65">
        <v>0.24305555555555555</v>
      </c>
      <c r="H209" s="65">
        <v>0.2388888888888889</v>
      </c>
      <c r="I209" s="38">
        <f t="shared" si="6"/>
        <v>5.6250000000000022E-2</v>
      </c>
      <c r="J209" s="37">
        <v>0</v>
      </c>
      <c r="K209" s="37">
        <v>0</v>
      </c>
      <c r="L209" s="37" t="s">
        <v>33</v>
      </c>
      <c r="M209" s="37">
        <v>11</v>
      </c>
      <c r="N209" s="37">
        <v>0</v>
      </c>
      <c r="O209" s="37">
        <v>0</v>
      </c>
      <c r="P209" s="37">
        <v>0</v>
      </c>
      <c r="Q209" s="37">
        <v>0</v>
      </c>
      <c r="R209" s="65">
        <v>0.18402777777777779</v>
      </c>
      <c r="S209" s="65">
        <v>0.21736111111111112</v>
      </c>
      <c r="T209" s="65">
        <v>0.18680555555555556</v>
      </c>
      <c r="U209" s="65">
        <v>0.20277777777777778</v>
      </c>
      <c r="V209" s="65">
        <v>0.20347222222222222</v>
      </c>
      <c r="W209" s="65">
        <v>0.21736111111111112</v>
      </c>
      <c r="X209" s="65">
        <v>0.19375000000000001</v>
      </c>
      <c r="Y209" s="65">
        <v>0.23125000000000001</v>
      </c>
      <c r="Z209" s="37" t="s">
        <v>736</v>
      </c>
      <c r="AA209" s="37"/>
      <c r="AB209" s="37">
        <v>12</v>
      </c>
      <c r="AC209" s="37">
        <v>26</v>
      </c>
      <c r="AD209" s="37">
        <v>5</v>
      </c>
      <c r="AE209" s="37">
        <v>4</v>
      </c>
      <c r="AF209" s="167">
        <v>45860</v>
      </c>
    </row>
    <row r="210" spans="1:32" s="28" customFormat="1" x14ac:dyDescent="0.25">
      <c r="A210" s="35">
        <v>45861</v>
      </c>
      <c r="B210" s="36" t="s">
        <v>621</v>
      </c>
      <c r="C210" s="37" t="s">
        <v>48</v>
      </c>
      <c r="D210" s="37">
        <v>44</v>
      </c>
      <c r="E210" s="65">
        <v>0.1736111111111111</v>
      </c>
      <c r="F210" s="65">
        <v>0.19097222222222221</v>
      </c>
      <c r="G210" s="65">
        <v>0.24305555555555555</v>
      </c>
      <c r="H210" s="65">
        <v>0.24305555555555555</v>
      </c>
      <c r="I210" s="38">
        <f t="shared" si="6"/>
        <v>5.2083333333333343E-2</v>
      </c>
      <c r="J210" s="37">
        <v>0</v>
      </c>
      <c r="K210" s="37">
        <v>0</v>
      </c>
      <c r="L210" s="37" t="s">
        <v>33</v>
      </c>
      <c r="M210" s="37">
        <v>12</v>
      </c>
      <c r="N210" s="37">
        <v>0</v>
      </c>
      <c r="O210" s="37">
        <v>0</v>
      </c>
      <c r="P210" s="37">
        <v>0</v>
      </c>
      <c r="Q210" s="37">
        <v>0</v>
      </c>
      <c r="R210" s="65">
        <v>0.19236111111111112</v>
      </c>
      <c r="S210" s="65">
        <v>0.23541666666666666</v>
      </c>
      <c r="T210" s="65">
        <v>0.19444444444444445</v>
      </c>
      <c r="U210" s="65">
        <v>0.21805555555555556</v>
      </c>
      <c r="V210" s="65">
        <v>0.21875</v>
      </c>
      <c r="W210" s="65">
        <v>0.23541666666666666</v>
      </c>
      <c r="X210" s="65">
        <v>0.2013888888888889</v>
      </c>
      <c r="Y210" s="65">
        <v>0.24305555555555555</v>
      </c>
      <c r="Z210" s="37" t="s">
        <v>40</v>
      </c>
      <c r="AA210" s="37"/>
      <c r="AB210" s="37">
        <v>12</v>
      </c>
      <c r="AC210" s="37">
        <v>18</v>
      </c>
      <c r="AD210" s="37">
        <v>5</v>
      </c>
      <c r="AE210" s="37">
        <v>18</v>
      </c>
      <c r="AF210" s="167">
        <v>45861</v>
      </c>
    </row>
    <row r="211" spans="1:32" s="28" customFormat="1" x14ac:dyDescent="0.25">
      <c r="A211" s="35">
        <v>45862</v>
      </c>
      <c r="B211" s="36" t="s">
        <v>621</v>
      </c>
      <c r="C211" s="37" t="s">
        <v>38</v>
      </c>
      <c r="D211" s="37">
        <v>43</v>
      </c>
      <c r="E211" s="65">
        <v>0.1736111111111111</v>
      </c>
      <c r="F211" s="65">
        <v>0.19791666666666666</v>
      </c>
      <c r="G211" s="65">
        <v>0.24305555555555555</v>
      </c>
      <c r="H211" s="65">
        <v>0.24374999999999999</v>
      </c>
      <c r="I211" s="38">
        <f t="shared" si="6"/>
        <v>4.5833333333333337E-2</v>
      </c>
      <c r="J211" s="37">
        <v>0</v>
      </c>
      <c r="K211" s="37">
        <v>0</v>
      </c>
      <c r="L211" s="37" t="s">
        <v>33</v>
      </c>
      <c r="M211" s="37">
        <v>11</v>
      </c>
      <c r="N211" s="37">
        <v>0</v>
      </c>
      <c r="O211" s="37">
        <v>0</v>
      </c>
      <c r="P211" s="37">
        <v>0</v>
      </c>
      <c r="Q211" s="37">
        <v>0</v>
      </c>
      <c r="R211" s="65">
        <v>0.19930555555555557</v>
      </c>
      <c r="S211" s="65">
        <v>0.24027777777777778</v>
      </c>
      <c r="T211" s="65">
        <v>0.2</v>
      </c>
      <c r="U211" s="65">
        <v>0.22291666666666668</v>
      </c>
      <c r="V211" s="65">
        <v>0.17499999999999999</v>
      </c>
      <c r="W211" s="65">
        <v>0.24027777777777778</v>
      </c>
      <c r="X211" s="65">
        <v>0.2013888888888889</v>
      </c>
      <c r="Y211" s="65">
        <v>0.24374999999999999</v>
      </c>
      <c r="Z211" s="37" t="s">
        <v>97</v>
      </c>
      <c r="AA211" s="37"/>
      <c r="AB211" s="37">
        <v>0</v>
      </c>
      <c r="AC211" s="37">
        <v>28</v>
      </c>
      <c r="AD211" s="37">
        <v>10</v>
      </c>
      <c r="AE211" s="37">
        <v>0</v>
      </c>
      <c r="AF211" s="167">
        <v>45862</v>
      </c>
    </row>
    <row r="212" spans="1:32" s="28" customFormat="1" x14ac:dyDescent="0.25">
      <c r="A212" s="35">
        <v>45863</v>
      </c>
      <c r="B212" s="36" t="s">
        <v>621</v>
      </c>
      <c r="C212" s="37" t="s">
        <v>32</v>
      </c>
      <c r="D212" s="37">
        <v>44</v>
      </c>
      <c r="E212" s="65">
        <v>0.1736111111111111</v>
      </c>
      <c r="F212" s="65">
        <v>0.21736111111111112</v>
      </c>
      <c r="G212" s="65">
        <v>0.24305555555555555</v>
      </c>
      <c r="H212" s="65">
        <v>0.26111111111111113</v>
      </c>
      <c r="I212" s="38">
        <f t="shared" si="6"/>
        <v>4.3750000000000011E-2</v>
      </c>
      <c r="J212" s="65">
        <v>1.8055555555555554E-2</v>
      </c>
      <c r="K212" s="37" t="s">
        <v>50</v>
      </c>
      <c r="L212" s="37" t="s">
        <v>750</v>
      </c>
      <c r="M212" s="37">
        <v>11</v>
      </c>
      <c r="N212" s="37">
        <v>0</v>
      </c>
      <c r="O212" s="37">
        <v>0</v>
      </c>
      <c r="P212" s="37">
        <v>0</v>
      </c>
      <c r="Q212" s="37">
        <v>0</v>
      </c>
      <c r="R212" s="65">
        <v>0.21597222222222223</v>
      </c>
      <c r="S212" s="65">
        <v>0.25833333333333336</v>
      </c>
      <c r="T212" s="65">
        <v>0.21805555555555556</v>
      </c>
      <c r="U212" s="65">
        <v>0.2361111111111111</v>
      </c>
      <c r="V212" s="65">
        <v>0.22569444444444445</v>
      </c>
      <c r="W212" s="65">
        <v>0.25624999999999998</v>
      </c>
      <c r="X212" s="65">
        <v>0.22916666666666666</v>
      </c>
      <c r="Y212" s="65">
        <v>0.26111111111111113</v>
      </c>
      <c r="Z212" s="37" t="s">
        <v>97</v>
      </c>
      <c r="AA212" s="37"/>
      <c r="AB212" s="37">
        <v>4</v>
      </c>
      <c r="AC212" s="37">
        <v>30</v>
      </c>
      <c r="AD212" s="37">
        <v>0</v>
      </c>
      <c r="AE212" s="37">
        <v>5</v>
      </c>
      <c r="AF212" s="167">
        <v>45863</v>
      </c>
    </row>
    <row r="213" spans="1:32" s="28" customFormat="1" x14ac:dyDescent="0.25">
      <c r="A213" s="35">
        <v>45864</v>
      </c>
      <c r="B213" s="36" t="s">
        <v>621</v>
      </c>
      <c r="C213" s="37" t="s">
        <v>38</v>
      </c>
      <c r="D213" s="37">
        <v>43</v>
      </c>
      <c r="E213" s="65">
        <v>0.21527777777777779</v>
      </c>
      <c r="F213" s="65">
        <v>0.22291666666666668</v>
      </c>
      <c r="G213" s="65">
        <v>0.27777777777777779</v>
      </c>
      <c r="H213" s="65">
        <v>0.27638888888888891</v>
      </c>
      <c r="I213" s="38">
        <f t="shared" si="6"/>
        <v>5.3472222222222227E-2</v>
      </c>
      <c r="J213" s="37">
        <v>0</v>
      </c>
      <c r="K213" s="37">
        <v>0</v>
      </c>
      <c r="L213" s="37" t="s">
        <v>33</v>
      </c>
      <c r="M213" s="37">
        <v>11</v>
      </c>
      <c r="N213" s="37"/>
      <c r="O213" s="37">
        <v>0</v>
      </c>
      <c r="P213" s="37">
        <v>0</v>
      </c>
      <c r="Q213" s="37">
        <v>0</v>
      </c>
      <c r="R213" s="65">
        <v>0.22361111111111112</v>
      </c>
      <c r="S213" s="65">
        <v>0.26666666666666666</v>
      </c>
      <c r="T213" s="65">
        <v>0.22569444444444445</v>
      </c>
      <c r="U213" s="65">
        <v>0.24861111111111112</v>
      </c>
      <c r="V213" s="65">
        <v>0.2326388888888889</v>
      </c>
      <c r="W213" s="65">
        <v>0.26666666666666666</v>
      </c>
      <c r="X213" s="65">
        <v>0.2388888888888889</v>
      </c>
      <c r="Y213" s="65">
        <v>0.27291666666666664</v>
      </c>
      <c r="Z213" s="37" t="s">
        <v>72</v>
      </c>
      <c r="AA213" s="37"/>
      <c r="AB213" s="37">
        <v>10</v>
      </c>
      <c r="AC213" s="37">
        <v>20</v>
      </c>
      <c r="AD213" s="37">
        <v>7</v>
      </c>
      <c r="AE213" s="37">
        <v>7</v>
      </c>
      <c r="AF213" s="167">
        <v>45864</v>
      </c>
    </row>
    <row r="214" spans="1:32" s="28" customFormat="1" x14ac:dyDescent="0.25">
      <c r="A214" s="35">
        <v>45865</v>
      </c>
      <c r="B214" s="36" t="s">
        <v>742</v>
      </c>
      <c r="C214" s="37" t="s">
        <v>743</v>
      </c>
      <c r="D214" s="37">
        <v>46</v>
      </c>
      <c r="E214" s="65">
        <v>0.1736111111111111</v>
      </c>
      <c r="F214" s="65">
        <v>0.17291666666666666</v>
      </c>
      <c r="G214" s="65">
        <v>0.24305555555555555</v>
      </c>
      <c r="H214" s="65">
        <v>0.24861111111111112</v>
      </c>
      <c r="I214" s="38">
        <f t="shared" si="6"/>
        <v>7.5694444444444453E-2</v>
      </c>
      <c r="J214" s="37">
        <v>0</v>
      </c>
      <c r="K214" s="37">
        <v>0</v>
      </c>
      <c r="L214" s="37" t="s">
        <v>33</v>
      </c>
      <c r="M214" s="37">
        <v>11</v>
      </c>
      <c r="N214" s="37">
        <v>0</v>
      </c>
      <c r="O214" s="37">
        <v>0</v>
      </c>
      <c r="P214" s="37">
        <v>0</v>
      </c>
      <c r="Q214" s="37">
        <v>0</v>
      </c>
      <c r="R214" s="65">
        <v>0.1763888888888889</v>
      </c>
      <c r="S214" s="65">
        <v>0.22013888888888888</v>
      </c>
      <c r="T214" s="65">
        <v>0.17986111111111111</v>
      </c>
      <c r="U214" s="65">
        <v>0.1986111111111111</v>
      </c>
      <c r="V214" s="65">
        <v>0.19444444444444445</v>
      </c>
      <c r="W214" s="65">
        <v>0.21527777777777779</v>
      </c>
      <c r="X214" s="65">
        <v>0.19097222222222221</v>
      </c>
      <c r="Y214" s="37"/>
      <c r="Z214" s="37" t="s">
        <v>72</v>
      </c>
      <c r="AA214" s="37"/>
      <c r="AB214" s="37">
        <v>19</v>
      </c>
      <c r="AC214" s="37">
        <v>20</v>
      </c>
      <c r="AD214" s="37">
        <v>0</v>
      </c>
      <c r="AE214" s="37">
        <v>10</v>
      </c>
      <c r="AF214" s="167">
        <v>45865</v>
      </c>
    </row>
    <row r="215" spans="1:32" s="28" customFormat="1" x14ac:dyDescent="0.25">
      <c r="A215" s="35">
        <v>45866</v>
      </c>
      <c r="B215" s="36" t="s">
        <v>621</v>
      </c>
      <c r="C215" s="37" t="s">
        <v>32</v>
      </c>
      <c r="D215" s="37">
        <v>43</v>
      </c>
      <c r="E215" s="65">
        <v>0.13194444444444445</v>
      </c>
      <c r="F215" s="65">
        <v>0.13055555555555556</v>
      </c>
      <c r="G215" s="65">
        <v>0.1875</v>
      </c>
      <c r="H215" s="65">
        <v>0.20833333333333334</v>
      </c>
      <c r="I215" s="38">
        <f t="shared" si="6"/>
        <v>7.7777777777777779E-2</v>
      </c>
      <c r="J215" s="37">
        <v>0</v>
      </c>
      <c r="K215" s="37">
        <v>0</v>
      </c>
      <c r="L215" s="37" t="s">
        <v>33</v>
      </c>
      <c r="M215" s="37">
        <v>11</v>
      </c>
      <c r="N215" s="37">
        <v>0</v>
      </c>
      <c r="O215" s="37">
        <v>0</v>
      </c>
      <c r="P215" s="37">
        <v>0</v>
      </c>
      <c r="Q215" s="37">
        <v>0</v>
      </c>
      <c r="R215" s="65">
        <v>0.16805555555555557</v>
      </c>
      <c r="S215" s="65">
        <v>0.24722222222222223</v>
      </c>
      <c r="T215" s="65">
        <v>0.1701388888888889</v>
      </c>
      <c r="U215" s="65">
        <v>0.18819444444444444</v>
      </c>
      <c r="V215" s="65">
        <v>0.17986111111111111</v>
      </c>
      <c r="W215" s="65">
        <v>0.2048611111111111</v>
      </c>
      <c r="X215" s="65">
        <v>0.17777777777777778</v>
      </c>
      <c r="Y215" s="65">
        <v>0.20833333333333334</v>
      </c>
      <c r="Z215" s="37" t="s">
        <v>72</v>
      </c>
      <c r="AA215" s="37"/>
      <c r="AB215" s="37">
        <v>0</v>
      </c>
      <c r="AC215" s="37">
        <v>25</v>
      </c>
      <c r="AD215" s="37">
        <v>10</v>
      </c>
      <c r="AE215" s="37">
        <v>0</v>
      </c>
      <c r="AF215" s="167">
        <v>45866</v>
      </c>
    </row>
    <row r="216" spans="1:32" s="28" customFormat="1" x14ac:dyDescent="0.25">
      <c r="A216" s="35">
        <v>45867</v>
      </c>
      <c r="B216" s="36" t="s">
        <v>621</v>
      </c>
      <c r="C216" s="37" t="s">
        <v>38</v>
      </c>
      <c r="D216" s="37">
        <v>43</v>
      </c>
      <c r="E216" s="65">
        <v>0.1736111111111111</v>
      </c>
      <c r="F216" s="65">
        <v>0.17499999999999999</v>
      </c>
      <c r="G216" s="65">
        <v>0.24305555555555555</v>
      </c>
      <c r="H216" s="65">
        <v>0.23125000000000001</v>
      </c>
      <c r="I216" s="38">
        <f t="shared" si="6"/>
        <v>5.6250000000000022E-2</v>
      </c>
      <c r="J216" s="37">
        <v>0</v>
      </c>
      <c r="K216" s="37">
        <v>0</v>
      </c>
      <c r="L216" s="37" t="s">
        <v>33</v>
      </c>
      <c r="M216" s="37">
        <v>11</v>
      </c>
      <c r="N216" s="37">
        <v>0</v>
      </c>
      <c r="O216" s="37">
        <v>0</v>
      </c>
      <c r="P216" s="37">
        <v>0</v>
      </c>
      <c r="Q216" s="37">
        <v>0</v>
      </c>
      <c r="R216" s="65">
        <v>0.17708333333333334</v>
      </c>
      <c r="S216" s="65">
        <v>0.22013888888888888</v>
      </c>
      <c r="T216" s="65">
        <v>0.17847222222222223</v>
      </c>
      <c r="U216" s="65">
        <v>0.2048611111111111</v>
      </c>
      <c r="V216" s="65">
        <v>0.20555555555555555</v>
      </c>
      <c r="W216" s="65">
        <v>0.21944444444444444</v>
      </c>
      <c r="X216" s="65">
        <v>0.1875</v>
      </c>
      <c r="Y216" s="65">
        <v>0.23125000000000001</v>
      </c>
      <c r="Z216" s="37" t="s">
        <v>72</v>
      </c>
      <c r="AA216" s="37"/>
      <c r="AB216" s="37">
        <v>12</v>
      </c>
      <c r="AC216" s="37">
        <v>16</v>
      </c>
      <c r="AD216" s="37">
        <v>7</v>
      </c>
      <c r="AE216" s="37">
        <v>17</v>
      </c>
      <c r="AF216" s="167">
        <v>45867</v>
      </c>
    </row>
    <row r="217" spans="1:32" s="28" customFormat="1" x14ac:dyDescent="0.25">
      <c r="A217" s="35">
        <v>45868</v>
      </c>
      <c r="B217" s="36" t="s">
        <v>621</v>
      </c>
      <c r="C217" s="37" t="s">
        <v>35</v>
      </c>
      <c r="D217" s="37">
        <v>44</v>
      </c>
      <c r="E217" s="65">
        <v>0.1736111111111111</v>
      </c>
      <c r="F217" s="65">
        <v>0.17083333333333334</v>
      </c>
      <c r="G217" s="65">
        <v>0.24305555555555555</v>
      </c>
      <c r="H217" s="65">
        <v>0.21875</v>
      </c>
      <c r="I217" s="38">
        <f t="shared" si="6"/>
        <v>4.7916666666666663E-2</v>
      </c>
      <c r="J217" s="37">
        <v>0</v>
      </c>
      <c r="K217" s="37">
        <v>0</v>
      </c>
      <c r="L217" s="37" t="s">
        <v>242</v>
      </c>
      <c r="M217" s="37">
        <v>11</v>
      </c>
      <c r="N217" s="37">
        <v>0</v>
      </c>
      <c r="O217" s="37">
        <v>0</v>
      </c>
      <c r="P217" s="37">
        <v>0</v>
      </c>
      <c r="Q217" s="37">
        <v>0</v>
      </c>
      <c r="R217" s="65">
        <v>0.17152777777777778</v>
      </c>
      <c r="S217" s="65">
        <v>0.21041666666666667</v>
      </c>
      <c r="T217" s="65">
        <v>0.17222222222222222</v>
      </c>
      <c r="U217" s="65">
        <v>0.19305555555555556</v>
      </c>
      <c r="V217" s="65">
        <v>0.18888888888888888</v>
      </c>
      <c r="W217" s="65">
        <v>0.20972222222222223</v>
      </c>
      <c r="X217" s="65">
        <v>0.17986111111111111</v>
      </c>
      <c r="Y217" s="37">
        <v>509</v>
      </c>
      <c r="Z217" s="37" t="s">
        <v>97</v>
      </c>
      <c r="AA217" s="37"/>
      <c r="AB217" s="37">
        <v>9</v>
      </c>
      <c r="AC217" s="37">
        <v>20</v>
      </c>
      <c r="AD217" s="37">
        <v>10</v>
      </c>
      <c r="AE217" s="37">
        <v>6</v>
      </c>
      <c r="AF217" s="167">
        <v>45868</v>
      </c>
    </row>
    <row r="218" spans="1:32" s="28" customFormat="1" x14ac:dyDescent="0.25">
      <c r="A218" s="35">
        <v>45869</v>
      </c>
      <c r="B218" s="36" t="s">
        <v>621</v>
      </c>
      <c r="C218" s="37" t="s">
        <v>38</v>
      </c>
      <c r="D218" s="37">
        <v>43</v>
      </c>
      <c r="E218" s="65">
        <v>0.1736111111111111</v>
      </c>
      <c r="F218" s="65">
        <v>0.18472222222222223</v>
      </c>
      <c r="G218" s="65">
        <v>0.24305555555555555</v>
      </c>
      <c r="H218" s="65">
        <v>0.23958333333333334</v>
      </c>
      <c r="I218" s="38">
        <f t="shared" si="6"/>
        <v>5.486111111111111E-2</v>
      </c>
      <c r="J218" s="37">
        <v>0</v>
      </c>
      <c r="K218" s="37">
        <v>0</v>
      </c>
      <c r="L218" s="37" t="s">
        <v>33</v>
      </c>
      <c r="M218" s="37">
        <v>11</v>
      </c>
      <c r="N218" s="37">
        <v>0</v>
      </c>
      <c r="O218" s="37">
        <v>0</v>
      </c>
      <c r="P218" s="37">
        <v>0</v>
      </c>
      <c r="Q218" s="37">
        <v>0</v>
      </c>
      <c r="R218" s="65">
        <v>0.1875</v>
      </c>
      <c r="S218" s="65">
        <v>0.23402777777777778</v>
      </c>
      <c r="T218" s="65">
        <v>0.19166666666666668</v>
      </c>
      <c r="U218" s="65">
        <v>0.20902777777777778</v>
      </c>
      <c r="V218" s="65">
        <v>0.21249999999999999</v>
      </c>
      <c r="W218" s="65">
        <v>0.23402777777777778</v>
      </c>
      <c r="X218" s="65">
        <v>0.19583333333333333</v>
      </c>
      <c r="Y218" s="65">
        <v>0.23958333333333334</v>
      </c>
      <c r="Z218" s="37" t="s">
        <v>40</v>
      </c>
      <c r="AA218" s="37"/>
      <c r="AB218" s="37">
        <v>12</v>
      </c>
      <c r="AC218" s="37">
        <v>16</v>
      </c>
      <c r="AD218" s="37">
        <v>5</v>
      </c>
      <c r="AE218" s="37">
        <v>16</v>
      </c>
      <c r="AF218" s="167">
        <v>45870</v>
      </c>
    </row>
    <row r="219" spans="1:32" s="28" customFormat="1" x14ac:dyDescent="0.25">
      <c r="A219" s="35">
        <v>45870</v>
      </c>
      <c r="B219" s="36" t="s">
        <v>621</v>
      </c>
      <c r="C219" s="37" t="s">
        <v>32</v>
      </c>
      <c r="D219" s="37">
        <v>45</v>
      </c>
      <c r="E219" s="65">
        <v>0.1736111111111111</v>
      </c>
      <c r="F219" s="65">
        <v>0.1875</v>
      </c>
      <c r="G219" s="65">
        <v>0.24305555555555555</v>
      </c>
      <c r="H219" s="65">
        <v>0.24305555555555555</v>
      </c>
      <c r="I219" s="38">
        <f t="shared" si="6"/>
        <v>5.5555555555555552E-2</v>
      </c>
      <c r="J219" s="37">
        <v>0</v>
      </c>
      <c r="K219" s="37">
        <v>0</v>
      </c>
      <c r="L219" s="37" t="s">
        <v>33</v>
      </c>
      <c r="M219" s="37">
        <v>11</v>
      </c>
      <c r="N219" s="37">
        <v>0</v>
      </c>
      <c r="O219" s="37">
        <v>0</v>
      </c>
      <c r="P219" s="37">
        <v>0</v>
      </c>
      <c r="Q219" s="37">
        <v>0</v>
      </c>
      <c r="R219" s="65">
        <v>0.19097222222222221</v>
      </c>
      <c r="S219" s="65">
        <v>0.23541666666666666</v>
      </c>
      <c r="T219" s="65">
        <v>0.16666666666666666</v>
      </c>
      <c r="U219" s="65">
        <v>0.21875</v>
      </c>
      <c r="V219" s="65">
        <v>0.2013888888888889</v>
      </c>
      <c r="W219" s="65">
        <v>0.23472222222222222</v>
      </c>
      <c r="X219" s="65">
        <v>0.20208333333333334</v>
      </c>
      <c r="Y219" s="65">
        <v>0.2361111111111111</v>
      </c>
      <c r="Z219" s="37" t="s">
        <v>72</v>
      </c>
      <c r="AA219" s="37"/>
      <c r="AB219" s="37">
        <v>12</v>
      </c>
      <c r="AC219" s="37">
        <v>19</v>
      </c>
      <c r="AD219" s="37">
        <v>1</v>
      </c>
      <c r="AE219" s="37">
        <v>18</v>
      </c>
      <c r="AF219" s="28" t="s">
        <v>751</v>
      </c>
    </row>
    <row r="220" spans="1:32" s="28" customFormat="1" x14ac:dyDescent="0.25">
      <c r="A220" s="35">
        <v>45871</v>
      </c>
      <c r="B220" s="36" t="s">
        <v>621</v>
      </c>
      <c r="C220" s="37" t="s">
        <v>46</v>
      </c>
      <c r="D220" s="37">
        <v>44</v>
      </c>
      <c r="E220" s="65">
        <v>0.21527777777777779</v>
      </c>
      <c r="F220" s="65">
        <v>0.20277777777777778</v>
      </c>
      <c r="G220" s="65">
        <v>0.27777777777777779</v>
      </c>
      <c r="H220" s="65">
        <v>0.27083333333333331</v>
      </c>
      <c r="I220" s="38">
        <f t="shared" si="6"/>
        <v>6.8055555555555536E-2</v>
      </c>
      <c r="J220" s="37">
        <v>0</v>
      </c>
      <c r="K220" s="37">
        <v>0</v>
      </c>
      <c r="L220" s="37" t="s">
        <v>33</v>
      </c>
      <c r="M220" s="37">
        <v>12</v>
      </c>
      <c r="N220" s="37">
        <v>0</v>
      </c>
      <c r="O220" s="37">
        <v>0</v>
      </c>
      <c r="P220" s="37">
        <v>0</v>
      </c>
      <c r="Q220" s="37">
        <v>0</v>
      </c>
      <c r="R220" s="65">
        <v>0.2048611111111111</v>
      </c>
      <c r="S220" s="65">
        <v>0.25069444444444444</v>
      </c>
      <c r="T220" s="65">
        <v>0.20833333333333334</v>
      </c>
      <c r="U220" s="65">
        <v>0.22916666666666666</v>
      </c>
      <c r="V220" s="65">
        <v>0.22916666666666666</v>
      </c>
      <c r="W220" s="65">
        <v>0.25069444444444444</v>
      </c>
      <c r="X220" s="65">
        <v>0.21111111111111111</v>
      </c>
      <c r="Y220" s="65">
        <v>0.27083333333333331</v>
      </c>
      <c r="Z220" s="37" t="s">
        <v>72</v>
      </c>
      <c r="AA220" s="37"/>
      <c r="AB220" s="37">
        <v>4</v>
      </c>
      <c r="AC220" s="37">
        <v>23</v>
      </c>
      <c r="AD220" s="37">
        <v>5</v>
      </c>
      <c r="AE220" s="37">
        <v>5</v>
      </c>
      <c r="AF220" s="167">
        <v>45871</v>
      </c>
    </row>
    <row r="221" spans="1:32" s="28" customFormat="1" x14ac:dyDescent="0.25">
      <c r="A221" s="35">
        <v>45872</v>
      </c>
      <c r="B221" s="36" t="s">
        <v>621</v>
      </c>
      <c r="C221" s="37" t="s">
        <v>743</v>
      </c>
      <c r="D221" s="37">
        <v>45</v>
      </c>
      <c r="E221" s="65">
        <v>0.1736111111111111</v>
      </c>
      <c r="F221" s="65">
        <v>0.16111111111111112</v>
      </c>
      <c r="G221" s="65">
        <v>0.24305555555555555</v>
      </c>
      <c r="H221" s="65">
        <v>0.24027777777777778</v>
      </c>
      <c r="I221" s="38">
        <f t="shared" si="6"/>
        <v>7.9166666666666663E-2</v>
      </c>
      <c r="J221" s="37">
        <v>0</v>
      </c>
      <c r="K221" s="37">
        <v>0</v>
      </c>
      <c r="L221" s="37" t="s">
        <v>33</v>
      </c>
      <c r="M221" s="37">
        <v>11</v>
      </c>
      <c r="N221" s="37">
        <v>0</v>
      </c>
      <c r="O221" s="37">
        <v>0</v>
      </c>
      <c r="P221" s="37">
        <v>0</v>
      </c>
      <c r="Q221" s="37">
        <v>0</v>
      </c>
      <c r="R221" s="65">
        <v>0.15416666666666667</v>
      </c>
      <c r="S221" s="65">
        <v>0.1986111111111111</v>
      </c>
      <c r="T221" s="65">
        <v>0.15694444444444444</v>
      </c>
      <c r="U221" s="65">
        <v>0.1763888888888889</v>
      </c>
      <c r="V221" s="65">
        <v>0.18541666666666667</v>
      </c>
      <c r="W221" s="65">
        <v>0.1986111111111111</v>
      </c>
      <c r="X221" s="65">
        <v>0.16458333333333333</v>
      </c>
      <c r="Y221" s="65">
        <v>0.24027777777777778</v>
      </c>
      <c r="Z221" s="37" t="s">
        <v>72</v>
      </c>
      <c r="AA221" s="37"/>
      <c r="AB221" s="37">
        <v>4</v>
      </c>
      <c r="AC221" s="37">
        <v>28</v>
      </c>
      <c r="AD221" s="37">
        <v>5</v>
      </c>
      <c r="AE221" s="37">
        <v>0</v>
      </c>
      <c r="AF221" s="167">
        <v>45872</v>
      </c>
    </row>
    <row r="222" spans="1:32" s="28" customFormat="1" x14ac:dyDescent="0.25">
      <c r="A222" s="35">
        <v>45873</v>
      </c>
      <c r="B222" s="36" t="s">
        <v>621</v>
      </c>
      <c r="C222" s="37" t="s">
        <v>32</v>
      </c>
      <c r="D222" s="37">
        <v>43</v>
      </c>
      <c r="E222" s="65">
        <v>0.13194444444444445</v>
      </c>
      <c r="F222" s="65">
        <v>0.14652777777777778</v>
      </c>
      <c r="G222" s="65">
        <v>0.1875</v>
      </c>
      <c r="H222" s="65">
        <v>0.19166666666666668</v>
      </c>
      <c r="I222" s="38">
        <f t="shared" si="6"/>
        <v>4.5138888888888895E-2</v>
      </c>
      <c r="J222" s="65">
        <v>4.1666666666666666E-3</v>
      </c>
      <c r="K222" s="37" t="s">
        <v>50</v>
      </c>
      <c r="L222" s="37" t="s">
        <v>604</v>
      </c>
      <c r="M222" s="37">
        <v>11</v>
      </c>
      <c r="N222" s="37">
        <v>0</v>
      </c>
      <c r="O222" s="37">
        <v>0</v>
      </c>
      <c r="P222" s="37">
        <v>0</v>
      </c>
      <c r="Q222" s="37">
        <v>0</v>
      </c>
      <c r="R222" s="65">
        <v>0.14652777777777778</v>
      </c>
      <c r="S222" s="65">
        <v>0.18541666666666667</v>
      </c>
      <c r="T222" s="65">
        <v>0.14930555555555555</v>
      </c>
      <c r="U222" s="65">
        <v>0.18888888888888888</v>
      </c>
      <c r="V222" s="65">
        <v>0.14930555555555555</v>
      </c>
      <c r="W222" s="65">
        <v>0.18888888888888888</v>
      </c>
      <c r="X222" s="65">
        <v>0.19513888888888889</v>
      </c>
      <c r="Y222" s="65">
        <v>0.19166666666666668</v>
      </c>
      <c r="Z222" s="37" t="s">
        <v>72</v>
      </c>
      <c r="AA222" s="37"/>
      <c r="AB222" s="37">
        <v>0</v>
      </c>
      <c r="AC222" s="37">
        <v>33</v>
      </c>
      <c r="AD222" s="37">
        <v>10</v>
      </c>
      <c r="AE222" s="37">
        <v>0</v>
      </c>
      <c r="AF222" s="167">
        <v>45873</v>
      </c>
    </row>
    <row r="223" spans="1:32" s="28" customFormat="1" x14ac:dyDescent="0.25">
      <c r="A223" s="35">
        <v>45874</v>
      </c>
      <c r="B223" s="36" t="s">
        <v>621</v>
      </c>
      <c r="C223" s="37" t="s">
        <v>46</v>
      </c>
      <c r="D223" s="37">
        <v>43</v>
      </c>
      <c r="E223" s="65">
        <v>0.1736111111111111</v>
      </c>
      <c r="F223" s="65">
        <v>0.17708333333333334</v>
      </c>
      <c r="G223" s="65">
        <v>0.24305555555555555</v>
      </c>
      <c r="H223" s="65">
        <v>0.23958333333333334</v>
      </c>
      <c r="I223" s="38">
        <f t="shared" si="6"/>
        <v>6.25E-2</v>
      </c>
      <c r="J223" s="36">
        <v>0</v>
      </c>
      <c r="K223" s="37">
        <v>0</v>
      </c>
      <c r="L223" s="37" t="s">
        <v>33</v>
      </c>
      <c r="M223" s="37">
        <v>11</v>
      </c>
      <c r="N223" s="37">
        <v>0</v>
      </c>
      <c r="O223" s="37">
        <v>0</v>
      </c>
      <c r="P223" s="37">
        <v>0</v>
      </c>
      <c r="Q223" s="37">
        <v>0</v>
      </c>
      <c r="R223" s="65">
        <v>0.1736111111111111</v>
      </c>
      <c r="S223" s="65">
        <v>0.22569444444444445</v>
      </c>
      <c r="T223" s="65">
        <v>0.18194444444444444</v>
      </c>
      <c r="U223" s="65">
        <v>0.20833333333333334</v>
      </c>
      <c r="V223" s="65">
        <v>0.20277777777777778</v>
      </c>
      <c r="W223" s="65">
        <v>0.22569444444444445</v>
      </c>
      <c r="X223" s="65">
        <v>0.18819444444444444</v>
      </c>
      <c r="Y223" s="65">
        <v>0.2326388888888889</v>
      </c>
      <c r="Z223" s="37" t="s">
        <v>97</v>
      </c>
      <c r="AA223" s="37"/>
      <c r="AB223" s="37">
        <v>10</v>
      </c>
      <c r="AC223" s="37">
        <v>25</v>
      </c>
      <c r="AD223" s="37">
        <v>0</v>
      </c>
      <c r="AE223" s="37">
        <v>6</v>
      </c>
      <c r="AF223" s="167">
        <v>45874</v>
      </c>
    </row>
    <row r="224" spans="1:32" s="28" customFormat="1" x14ac:dyDescent="0.25">
      <c r="A224" s="35">
        <v>45875</v>
      </c>
      <c r="B224" s="36" t="s">
        <v>621</v>
      </c>
      <c r="C224" s="37" t="s">
        <v>48</v>
      </c>
      <c r="D224" s="37">
        <v>44</v>
      </c>
      <c r="E224" s="65">
        <v>0.1736111111111111</v>
      </c>
      <c r="F224" s="65">
        <v>0.21736111111111112</v>
      </c>
      <c r="G224" s="65">
        <v>0.24305555555555555</v>
      </c>
      <c r="H224" s="65">
        <v>0.26874999999999999</v>
      </c>
      <c r="I224" s="38">
        <f t="shared" si="6"/>
        <v>5.1388888888888873E-2</v>
      </c>
      <c r="J224" s="39">
        <v>2.5694444444444443E-2</v>
      </c>
      <c r="K224" s="36" t="s">
        <v>50</v>
      </c>
      <c r="L224" s="37" t="s">
        <v>604</v>
      </c>
      <c r="M224" s="37">
        <v>11</v>
      </c>
      <c r="N224" s="37">
        <v>0</v>
      </c>
      <c r="O224" s="37">
        <v>0</v>
      </c>
      <c r="P224" s="37">
        <v>0</v>
      </c>
      <c r="Q224" s="37">
        <v>0</v>
      </c>
      <c r="R224" s="65">
        <v>0.21875</v>
      </c>
      <c r="S224" s="65">
        <v>0.25416666666666665</v>
      </c>
      <c r="T224" s="65">
        <v>0.21944444444444444</v>
      </c>
      <c r="U224" s="65">
        <v>0.23472222222222222</v>
      </c>
      <c r="V224" s="65">
        <v>0.23541666666666666</v>
      </c>
      <c r="W224" s="65">
        <v>0.25416666666666665</v>
      </c>
      <c r="X224" s="65">
        <v>0.2298611111111111</v>
      </c>
      <c r="Y224" s="65">
        <v>0.26874999999999999</v>
      </c>
      <c r="Z224" s="37" t="s">
        <v>40</v>
      </c>
      <c r="AA224" s="37"/>
      <c r="AB224" s="37">
        <v>12</v>
      </c>
      <c r="AC224" s="37">
        <v>15</v>
      </c>
      <c r="AD224" s="37">
        <v>7</v>
      </c>
      <c r="AE224" s="37">
        <v>15</v>
      </c>
      <c r="AF224" s="167">
        <v>45875</v>
      </c>
    </row>
    <row r="225" spans="1:32" s="28" customFormat="1" x14ac:dyDescent="0.25">
      <c r="A225" s="35">
        <v>45876</v>
      </c>
      <c r="B225" s="36" t="s">
        <v>621</v>
      </c>
      <c r="C225" s="37" t="s">
        <v>35</v>
      </c>
      <c r="D225" s="37">
        <v>45</v>
      </c>
      <c r="E225" s="65">
        <v>0.1736111111111111</v>
      </c>
      <c r="F225" s="65">
        <v>0.22638888888888889</v>
      </c>
      <c r="G225" s="65">
        <v>0.24305555555555555</v>
      </c>
      <c r="H225" s="65">
        <v>0.28055555555555556</v>
      </c>
      <c r="I225" s="38">
        <f t="shared" si="6"/>
        <v>5.4166666666666669E-2</v>
      </c>
      <c r="J225" s="39">
        <v>3.7499999999999999E-2</v>
      </c>
      <c r="K225" s="36" t="s">
        <v>50</v>
      </c>
      <c r="L225" s="37" t="s">
        <v>604</v>
      </c>
      <c r="M225" s="37">
        <v>11</v>
      </c>
      <c r="N225" s="37">
        <v>0</v>
      </c>
      <c r="O225" s="37">
        <v>0</v>
      </c>
      <c r="P225" s="37">
        <v>0</v>
      </c>
      <c r="Q225" s="37">
        <v>0</v>
      </c>
      <c r="R225" s="65">
        <v>0.22777777777777777</v>
      </c>
      <c r="S225" s="65">
        <v>0.27500000000000002</v>
      </c>
      <c r="T225" s="65">
        <v>0.2298611111111111</v>
      </c>
      <c r="U225" s="65">
        <v>0.25347222222222221</v>
      </c>
      <c r="V225" s="65">
        <v>0.25416666666666665</v>
      </c>
      <c r="W225" s="65">
        <v>0.27500000000000002</v>
      </c>
      <c r="X225" s="65">
        <v>0.25486111111111109</v>
      </c>
      <c r="Y225" s="65">
        <v>0.27916666666666667</v>
      </c>
      <c r="Z225" s="37" t="s">
        <v>40</v>
      </c>
      <c r="AA225" s="37"/>
      <c r="AB225" s="37">
        <v>8</v>
      </c>
      <c r="AC225" s="37">
        <v>21</v>
      </c>
      <c r="AD225" s="37">
        <v>3</v>
      </c>
      <c r="AE225" s="37">
        <v>19</v>
      </c>
      <c r="AF225" s="167">
        <v>45876</v>
      </c>
    </row>
    <row r="226" spans="1:32" s="28" customFormat="1" x14ac:dyDescent="0.25">
      <c r="A226" s="35">
        <v>45877</v>
      </c>
      <c r="B226" s="36" t="s">
        <v>621</v>
      </c>
      <c r="C226" s="37" t="s">
        <v>32</v>
      </c>
      <c r="D226" s="37">
        <v>44</v>
      </c>
      <c r="E226" s="65">
        <v>0.1736111111111111</v>
      </c>
      <c r="F226" s="65">
        <v>0.21249999999999999</v>
      </c>
      <c r="G226" s="65">
        <v>0.24305555555555555</v>
      </c>
      <c r="H226" s="65">
        <v>0.28611111111111109</v>
      </c>
      <c r="I226" s="38">
        <f t="shared" si="6"/>
        <v>7.3611111111111099E-2</v>
      </c>
      <c r="J226" s="39">
        <v>4.3055555555555555E-2</v>
      </c>
      <c r="K226" s="36" t="s">
        <v>752</v>
      </c>
      <c r="L226" s="37" t="s">
        <v>753</v>
      </c>
      <c r="M226" s="37">
        <v>11</v>
      </c>
      <c r="N226" s="37">
        <v>0</v>
      </c>
      <c r="O226" s="37">
        <v>0</v>
      </c>
      <c r="P226" s="37">
        <v>0</v>
      </c>
      <c r="Q226" s="37">
        <v>0</v>
      </c>
      <c r="R226" s="65">
        <v>0.21319444444444444</v>
      </c>
      <c r="S226" s="65">
        <v>0.27083333333333331</v>
      </c>
      <c r="T226" s="65">
        <v>0.21319444444444444</v>
      </c>
      <c r="U226" s="65">
        <v>0.23958333333333334</v>
      </c>
      <c r="V226" s="65">
        <v>0.24027777777777778</v>
      </c>
      <c r="W226" s="65">
        <v>0.27083333333333331</v>
      </c>
      <c r="X226" s="65">
        <v>0.2326388888888889</v>
      </c>
      <c r="Y226" s="65">
        <v>0.27847222222222223</v>
      </c>
      <c r="Z226" s="37" t="s">
        <v>72</v>
      </c>
      <c r="AA226" s="37"/>
      <c r="AB226" s="37">
        <v>6</v>
      </c>
      <c r="AC226" s="37">
        <v>20</v>
      </c>
      <c r="AD226" s="37">
        <v>9</v>
      </c>
      <c r="AE226" s="37">
        <v>10</v>
      </c>
      <c r="AF226" s="167">
        <v>45877</v>
      </c>
    </row>
    <row r="227" spans="1:32" s="28" customFormat="1" x14ac:dyDescent="0.25">
      <c r="A227" s="35">
        <v>45878</v>
      </c>
      <c r="B227" s="36" t="s">
        <v>621</v>
      </c>
      <c r="C227" s="37" t="s">
        <v>46</v>
      </c>
      <c r="D227" s="37">
        <v>44</v>
      </c>
      <c r="E227" s="65">
        <v>0.21527777777777779</v>
      </c>
      <c r="F227" s="65">
        <v>0.21111111111111111</v>
      </c>
      <c r="G227" s="65">
        <v>0.27777777777777779</v>
      </c>
      <c r="H227" s="65">
        <v>0.2722222222222222</v>
      </c>
      <c r="I227" s="38">
        <f t="shared" si="6"/>
        <v>6.1111111111111088E-2</v>
      </c>
      <c r="J227" s="36">
        <v>0</v>
      </c>
      <c r="K227" s="36">
        <v>0</v>
      </c>
      <c r="L227" s="37" t="s">
        <v>33</v>
      </c>
      <c r="M227" s="37">
        <v>11</v>
      </c>
      <c r="N227" s="37">
        <v>0</v>
      </c>
      <c r="O227" s="37">
        <v>0</v>
      </c>
      <c r="P227" s="37">
        <v>0</v>
      </c>
      <c r="Q227" s="37">
        <v>0</v>
      </c>
      <c r="R227" s="65">
        <v>0.21319444444444444</v>
      </c>
      <c r="S227" s="65">
        <v>0.25972222222222224</v>
      </c>
      <c r="T227" s="65">
        <v>0.21388888888888888</v>
      </c>
      <c r="U227" s="65">
        <v>0.22916666666666666</v>
      </c>
      <c r="V227" s="65">
        <v>0.21805555555555556</v>
      </c>
      <c r="W227" s="65">
        <v>0.25972222222222224</v>
      </c>
      <c r="X227" s="65">
        <v>0.24097222222222223</v>
      </c>
      <c r="Y227" s="65">
        <v>0.26597222222222222</v>
      </c>
      <c r="Z227" s="37" t="s">
        <v>97</v>
      </c>
      <c r="AA227" s="37"/>
      <c r="AB227" s="37">
        <v>10</v>
      </c>
      <c r="AC227" s="37">
        <v>20</v>
      </c>
      <c r="AD227" s="37">
        <v>4</v>
      </c>
      <c r="AE227" s="37">
        <v>10</v>
      </c>
      <c r="AF227" s="167">
        <v>45878</v>
      </c>
    </row>
    <row r="228" spans="1:32" s="28" customFormat="1" x14ac:dyDescent="0.25">
      <c r="A228" s="35">
        <v>45879</v>
      </c>
      <c r="B228" s="36" t="s">
        <v>754</v>
      </c>
      <c r="C228" s="37" t="s">
        <v>755</v>
      </c>
      <c r="D228" s="37">
        <v>44</v>
      </c>
      <c r="E228" s="65">
        <v>0.1736111111111111</v>
      </c>
      <c r="F228" s="65">
        <v>0.17847222222222223</v>
      </c>
      <c r="G228" s="65">
        <v>0.24305555555555555</v>
      </c>
      <c r="H228" s="65">
        <v>0.26041666666666669</v>
      </c>
      <c r="I228" s="38">
        <f t="shared" si="6"/>
        <v>8.1944444444444459E-2</v>
      </c>
      <c r="J228" s="39">
        <v>1.0416666666666666E-2</v>
      </c>
      <c r="K228" s="36" t="s">
        <v>756</v>
      </c>
      <c r="L228" s="37" t="s">
        <v>757</v>
      </c>
      <c r="M228" s="37">
        <v>15</v>
      </c>
      <c r="N228" s="65">
        <v>0.18055555555555555</v>
      </c>
      <c r="O228" s="65">
        <v>0.25</v>
      </c>
      <c r="P228" s="37">
        <v>0</v>
      </c>
      <c r="Q228" s="37">
        <v>0</v>
      </c>
      <c r="R228" s="65">
        <v>0.1875</v>
      </c>
      <c r="S228" s="65">
        <v>0.25486111111111109</v>
      </c>
      <c r="T228" s="65">
        <v>0.18819444444444444</v>
      </c>
      <c r="U228" s="65">
        <v>0.21458333333333332</v>
      </c>
      <c r="V228" s="65">
        <v>0.21458333333333332</v>
      </c>
      <c r="W228" s="65">
        <v>0.25486111111111109</v>
      </c>
      <c r="X228" s="37"/>
      <c r="Y228" s="65">
        <v>0.26041666666666669</v>
      </c>
      <c r="Z228" s="37" t="s">
        <v>105</v>
      </c>
      <c r="AA228" s="37"/>
      <c r="AB228" s="37"/>
      <c r="AC228" s="37">
        <v>21</v>
      </c>
      <c r="AD228" s="37"/>
      <c r="AE228" s="37">
        <v>10</v>
      </c>
      <c r="AF228" s="167">
        <v>45879</v>
      </c>
    </row>
    <row r="229" spans="1:32" s="28" customFormat="1" x14ac:dyDescent="0.25">
      <c r="A229" s="35">
        <v>45880</v>
      </c>
      <c r="B229" s="36" t="s">
        <v>621</v>
      </c>
      <c r="C229" s="37" t="s">
        <v>48</v>
      </c>
      <c r="D229" s="37">
        <v>44</v>
      </c>
      <c r="E229" s="65">
        <v>0.13194444444444445</v>
      </c>
      <c r="F229" s="65">
        <v>0.13750000000000001</v>
      </c>
      <c r="G229" s="65">
        <v>0.1875</v>
      </c>
      <c r="H229" s="65">
        <v>0.19444444444444445</v>
      </c>
      <c r="I229" s="38">
        <f t="shared" si="6"/>
        <v>5.6944444444444436E-2</v>
      </c>
      <c r="J229" s="65">
        <v>6.9444444444444441E-3</v>
      </c>
      <c r="K229" s="37" t="s">
        <v>50</v>
      </c>
      <c r="L229" s="37" t="s">
        <v>604</v>
      </c>
      <c r="M229" s="37">
        <v>11</v>
      </c>
      <c r="N229" s="37">
        <v>0</v>
      </c>
      <c r="O229" s="37">
        <v>0</v>
      </c>
      <c r="P229" s="37">
        <v>0</v>
      </c>
      <c r="Q229" s="37">
        <v>0</v>
      </c>
      <c r="R229" s="65">
        <v>0.13958333333333334</v>
      </c>
      <c r="S229" s="65">
        <v>0.18888888888888888</v>
      </c>
      <c r="T229" s="65">
        <v>0.14305555555555555</v>
      </c>
      <c r="U229" s="65">
        <v>0.15972222222222221</v>
      </c>
      <c r="V229" s="65">
        <v>0.16041666666666668</v>
      </c>
      <c r="W229" s="65">
        <v>0.18888888888888888</v>
      </c>
      <c r="X229" s="65">
        <v>0.15625</v>
      </c>
      <c r="Y229" s="65">
        <v>0.19097222222222221</v>
      </c>
      <c r="Z229" s="37" t="s">
        <v>40</v>
      </c>
      <c r="AA229" s="37"/>
      <c r="AB229" s="37">
        <v>15</v>
      </c>
      <c r="AC229" s="37">
        <v>24</v>
      </c>
      <c r="AD229" s="37">
        <v>5</v>
      </c>
      <c r="AE229" s="37">
        <v>8</v>
      </c>
      <c r="AF229" s="167">
        <v>45880</v>
      </c>
    </row>
    <row r="230" spans="1:32" s="28" customFormat="1" x14ac:dyDescent="0.25">
      <c r="A230" s="35">
        <v>45881</v>
      </c>
      <c r="B230" s="36" t="s">
        <v>621</v>
      </c>
      <c r="C230" s="37" t="s">
        <v>35</v>
      </c>
      <c r="D230" s="37">
        <v>44</v>
      </c>
      <c r="E230" s="65">
        <v>0.1736111111111111</v>
      </c>
      <c r="F230" s="65">
        <v>0.17986111111111111</v>
      </c>
      <c r="G230" s="65">
        <v>0.24305555555555555</v>
      </c>
      <c r="H230" s="65">
        <v>0.22361111111111112</v>
      </c>
      <c r="I230" s="38">
        <f t="shared" ref="I230:I298" si="7">H230-F230</f>
        <v>4.3750000000000011E-2</v>
      </c>
      <c r="J230" s="37">
        <v>0</v>
      </c>
      <c r="K230" s="37">
        <v>0</v>
      </c>
      <c r="L230" s="37" t="s">
        <v>33</v>
      </c>
      <c r="M230" s="37">
        <v>11</v>
      </c>
      <c r="N230" s="37">
        <v>0</v>
      </c>
      <c r="O230" s="37">
        <v>0</v>
      </c>
      <c r="P230" s="37">
        <v>0</v>
      </c>
      <c r="Q230" s="37">
        <v>0</v>
      </c>
      <c r="R230" s="37" t="s">
        <v>758</v>
      </c>
      <c r="S230" s="65">
        <v>0.21666666666666667</v>
      </c>
      <c r="T230" s="65">
        <v>0.18194444444444444</v>
      </c>
      <c r="U230" s="65">
        <v>0.2</v>
      </c>
      <c r="V230" s="65">
        <v>0.19444444444444445</v>
      </c>
      <c r="W230" s="65">
        <v>0.21666666666666667</v>
      </c>
      <c r="X230" s="65">
        <v>0.19652777777777777</v>
      </c>
      <c r="Y230" s="65">
        <v>0.22222222222222221</v>
      </c>
      <c r="Z230" s="37" t="s">
        <v>72</v>
      </c>
      <c r="AA230" s="37"/>
      <c r="AB230" s="37">
        <v>12</v>
      </c>
      <c r="AC230" s="37">
        <v>20</v>
      </c>
      <c r="AD230" s="37">
        <v>0</v>
      </c>
      <c r="AE230" s="37">
        <v>12</v>
      </c>
      <c r="AF230" s="167">
        <v>45881</v>
      </c>
    </row>
    <row r="231" spans="1:32" s="28" customFormat="1" x14ac:dyDescent="0.25">
      <c r="A231" s="35">
        <v>45882</v>
      </c>
      <c r="B231" s="36" t="s">
        <v>621</v>
      </c>
      <c r="C231" s="37" t="s">
        <v>46</v>
      </c>
      <c r="D231" s="37">
        <v>43</v>
      </c>
      <c r="E231" s="65">
        <v>0.1736111111111111</v>
      </c>
      <c r="F231" s="65">
        <v>0.2</v>
      </c>
      <c r="G231" s="65">
        <v>0.24305555555555555</v>
      </c>
      <c r="H231" s="65">
        <v>0.24791666666666667</v>
      </c>
      <c r="I231" s="38">
        <f t="shared" si="7"/>
        <v>4.7916666666666663E-2</v>
      </c>
      <c r="J231" s="65">
        <v>4.8611111111111112E-3</v>
      </c>
      <c r="K231" s="37" t="s">
        <v>759</v>
      </c>
      <c r="L231" s="37" t="s">
        <v>750</v>
      </c>
      <c r="M231" s="37">
        <v>11</v>
      </c>
      <c r="N231" s="37">
        <v>0</v>
      </c>
      <c r="O231" s="37">
        <v>0</v>
      </c>
      <c r="P231" s="37">
        <v>0</v>
      </c>
      <c r="Q231" s="37">
        <v>0</v>
      </c>
      <c r="R231" s="65">
        <v>0.2</v>
      </c>
      <c r="S231" s="65">
        <v>0.24305555555555555</v>
      </c>
      <c r="T231" s="65">
        <v>0.20277777777777778</v>
      </c>
      <c r="U231" s="65">
        <v>0.22222222222222221</v>
      </c>
      <c r="V231" s="65">
        <v>0.21041666666666667</v>
      </c>
      <c r="W231" s="65">
        <v>0.24027777777777778</v>
      </c>
      <c r="X231" s="65">
        <v>0.2326388888888889</v>
      </c>
      <c r="Y231" s="65">
        <v>0.24722222222222223</v>
      </c>
      <c r="Z231" s="37" t="s">
        <v>97</v>
      </c>
      <c r="AA231" s="37"/>
      <c r="AB231" s="37">
        <v>4</v>
      </c>
      <c r="AC231" s="37">
        <v>30</v>
      </c>
      <c r="AD231" s="37">
        <v>10</v>
      </c>
      <c r="AE231" s="37">
        <v>2</v>
      </c>
      <c r="AF231" s="167">
        <v>45882</v>
      </c>
    </row>
    <row r="232" spans="1:32" s="28" customFormat="1" x14ac:dyDescent="0.25">
      <c r="A232" s="35">
        <v>45883</v>
      </c>
      <c r="B232" s="36" t="s">
        <v>621</v>
      </c>
      <c r="C232" s="37" t="s">
        <v>35</v>
      </c>
      <c r="D232" s="37">
        <v>44</v>
      </c>
      <c r="E232" s="65">
        <v>0.1736111111111111</v>
      </c>
      <c r="F232" s="65">
        <v>0.18888888888888888</v>
      </c>
      <c r="G232" s="65">
        <v>0.24305555555555555</v>
      </c>
      <c r="H232" s="65">
        <v>0.23749999999999999</v>
      </c>
      <c r="I232" s="38">
        <f t="shared" si="7"/>
        <v>4.8611111111111105E-2</v>
      </c>
      <c r="J232" s="37">
        <v>0</v>
      </c>
      <c r="K232" s="37">
        <v>0</v>
      </c>
      <c r="L232" s="37" t="s">
        <v>33</v>
      </c>
      <c r="M232" s="37">
        <v>11</v>
      </c>
      <c r="N232" s="37">
        <v>0</v>
      </c>
      <c r="O232" s="37">
        <v>0</v>
      </c>
      <c r="P232" s="37">
        <v>0</v>
      </c>
      <c r="Q232" s="37">
        <v>0</v>
      </c>
      <c r="R232" s="65">
        <v>0.18958333333333333</v>
      </c>
      <c r="S232" s="65">
        <v>0.23333333333333334</v>
      </c>
      <c r="T232" s="65">
        <v>0.18958333333333333</v>
      </c>
      <c r="U232" s="65">
        <v>0.23333333333333334</v>
      </c>
      <c r="V232" s="65">
        <v>0.19444444444444445</v>
      </c>
      <c r="W232" s="65">
        <v>0.23333333333333334</v>
      </c>
      <c r="X232" s="65">
        <v>0.21805555555555556</v>
      </c>
      <c r="Y232" s="65">
        <v>0.23749999999999999</v>
      </c>
      <c r="Z232" s="37" t="s">
        <v>97</v>
      </c>
      <c r="AA232" s="37"/>
      <c r="AB232" s="37">
        <v>4</v>
      </c>
      <c r="AC232" s="37">
        <v>30</v>
      </c>
      <c r="AD232" s="37">
        <v>10</v>
      </c>
      <c r="AE232" s="37">
        <v>0</v>
      </c>
      <c r="AF232" s="167">
        <v>45883</v>
      </c>
    </row>
    <row r="233" spans="1:32" s="28" customFormat="1" x14ac:dyDescent="0.25">
      <c r="A233" s="35">
        <v>45884</v>
      </c>
      <c r="B233" s="36" t="s">
        <v>621</v>
      </c>
      <c r="C233" s="37" t="s">
        <v>48</v>
      </c>
      <c r="D233" s="37">
        <v>45</v>
      </c>
      <c r="E233" s="65">
        <v>0.1736111111111111</v>
      </c>
      <c r="F233" s="65">
        <v>0.18055555555555555</v>
      </c>
      <c r="G233" s="65">
        <v>0.24305555555555555</v>
      </c>
      <c r="H233" s="65">
        <v>0.23125000000000001</v>
      </c>
      <c r="I233" s="38">
        <f t="shared" si="7"/>
        <v>5.0694444444444459E-2</v>
      </c>
      <c r="J233" s="65">
        <v>0</v>
      </c>
      <c r="K233" s="37">
        <v>0</v>
      </c>
      <c r="L233" s="37" t="s">
        <v>33</v>
      </c>
      <c r="M233" s="37">
        <v>11</v>
      </c>
      <c r="N233" s="37">
        <v>0</v>
      </c>
      <c r="O233" s="37">
        <v>0</v>
      </c>
      <c r="P233" s="37">
        <v>0</v>
      </c>
      <c r="Q233" s="37">
        <v>0</v>
      </c>
      <c r="R233" s="65">
        <v>0.18124999999999999</v>
      </c>
      <c r="S233" s="65">
        <v>0.22291666666666668</v>
      </c>
      <c r="T233" s="65">
        <v>0.18402777777777779</v>
      </c>
      <c r="U233" s="65">
        <v>0.2048611111111111</v>
      </c>
      <c r="V233" s="65">
        <v>0.19652777777777777</v>
      </c>
      <c r="W233" s="65">
        <v>0.22291666666666668</v>
      </c>
      <c r="X233" s="65">
        <v>0.20347222222222222</v>
      </c>
      <c r="Y233" s="65">
        <v>0.22708333333333333</v>
      </c>
      <c r="Z233" s="37" t="s">
        <v>105</v>
      </c>
      <c r="AA233" s="37"/>
      <c r="AB233" s="37">
        <v>12</v>
      </c>
      <c r="AC233" s="37">
        <v>20</v>
      </c>
      <c r="AD233" s="37">
        <v>0</v>
      </c>
      <c r="AE233" s="37">
        <v>15</v>
      </c>
      <c r="AF233" s="167">
        <v>45884</v>
      </c>
    </row>
    <row r="234" spans="1:32" s="28" customFormat="1" x14ac:dyDescent="0.25">
      <c r="A234" s="35">
        <v>45885</v>
      </c>
      <c r="B234" s="36" t="s">
        <v>621</v>
      </c>
      <c r="C234" s="37" t="s">
        <v>32</v>
      </c>
      <c r="D234" s="37">
        <v>43</v>
      </c>
      <c r="E234" s="65">
        <v>0.21527777777777779</v>
      </c>
      <c r="F234" s="65">
        <v>0.20624999999999999</v>
      </c>
      <c r="G234" s="65">
        <v>0.27777777777777779</v>
      </c>
      <c r="H234" s="65">
        <v>0.26805555555555555</v>
      </c>
      <c r="I234" s="38">
        <f>H234-F234</f>
        <v>6.1805555555555558E-2</v>
      </c>
      <c r="J234" s="37">
        <v>0</v>
      </c>
      <c r="K234" s="37">
        <v>0</v>
      </c>
      <c r="L234" s="37" t="s">
        <v>33</v>
      </c>
      <c r="M234" s="37">
        <v>11</v>
      </c>
      <c r="N234" s="37">
        <v>0</v>
      </c>
      <c r="O234" s="37">
        <v>0</v>
      </c>
      <c r="P234" s="37">
        <v>0</v>
      </c>
      <c r="Q234" s="37">
        <v>0</v>
      </c>
      <c r="R234" s="65">
        <v>0.20833333333333334</v>
      </c>
      <c r="S234" s="65">
        <v>0.2673611111111111</v>
      </c>
      <c r="T234" s="65">
        <v>0.21041666666666667</v>
      </c>
      <c r="U234" s="65">
        <v>0.23194444444444445</v>
      </c>
      <c r="V234" s="65">
        <v>0.2326388888888889</v>
      </c>
      <c r="W234" s="65">
        <v>0.25277777777777777</v>
      </c>
      <c r="X234" s="65">
        <v>0.21875</v>
      </c>
      <c r="Y234" s="65">
        <v>0.2673611111111111</v>
      </c>
      <c r="Z234" s="37" t="s">
        <v>34</v>
      </c>
      <c r="AA234" s="37"/>
      <c r="AB234" s="37">
        <v>23</v>
      </c>
      <c r="AC234" s="37">
        <v>11</v>
      </c>
      <c r="AD234" s="37">
        <v>3</v>
      </c>
      <c r="AE234" s="37">
        <v>15</v>
      </c>
      <c r="AF234" s="167">
        <v>45885</v>
      </c>
    </row>
    <row r="235" spans="1:32" s="28" customFormat="1" x14ac:dyDescent="0.25">
      <c r="A235" s="35">
        <v>45886</v>
      </c>
      <c r="B235" s="36" t="s">
        <v>742</v>
      </c>
      <c r="C235" s="37" t="s">
        <v>760</v>
      </c>
      <c r="D235" s="37">
        <v>44</v>
      </c>
      <c r="E235" s="65">
        <v>0.1736111111111111</v>
      </c>
      <c r="F235" s="65">
        <v>0.16875000000000001</v>
      </c>
      <c r="G235" s="65">
        <v>0.25</v>
      </c>
      <c r="H235" s="65">
        <v>0.25</v>
      </c>
      <c r="I235" s="38">
        <f t="shared" si="7"/>
        <v>8.1249999999999989E-2</v>
      </c>
      <c r="J235" s="37">
        <v>0</v>
      </c>
      <c r="K235" s="37">
        <v>0</v>
      </c>
      <c r="L235" s="37" t="s">
        <v>33</v>
      </c>
      <c r="M235" s="37">
        <v>11</v>
      </c>
      <c r="N235" s="37">
        <v>0</v>
      </c>
      <c r="O235" s="37">
        <v>0</v>
      </c>
      <c r="P235" s="37">
        <v>0</v>
      </c>
      <c r="Q235" s="37">
        <v>0</v>
      </c>
      <c r="R235" s="65">
        <v>0.17152777777777778</v>
      </c>
      <c r="S235" s="65">
        <v>0.24930555555555556</v>
      </c>
      <c r="T235" s="65">
        <v>0.17152777777777778</v>
      </c>
      <c r="U235" s="65">
        <v>0.21319444444444444</v>
      </c>
      <c r="V235" s="65">
        <v>0.21458333333333332</v>
      </c>
      <c r="W235" s="65">
        <v>0.24930555555555556</v>
      </c>
      <c r="X235" s="65">
        <v>0.18611111111111112</v>
      </c>
      <c r="Y235" s="65">
        <v>0.25138888888888888</v>
      </c>
      <c r="Z235" s="37" t="s">
        <v>34</v>
      </c>
      <c r="AA235" s="37"/>
      <c r="AB235" s="37">
        <v>16</v>
      </c>
      <c r="AC235" s="37">
        <v>4</v>
      </c>
      <c r="AD235" s="37">
        <v>2</v>
      </c>
      <c r="AE235" s="37">
        <v>13</v>
      </c>
      <c r="AF235" s="167">
        <v>45886</v>
      </c>
    </row>
    <row r="236" spans="1:32" s="28" customFormat="1" x14ac:dyDescent="0.25">
      <c r="A236" s="35">
        <v>45887</v>
      </c>
      <c r="B236" s="36" t="s">
        <v>621</v>
      </c>
      <c r="C236" s="37" t="s">
        <v>48</v>
      </c>
      <c r="D236" s="37">
        <v>42</v>
      </c>
      <c r="E236" s="65">
        <v>0.13194444444444445</v>
      </c>
      <c r="F236" s="65">
        <v>0.12430555555555556</v>
      </c>
      <c r="G236" s="65">
        <v>0.1875</v>
      </c>
      <c r="H236" s="65">
        <v>0.17777777777777778</v>
      </c>
      <c r="I236" s="38">
        <f t="shared" si="7"/>
        <v>5.3472222222222227E-2</v>
      </c>
      <c r="J236" s="37">
        <v>0</v>
      </c>
      <c r="K236" s="37">
        <v>0</v>
      </c>
      <c r="L236" s="37" t="s">
        <v>33</v>
      </c>
      <c r="M236" s="37">
        <v>11</v>
      </c>
      <c r="N236" s="37">
        <v>0</v>
      </c>
      <c r="O236" s="37">
        <v>0</v>
      </c>
      <c r="P236" s="37">
        <v>0</v>
      </c>
      <c r="Q236" s="37">
        <v>0</v>
      </c>
      <c r="R236" s="65">
        <v>0.125</v>
      </c>
      <c r="S236" s="65">
        <v>0.16666666666666666</v>
      </c>
      <c r="T236" s="65">
        <v>0.12777777777777777</v>
      </c>
      <c r="U236" s="65">
        <v>0.1451388888888889</v>
      </c>
      <c r="V236" s="65">
        <v>0.14722222222222223</v>
      </c>
      <c r="W236" s="65">
        <v>0.16666666666666666</v>
      </c>
      <c r="X236" s="65">
        <v>0.13541666666666666</v>
      </c>
      <c r="Y236" s="65">
        <v>0.17222222222222222</v>
      </c>
      <c r="Z236" s="37" t="s">
        <v>40</v>
      </c>
      <c r="AA236" s="37"/>
      <c r="AB236" s="37">
        <v>8</v>
      </c>
      <c r="AC236" s="37">
        <v>16</v>
      </c>
      <c r="AD236" s="37">
        <v>0</v>
      </c>
      <c r="AE236" s="37">
        <v>17</v>
      </c>
      <c r="AF236" s="167">
        <v>45887</v>
      </c>
    </row>
    <row r="237" spans="1:32" s="28" customFormat="1" x14ac:dyDescent="0.25">
      <c r="A237" s="35">
        <v>45888</v>
      </c>
      <c r="B237" s="36" t="s">
        <v>621</v>
      </c>
      <c r="C237" s="37" t="s">
        <v>32</v>
      </c>
      <c r="D237" s="37">
        <v>43</v>
      </c>
      <c r="E237" s="65">
        <v>0.1736111111111111</v>
      </c>
      <c r="F237" s="65">
        <v>0.23819444444444443</v>
      </c>
      <c r="G237" s="65">
        <v>0.24305555555555555</v>
      </c>
      <c r="H237" s="65">
        <v>0.28125</v>
      </c>
      <c r="I237" s="38">
        <f t="shared" si="7"/>
        <v>4.3055555555555569E-2</v>
      </c>
      <c r="J237" s="65">
        <v>7.8472222222222221E-2</v>
      </c>
      <c r="K237" s="37" t="s">
        <v>50</v>
      </c>
      <c r="L237" s="37" t="s">
        <v>750</v>
      </c>
      <c r="M237" s="37">
        <v>11</v>
      </c>
      <c r="N237" s="37">
        <v>0</v>
      </c>
      <c r="O237" s="37">
        <v>0</v>
      </c>
      <c r="P237" s="37">
        <v>0</v>
      </c>
      <c r="Q237" s="37">
        <v>0</v>
      </c>
      <c r="R237" s="65">
        <v>0.2388888888888889</v>
      </c>
      <c r="S237" s="65">
        <v>0.26944444444444443</v>
      </c>
      <c r="T237" s="65">
        <v>0.23958333333333334</v>
      </c>
      <c r="U237" s="65">
        <v>0.25069444444444444</v>
      </c>
      <c r="V237" s="65">
        <v>0.25069444444444444</v>
      </c>
      <c r="W237" s="65">
        <v>0.26944444444444443</v>
      </c>
      <c r="X237" s="65">
        <v>0.25833333333333336</v>
      </c>
      <c r="Y237" s="65">
        <v>0.27569444444444446</v>
      </c>
      <c r="Z237" s="37" t="s">
        <v>761</v>
      </c>
      <c r="AA237" s="37"/>
      <c r="AB237" s="37">
        <v>0</v>
      </c>
      <c r="AC237" s="37">
        <v>27</v>
      </c>
      <c r="AD237" s="37">
        <v>6</v>
      </c>
      <c r="AE237" s="37">
        <v>10</v>
      </c>
      <c r="AF237" s="167">
        <v>45888</v>
      </c>
    </row>
    <row r="238" spans="1:32" s="28" customFormat="1" x14ac:dyDescent="0.25">
      <c r="A238" s="35">
        <v>45889</v>
      </c>
      <c r="B238" s="36" t="s">
        <v>96</v>
      </c>
      <c r="C238" s="37" t="s">
        <v>35</v>
      </c>
      <c r="D238" s="37"/>
      <c r="E238" s="65">
        <v>0.1736111111111111</v>
      </c>
      <c r="F238" s="65"/>
      <c r="G238" s="65">
        <v>0.24305555555555555</v>
      </c>
      <c r="H238" s="65"/>
      <c r="I238" s="38">
        <f t="shared" si="7"/>
        <v>0</v>
      </c>
      <c r="J238" s="65"/>
      <c r="K238" s="37"/>
      <c r="L238" s="37" t="s">
        <v>762</v>
      </c>
      <c r="M238" s="37">
        <v>11</v>
      </c>
      <c r="N238" s="37">
        <v>0</v>
      </c>
      <c r="O238" s="37">
        <v>0</v>
      </c>
      <c r="P238" s="37">
        <v>0</v>
      </c>
      <c r="Q238" s="37">
        <v>0</v>
      </c>
      <c r="R238" s="65"/>
      <c r="S238" s="65"/>
      <c r="T238" s="65"/>
      <c r="U238" s="65"/>
      <c r="V238" s="65"/>
      <c r="W238" s="65"/>
      <c r="X238" s="65"/>
      <c r="Y238" s="65"/>
      <c r="Z238" s="37" t="s">
        <v>105</v>
      </c>
      <c r="AA238" s="37"/>
      <c r="AB238" s="37"/>
      <c r="AC238" s="37"/>
      <c r="AD238" s="37"/>
      <c r="AE238" s="37"/>
      <c r="AF238" s="167">
        <v>45889</v>
      </c>
    </row>
    <row r="239" spans="1:32" s="28" customFormat="1" x14ac:dyDescent="0.25">
      <c r="A239" s="35">
        <v>45890</v>
      </c>
      <c r="B239" s="36" t="s">
        <v>763</v>
      </c>
      <c r="C239" s="37" t="s">
        <v>46</v>
      </c>
      <c r="D239" s="37">
        <v>44</v>
      </c>
      <c r="E239" s="65">
        <v>0.1736111111111111</v>
      </c>
      <c r="F239" s="65">
        <v>0.25624999999999998</v>
      </c>
      <c r="G239" s="65">
        <v>0.24305555555555555</v>
      </c>
      <c r="H239" s="65">
        <v>0.30902777777777779</v>
      </c>
      <c r="I239" s="38">
        <f t="shared" si="7"/>
        <v>5.2777777777777812E-2</v>
      </c>
      <c r="J239" s="65">
        <v>6.5972222222222224E-2</v>
      </c>
      <c r="K239" s="37" t="s">
        <v>50</v>
      </c>
      <c r="L239" s="37" t="s">
        <v>750</v>
      </c>
      <c r="M239" s="37">
        <v>11</v>
      </c>
      <c r="N239" s="37">
        <v>0</v>
      </c>
      <c r="O239" s="37">
        <v>0</v>
      </c>
      <c r="P239" s="37">
        <v>0</v>
      </c>
      <c r="Q239" s="37">
        <v>0</v>
      </c>
      <c r="R239" s="65">
        <v>0.2590277777777778</v>
      </c>
      <c r="S239" s="65">
        <v>0.29722222222222222</v>
      </c>
      <c r="T239" s="65">
        <v>0.26041666666666669</v>
      </c>
      <c r="U239" s="65">
        <v>0.27708333333333335</v>
      </c>
      <c r="V239" s="65">
        <v>0.27777777777777779</v>
      </c>
      <c r="W239" s="65">
        <v>0.29722222222222222</v>
      </c>
      <c r="X239" s="65">
        <v>0.26944444444444443</v>
      </c>
      <c r="Y239" s="65">
        <v>0.30763888888888891</v>
      </c>
      <c r="Z239" s="37" t="s">
        <v>72</v>
      </c>
      <c r="AA239" s="37"/>
      <c r="AB239" s="37">
        <v>16</v>
      </c>
      <c r="AC239" s="37">
        <v>12</v>
      </c>
      <c r="AD239" s="37">
        <v>13</v>
      </c>
      <c r="AE239" s="37">
        <v>10</v>
      </c>
      <c r="AF239" s="167">
        <v>45890</v>
      </c>
    </row>
    <row r="240" spans="1:32" s="28" customFormat="1" x14ac:dyDescent="0.25">
      <c r="A240" s="35">
        <v>45891</v>
      </c>
      <c r="B240" s="36" t="s">
        <v>764</v>
      </c>
      <c r="C240" s="37" t="s">
        <v>38</v>
      </c>
      <c r="D240" s="37">
        <v>44</v>
      </c>
      <c r="E240" s="65">
        <v>0.1736111111111111</v>
      </c>
      <c r="F240" s="65">
        <v>0.25277777777777777</v>
      </c>
      <c r="G240" s="65">
        <v>0.24305555555555555</v>
      </c>
      <c r="H240" s="65">
        <v>0.30902777777777779</v>
      </c>
      <c r="I240" s="38">
        <f t="shared" si="7"/>
        <v>5.6250000000000022E-2</v>
      </c>
      <c r="J240" s="65">
        <v>5.9027777777777776E-2</v>
      </c>
      <c r="K240" s="37" t="s">
        <v>50</v>
      </c>
      <c r="L240" s="37" t="s">
        <v>750</v>
      </c>
      <c r="M240" s="37">
        <v>11</v>
      </c>
      <c r="N240" s="37">
        <v>0</v>
      </c>
      <c r="O240" s="37">
        <v>0</v>
      </c>
      <c r="P240" s="37">
        <v>0</v>
      </c>
      <c r="Q240" s="37">
        <v>0</v>
      </c>
      <c r="R240" s="65">
        <v>0.25416666666666665</v>
      </c>
      <c r="S240" s="65">
        <v>0.2986111111111111</v>
      </c>
      <c r="T240" s="65">
        <v>0.25486111111111109</v>
      </c>
      <c r="U240" s="65">
        <v>0.28125</v>
      </c>
      <c r="V240" s="65">
        <v>0.28125</v>
      </c>
      <c r="W240" s="65">
        <v>0.2986111111111111</v>
      </c>
      <c r="X240" s="65">
        <v>0.27500000000000002</v>
      </c>
      <c r="Y240" s="65">
        <v>0.26250000000000001</v>
      </c>
      <c r="Z240" s="37" t="s">
        <v>72</v>
      </c>
      <c r="AA240" s="37"/>
      <c r="AB240" s="37">
        <v>20</v>
      </c>
      <c r="AC240" s="37">
        <v>20</v>
      </c>
      <c r="AD240" s="37">
        <v>8</v>
      </c>
      <c r="AE240" s="37">
        <v>7</v>
      </c>
      <c r="AF240" s="167">
        <v>45891</v>
      </c>
    </row>
    <row r="241" spans="1:33" s="28" customFormat="1" x14ac:dyDescent="0.25">
      <c r="A241" s="35">
        <v>45891</v>
      </c>
      <c r="B241" s="36" t="s">
        <v>764</v>
      </c>
      <c r="C241" s="37" t="s">
        <v>35</v>
      </c>
      <c r="D241" s="37">
        <v>44</v>
      </c>
      <c r="E241" s="65"/>
      <c r="F241" s="65">
        <v>0.74375000000000002</v>
      </c>
      <c r="G241" s="65"/>
      <c r="H241" s="65">
        <v>0.7895833333333333</v>
      </c>
      <c r="I241" s="38">
        <f t="shared" si="7"/>
        <v>4.5833333333333282E-2</v>
      </c>
      <c r="J241" s="65" t="s">
        <v>765</v>
      </c>
      <c r="K241" s="37" t="s">
        <v>766</v>
      </c>
      <c r="L241" s="37" t="s">
        <v>750</v>
      </c>
      <c r="M241" s="37">
        <v>11</v>
      </c>
      <c r="N241" s="37">
        <v>0</v>
      </c>
      <c r="O241" s="37">
        <v>0</v>
      </c>
      <c r="P241" s="37">
        <v>0</v>
      </c>
      <c r="Q241" s="37"/>
      <c r="R241" s="65">
        <v>0.74513888888888891</v>
      </c>
      <c r="S241" s="65">
        <v>0.78055555555555556</v>
      </c>
      <c r="T241" s="65">
        <v>0.74930555555555556</v>
      </c>
      <c r="U241" s="65">
        <v>0.76736111111111116</v>
      </c>
      <c r="V241" s="65">
        <v>0.75694444444444442</v>
      </c>
      <c r="W241" s="65">
        <v>0.78055555555555556</v>
      </c>
      <c r="X241" s="65">
        <v>0.78055555555555556</v>
      </c>
      <c r="Y241" s="65">
        <v>0.7895833333333333</v>
      </c>
      <c r="Z241" s="37" t="s">
        <v>72</v>
      </c>
      <c r="AA241" s="37"/>
      <c r="AB241" s="37">
        <v>28</v>
      </c>
      <c r="AC241" s="37">
        <v>15</v>
      </c>
      <c r="AD241" s="37">
        <v>0</v>
      </c>
      <c r="AE241" s="37">
        <v>12</v>
      </c>
      <c r="AF241" s="167">
        <v>45891</v>
      </c>
    </row>
    <row r="242" spans="1:33" s="28" customFormat="1" x14ac:dyDescent="0.25">
      <c r="A242" s="35">
        <v>45892</v>
      </c>
      <c r="B242" s="36" t="s">
        <v>621</v>
      </c>
      <c r="C242" s="37" t="s">
        <v>32</v>
      </c>
      <c r="D242" s="37">
        <v>44</v>
      </c>
      <c r="E242" s="65">
        <v>0.21527777777777779</v>
      </c>
      <c r="F242" s="65">
        <v>0.22916666666666666</v>
      </c>
      <c r="G242" s="65"/>
      <c r="H242" s="65"/>
      <c r="I242" s="38">
        <f t="shared" si="7"/>
        <v>-0.22916666666666666</v>
      </c>
      <c r="J242" s="37"/>
      <c r="K242" s="37"/>
      <c r="L242" s="37" t="s">
        <v>767</v>
      </c>
      <c r="M242" s="37">
        <v>11</v>
      </c>
      <c r="N242" s="37">
        <v>0</v>
      </c>
      <c r="O242" s="37">
        <v>0</v>
      </c>
      <c r="P242" s="37">
        <v>0</v>
      </c>
      <c r="Q242" s="37">
        <v>0</v>
      </c>
      <c r="R242" s="65">
        <v>0.23333333333333334</v>
      </c>
      <c r="S242" s="65">
        <v>0.26180555555555557</v>
      </c>
      <c r="T242" s="65">
        <v>0.23472222222222222</v>
      </c>
      <c r="U242" s="65">
        <v>0.22708333333333333</v>
      </c>
      <c r="V242" s="65">
        <v>0.25138888888888888</v>
      </c>
      <c r="W242" s="65">
        <v>0.26180555555555557</v>
      </c>
      <c r="X242" s="65">
        <v>0.24791666666666667</v>
      </c>
      <c r="Y242" s="37"/>
      <c r="Z242" s="37" t="s">
        <v>72</v>
      </c>
      <c r="AA242" s="37"/>
      <c r="AB242" s="37">
        <v>29</v>
      </c>
      <c r="AC242" s="37">
        <v>0</v>
      </c>
      <c r="AD242" s="37">
        <v>10</v>
      </c>
      <c r="AE242" s="37">
        <v>0</v>
      </c>
      <c r="AF242" s="167">
        <v>45892</v>
      </c>
    </row>
    <row r="243" spans="1:33" s="28" customFormat="1" x14ac:dyDescent="0.25">
      <c r="A243" s="35">
        <v>45893</v>
      </c>
      <c r="B243" s="36" t="s">
        <v>96</v>
      </c>
      <c r="C243" s="37" t="s">
        <v>32</v>
      </c>
      <c r="D243" s="37">
        <v>44</v>
      </c>
      <c r="E243" s="37"/>
      <c r="F243" s="37"/>
      <c r="G243" s="65">
        <v>0.125</v>
      </c>
      <c r="H243" s="65">
        <v>0.12222222222222222</v>
      </c>
      <c r="I243" s="38">
        <f t="shared" si="7"/>
        <v>0.12222222222222222</v>
      </c>
      <c r="J243" s="65">
        <v>0.84583333333333333</v>
      </c>
      <c r="K243" s="37">
        <v>71</v>
      </c>
      <c r="L243" s="228" t="s">
        <v>768</v>
      </c>
      <c r="M243" s="37">
        <v>11</v>
      </c>
      <c r="N243" s="37">
        <v>0</v>
      </c>
      <c r="O243" s="37">
        <v>0</v>
      </c>
      <c r="P243" s="37">
        <v>0</v>
      </c>
      <c r="Q243" s="37">
        <v>0</v>
      </c>
      <c r="R243" s="65">
        <v>6.25E-2</v>
      </c>
      <c r="S243" s="65">
        <v>9.5138888888888884E-2</v>
      </c>
      <c r="T243" s="37">
        <v>0</v>
      </c>
      <c r="U243" s="37">
        <v>0</v>
      </c>
      <c r="V243" s="65">
        <v>6.3888888888888884E-2</v>
      </c>
      <c r="W243" s="65">
        <v>9.5138888888888884E-2</v>
      </c>
      <c r="X243" s="37">
        <v>0</v>
      </c>
      <c r="Y243" s="65">
        <v>0.12222222222222222</v>
      </c>
      <c r="Z243" s="37" t="s">
        <v>72</v>
      </c>
      <c r="AA243" s="37"/>
      <c r="AB243" s="37">
        <v>0</v>
      </c>
      <c r="AC243" s="37">
        <v>0</v>
      </c>
      <c r="AD243" s="37">
        <v>8</v>
      </c>
      <c r="AE243" s="37">
        <v>33</v>
      </c>
      <c r="AF243" s="167">
        <v>45893</v>
      </c>
    </row>
    <row r="244" spans="1:33" s="28" customFormat="1" x14ac:dyDescent="0.25">
      <c r="A244" s="35">
        <v>45893</v>
      </c>
      <c r="B244" s="36" t="s">
        <v>742</v>
      </c>
      <c r="C244" s="37" t="s">
        <v>769</v>
      </c>
      <c r="D244" s="37">
        <v>43</v>
      </c>
      <c r="E244" s="65">
        <v>0.83680555555555558</v>
      </c>
      <c r="F244" s="65">
        <v>0.82222222222222219</v>
      </c>
      <c r="G244" s="65">
        <v>0.90625</v>
      </c>
      <c r="H244" s="65">
        <v>0.92708333333333337</v>
      </c>
      <c r="I244" s="38">
        <f t="shared" si="7"/>
        <v>0.10486111111111118</v>
      </c>
      <c r="J244" s="65" t="s">
        <v>770</v>
      </c>
      <c r="K244" s="230" t="s">
        <v>771</v>
      </c>
      <c r="L244" s="229" t="s">
        <v>772</v>
      </c>
      <c r="M244" s="231">
        <v>11</v>
      </c>
      <c r="N244" s="37">
        <v>0</v>
      </c>
      <c r="O244" s="37">
        <v>0</v>
      </c>
      <c r="P244" s="37">
        <v>0</v>
      </c>
      <c r="Q244" s="37">
        <v>0</v>
      </c>
      <c r="R244" s="65">
        <v>0.82499999999999996</v>
      </c>
      <c r="S244" s="65">
        <v>0.86944444444444446</v>
      </c>
      <c r="T244" s="65">
        <v>0.82847222222222228</v>
      </c>
      <c r="U244" s="65">
        <v>0.84722222222222221</v>
      </c>
      <c r="V244" s="65">
        <v>0.84722222222222221</v>
      </c>
      <c r="W244" s="65">
        <v>0.86944444444444446</v>
      </c>
      <c r="X244" s="65">
        <v>0.84652777777777777</v>
      </c>
      <c r="Y244" s="65">
        <v>0.8833333333333333</v>
      </c>
      <c r="Z244" s="37" t="s">
        <v>72</v>
      </c>
      <c r="AA244" s="37"/>
      <c r="AB244" s="37">
        <v>0</v>
      </c>
      <c r="AC244" s="37">
        <v>34</v>
      </c>
      <c r="AD244" s="37">
        <v>0</v>
      </c>
      <c r="AE244" s="37">
        <v>8</v>
      </c>
      <c r="AF244" s="167">
        <v>45893</v>
      </c>
    </row>
    <row r="245" spans="1:33" s="28" customFormat="1" x14ac:dyDescent="0.25">
      <c r="A245" s="35">
        <v>45894</v>
      </c>
      <c r="B245" s="36" t="s">
        <v>96</v>
      </c>
      <c r="C245" s="37" t="s">
        <v>773</v>
      </c>
      <c r="D245" s="37">
        <v>43</v>
      </c>
      <c r="E245" s="65">
        <v>0.125</v>
      </c>
      <c r="F245" s="65">
        <v>0.53333333333333333</v>
      </c>
      <c r="G245" s="65">
        <v>0.1875</v>
      </c>
      <c r="H245" s="65">
        <v>0.5854166666666667</v>
      </c>
      <c r="I245" s="38">
        <f t="shared" si="7"/>
        <v>5.208333333333337E-2</v>
      </c>
      <c r="J245" s="65">
        <v>0.2</v>
      </c>
      <c r="K245" s="37" t="s">
        <v>759</v>
      </c>
      <c r="L245" s="37" t="s">
        <v>750</v>
      </c>
      <c r="M245" s="37">
        <v>11</v>
      </c>
      <c r="N245" s="37">
        <v>0</v>
      </c>
      <c r="O245" s="37">
        <v>0</v>
      </c>
      <c r="P245" s="37">
        <v>0</v>
      </c>
      <c r="Q245" s="37">
        <v>0</v>
      </c>
      <c r="R245" s="65">
        <v>0.53541666666666665</v>
      </c>
      <c r="S245" s="65">
        <v>0.58125000000000004</v>
      </c>
      <c r="T245" s="65">
        <v>0.53611111111111109</v>
      </c>
      <c r="U245" s="65">
        <v>0.55208333333333337</v>
      </c>
      <c r="V245" s="65">
        <v>0.55277777777777781</v>
      </c>
      <c r="W245" s="65">
        <v>0.57916666666666672</v>
      </c>
      <c r="X245" s="65">
        <v>0.54861111111111116</v>
      </c>
      <c r="Y245" s="65">
        <v>0.58472222222222225</v>
      </c>
      <c r="Z245" s="37" t="s">
        <v>774</v>
      </c>
      <c r="AA245" s="37"/>
      <c r="AB245" s="37">
        <v>2</v>
      </c>
      <c r="AC245" s="37">
        <v>21</v>
      </c>
      <c r="AD245" s="37">
        <v>0</v>
      </c>
      <c r="AE245" s="37">
        <v>22</v>
      </c>
      <c r="AF245" s="167">
        <v>45894</v>
      </c>
    </row>
    <row r="246" spans="1:33" s="28" customFormat="1" x14ac:dyDescent="0.25">
      <c r="A246" s="35">
        <v>45895</v>
      </c>
      <c r="B246" s="36" t="s">
        <v>621</v>
      </c>
      <c r="C246" s="37" t="s">
        <v>35</v>
      </c>
      <c r="D246" s="37">
        <v>43</v>
      </c>
      <c r="E246" s="65">
        <v>0.1736111111111111</v>
      </c>
      <c r="F246" s="65">
        <v>0.17986111111111111</v>
      </c>
      <c r="G246" s="65">
        <v>0.24305555555555555</v>
      </c>
      <c r="H246" s="65">
        <v>0.21944444444444444</v>
      </c>
      <c r="I246" s="38">
        <f t="shared" si="7"/>
        <v>3.9583333333333331E-2</v>
      </c>
      <c r="J246" s="37">
        <v>0</v>
      </c>
      <c r="K246" s="37">
        <v>0</v>
      </c>
      <c r="L246" s="37" t="s">
        <v>33</v>
      </c>
      <c r="M246" s="37">
        <v>11</v>
      </c>
      <c r="N246" s="37">
        <v>0</v>
      </c>
      <c r="O246" s="37">
        <v>0</v>
      </c>
      <c r="P246" s="37">
        <v>0</v>
      </c>
      <c r="Q246" s="37">
        <v>0</v>
      </c>
      <c r="R246" s="65">
        <v>0.18055555555555555</v>
      </c>
      <c r="S246" s="65">
        <v>0.21458333333333332</v>
      </c>
      <c r="T246" s="65">
        <v>0.18402777777777779</v>
      </c>
      <c r="U246" s="65">
        <v>0.19513888888888889</v>
      </c>
      <c r="V246" s="65">
        <v>0.19513888888888889</v>
      </c>
      <c r="W246" s="65">
        <v>0.21458333333333332</v>
      </c>
      <c r="X246" s="65">
        <v>0.19305555555555556</v>
      </c>
      <c r="Y246" s="65">
        <v>0.21944444444444444</v>
      </c>
      <c r="Z246" s="37" t="s">
        <v>774</v>
      </c>
      <c r="AA246" s="37"/>
      <c r="AB246" s="37">
        <v>4</v>
      </c>
      <c r="AC246" s="37">
        <v>22</v>
      </c>
      <c r="AD246" s="37">
        <v>0</v>
      </c>
      <c r="AE246" s="37">
        <v>19</v>
      </c>
      <c r="AF246" s="167">
        <v>45895</v>
      </c>
    </row>
    <row r="247" spans="1:33" s="28" customFormat="1" x14ac:dyDescent="0.25">
      <c r="A247" s="35">
        <v>45896</v>
      </c>
      <c r="B247" s="36" t="s">
        <v>621</v>
      </c>
      <c r="C247" s="37" t="s">
        <v>773</v>
      </c>
      <c r="D247" s="37">
        <v>43</v>
      </c>
      <c r="E247" s="65">
        <v>0.1736111111111111</v>
      </c>
      <c r="F247" s="65">
        <v>0.19583333333333333</v>
      </c>
      <c r="G247" s="65">
        <v>0.24305555555555555</v>
      </c>
      <c r="H247" s="65">
        <v>0.24444444444444444</v>
      </c>
      <c r="I247" s="38">
        <f t="shared" si="7"/>
        <v>4.8611111111111105E-2</v>
      </c>
      <c r="J247" s="37">
        <v>0</v>
      </c>
      <c r="K247" s="37">
        <v>0</v>
      </c>
      <c r="L247" s="37" t="s">
        <v>33</v>
      </c>
      <c r="M247" s="37">
        <v>11</v>
      </c>
      <c r="N247" s="37">
        <v>0</v>
      </c>
      <c r="O247" s="37">
        <v>0</v>
      </c>
      <c r="P247" s="37">
        <v>0</v>
      </c>
      <c r="Q247" s="37">
        <v>0</v>
      </c>
      <c r="R247" s="65">
        <v>0.19652777777777777</v>
      </c>
      <c r="S247" s="65">
        <v>0.23958333333333334</v>
      </c>
      <c r="T247" s="65">
        <v>0.19791666666666666</v>
      </c>
      <c r="U247" s="65">
        <v>0.22083333333333333</v>
      </c>
      <c r="V247" s="65">
        <v>0.22152777777777777</v>
      </c>
      <c r="W247" s="65">
        <v>0.23958333333333334</v>
      </c>
      <c r="X247" s="65">
        <v>0.2048611111111111</v>
      </c>
      <c r="Y247" s="65">
        <v>0.24444444444444444</v>
      </c>
      <c r="Z247" s="37" t="s">
        <v>34</v>
      </c>
      <c r="AA247" s="37"/>
      <c r="AB247" s="37">
        <v>12</v>
      </c>
      <c r="AC247" s="37">
        <v>16</v>
      </c>
      <c r="AD247" s="37">
        <v>3</v>
      </c>
      <c r="AE247" s="37">
        <v>16</v>
      </c>
      <c r="AF247" s="167">
        <v>45896</v>
      </c>
    </row>
    <row r="248" spans="1:33" s="28" customFormat="1" x14ac:dyDescent="0.25">
      <c r="A248" s="35">
        <v>45897</v>
      </c>
      <c r="B248" s="36" t="s">
        <v>697</v>
      </c>
      <c r="C248" s="37" t="s">
        <v>32</v>
      </c>
      <c r="D248" s="37">
        <v>44</v>
      </c>
      <c r="E248" s="65">
        <v>0.1736111111111111</v>
      </c>
      <c r="F248" s="65">
        <v>0.1875</v>
      </c>
      <c r="G248" s="65">
        <v>0.24305555555555555</v>
      </c>
      <c r="H248" s="37"/>
      <c r="I248" s="38">
        <f t="shared" si="7"/>
        <v>-0.1875</v>
      </c>
      <c r="J248" s="37"/>
      <c r="K248" s="37"/>
      <c r="L248" s="37" t="s">
        <v>767</v>
      </c>
      <c r="M248" s="37">
        <v>11</v>
      </c>
      <c r="N248" s="65">
        <v>0.27777777777777779</v>
      </c>
      <c r="O248" s="65">
        <v>0.3611111111111111</v>
      </c>
      <c r="P248" s="37">
        <v>0</v>
      </c>
      <c r="Q248" s="37">
        <v>0</v>
      </c>
      <c r="R248" s="65">
        <v>0.19027777777777777</v>
      </c>
      <c r="S248" s="65">
        <v>0.2326388888888889</v>
      </c>
      <c r="T248" s="65">
        <v>0.19305555555555556</v>
      </c>
      <c r="U248" s="65">
        <v>0.20833333333333334</v>
      </c>
      <c r="V248" s="37"/>
      <c r="W248" s="37"/>
      <c r="X248" s="65">
        <v>0.20416666666666666</v>
      </c>
      <c r="Y248" s="37"/>
      <c r="Z248" s="37" t="s">
        <v>34</v>
      </c>
      <c r="AA248" s="37"/>
      <c r="AB248" s="37">
        <v>20</v>
      </c>
      <c r="AC248" s="37">
        <v>10</v>
      </c>
      <c r="AD248" s="37">
        <v>6</v>
      </c>
      <c r="AE248" s="37">
        <v>23</v>
      </c>
      <c r="AF248" s="167">
        <v>45897</v>
      </c>
    </row>
    <row r="249" spans="1:33" s="28" customFormat="1" x14ac:dyDescent="0.25">
      <c r="A249" s="35">
        <v>45897</v>
      </c>
      <c r="B249" s="36" t="s">
        <v>107</v>
      </c>
      <c r="C249" s="37" t="s">
        <v>32</v>
      </c>
      <c r="D249" s="37">
        <v>44</v>
      </c>
      <c r="E249" s="65"/>
      <c r="F249" s="65"/>
      <c r="G249" s="65">
        <v>0.8125</v>
      </c>
      <c r="H249" s="65">
        <v>0.80972222222222223</v>
      </c>
      <c r="I249" s="38">
        <f t="shared" si="7"/>
        <v>0.80972222222222223</v>
      </c>
      <c r="J249" s="65">
        <v>0.56666666666666665</v>
      </c>
      <c r="K249" s="37">
        <v>71</v>
      </c>
      <c r="L249" s="37" t="s">
        <v>767</v>
      </c>
      <c r="M249" s="37">
        <v>11</v>
      </c>
      <c r="N249" s="65">
        <v>0.75</v>
      </c>
      <c r="O249" s="65">
        <v>0.8125</v>
      </c>
      <c r="P249" s="37">
        <v>0</v>
      </c>
      <c r="Q249" s="37">
        <v>0</v>
      </c>
      <c r="R249" s="65">
        <v>0.75694444444444442</v>
      </c>
      <c r="S249" s="65">
        <v>0.79861111111111116</v>
      </c>
      <c r="T249" s="65"/>
      <c r="U249" s="65"/>
      <c r="V249" s="65">
        <v>0.75694444444444442</v>
      </c>
      <c r="W249" s="65">
        <v>0.79861111111111116</v>
      </c>
      <c r="X249" s="37"/>
      <c r="Y249" s="65">
        <v>0.30972222222222223</v>
      </c>
      <c r="Z249" s="37" t="s">
        <v>34</v>
      </c>
      <c r="AA249" s="37"/>
      <c r="AB249" s="37"/>
      <c r="AC249" s="37"/>
      <c r="AD249" s="37">
        <v>10</v>
      </c>
      <c r="AE249" s="37">
        <v>17</v>
      </c>
      <c r="AF249" s="167">
        <v>45897</v>
      </c>
    </row>
    <row r="250" spans="1:33" s="28" customFormat="1" x14ac:dyDescent="0.25">
      <c r="A250" s="35">
        <v>45898</v>
      </c>
      <c r="B250" s="36" t="s">
        <v>621</v>
      </c>
      <c r="C250" s="37" t="s">
        <v>38</v>
      </c>
      <c r="D250" s="37">
        <v>46</v>
      </c>
      <c r="E250" s="65">
        <v>0.1736111111111111</v>
      </c>
      <c r="F250" s="65">
        <v>0.18888888888888888</v>
      </c>
      <c r="G250" s="65">
        <v>0.24305555555555555</v>
      </c>
      <c r="H250" s="65">
        <v>0.24305555555555555</v>
      </c>
      <c r="I250" s="38">
        <f t="shared" si="7"/>
        <v>5.4166666666666669E-2</v>
      </c>
      <c r="J250" s="37">
        <v>0</v>
      </c>
      <c r="K250" s="37">
        <v>0</v>
      </c>
      <c r="L250" s="37" t="s">
        <v>33</v>
      </c>
      <c r="M250" s="37">
        <v>11</v>
      </c>
      <c r="N250" s="37">
        <v>0</v>
      </c>
      <c r="O250" s="37">
        <v>0</v>
      </c>
      <c r="P250" s="37">
        <v>0</v>
      </c>
      <c r="Q250" s="37">
        <v>0</v>
      </c>
      <c r="R250" s="65">
        <v>0.18958333333333333</v>
      </c>
      <c r="S250" s="65">
        <v>0.23055555555555557</v>
      </c>
      <c r="T250" s="65">
        <v>0.18958333333333333</v>
      </c>
      <c r="U250" s="65">
        <v>0.21111111111111111</v>
      </c>
      <c r="V250" s="65">
        <v>0.21180555555555555</v>
      </c>
      <c r="W250" s="65">
        <v>0.23055555555555557</v>
      </c>
      <c r="X250" s="65">
        <v>0.20208333333333334</v>
      </c>
      <c r="Y250" s="65">
        <v>0.2361111111111111</v>
      </c>
      <c r="Z250" s="37" t="s">
        <v>72</v>
      </c>
      <c r="AA250" s="37"/>
      <c r="AB250" s="37">
        <v>12</v>
      </c>
      <c r="AC250" s="37">
        <v>12</v>
      </c>
      <c r="AD250" s="37">
        <v>2</v>
      </c>
      <c r="AE250" s="37">
        <v>13</v>
      </c>
      <c r="AF250" s="167">
        <v>45898</v>
      </c>
    </row>
    <row r="251" spans="1:33" s="28" customFormat="1" x14ac:dyDescent="0.25">
      <c r="A251" s="35">
        <v>45899</v>
      </c>
      <c r="B251" s="36" t="s">
        <v>621</v>
      </c>
      <c r="C251" s="37" t="s">
        <v>46</v>
      </c>
      <c r="D251" s="37">
        <v>44</v>
      </c>
      <c r="E251" s="65">
        <v>0.21527777777777779</v>
      </c>
      <c r="F251" s="65">
        <v>0.22777777777777777</v>
      </c>
      <c r="G251" s="65">
        <v>0.27777777777777779</v>
      </c>
      <c r="H251" s="65">
        <v>0.27708333333333335</v>
      </c>
      <c r="I251" s="38">
        <f t="shared" si="7"/>
        <v>4.9305555555555575E-2</v>
      </c>
      <c r="J251" s="37">
        <v>0</v>
      </c>
      <c r="K251" s="37">
        <v>0</v>
      </c>
      <c r="L251" s="37" t="s">
        <v>33</v>
      </c>
      <c r="M251" s="37">
        <v>11</v>
      </c>
      <c r="N251" s="65">
        <v>0.22916666666666666</v>
      </c>
      <c r="O251" s="65">
        <v>0.27083333333333331</v>
      </c>
      <c r="P251" s="37">
        <v>0</v>
      </c>
      <c r="Q251" s="37">
        <v>0</v>
      </c>
      <c r="R251" s="65">
        <v>0.22847222222222222</v>
      </c>
      <c r="S251" s="65">
        <v>0.2673611111111111</v>
      </c>
      <c r="T251" s="65">
        <v>0.23125000000000001</v>
      </c>
      <c r="U251" s="65">
        <v>0.25</v>
      </c>
      <c r="V251" s="65">
        <v>0.25069444444444444</v>
      </c>
      <c r="W251" s="65">
        <v>0.2673611111111111</v>
      </c>
      <c r="X251" s="65">
        <v>0.24027777777777778</v>
      </c>
      <c r="Y251" s="65">
        <v>0.27500000000000002</v>
      </c>
      <c r="Z251" s="37" t="s">
        <v>72</v>
      </c>
      <c r="AA251" s="37"/>
      <c r="AB251" s="37">
        <v>14</v>
      </c>
      <c r="AC251" s="37">
        <v>16</v>
      </c>
      <c r="AD251" s="37">
        <v>2</v>
      </c>
      <c r="AE251" s="37">
        <v>20</v>
      </c>
      <c r="AF251" s="167">
        <v>45899</v>
      </c>
    </row>
    <row r="252" spans="1:33" s="28" customFormat="1" x14ac:dyDescent="0.25">
      <c r="A252" s="35">
        <v>45900</v>
      </c>
      <c r="B252" s="36" t="s">
        <v>763</v>
      </c>
      <c r="C252" s="37" t="s">
        <v>35</v>
      </c>
      <c r="D252" s="37">
        <v>43</v>
      </c>
      <c r="E252" s="65">
        <v>0.1736111111111111</v>
      </c>
      <c r="F252" s="65">
        <v>0.18194444444444444</v>
      </c>
      <c r="G252" s="65">
        <v>0.25</v>
      </c>
      <c r="H252" s="65">
        <v>0.26111111111111113</v>
      </c>
      <c r="I252" s="38">
        <f t="shared" si="7"/>
        <v>7.9166666666666691E-2</v>
      </c>
      <c r="J252" s="65">
        <v>1.1805555555555555E-2</v>
      </c>
      <c r="K252" s="37" t="s">
        <v>775</v>
      </c>
      <c r="L252" s="37" t="s">
        <v>776</v>
      </c>
      <c r="M252" s="37">
        <v>11</v>
      </c>
      <c r="N252" s="37">
        <v>0</v>
      </c>
      <c r="O252" s="37">
        <v>0</v>
      </c>
      <c r="P252" s="37">
        <v>0</v>
      </c>
      <c r="Q252" s="37">
        <v>0</v>
      </c>
      <c r="R252" s="65">
        <v>0.18402777777777779</v>
      </c>
      <c r="S252" s="65">
        <v>0.22708333333333333</v>
      </c>
      <c r="T252" s="65">
        <v>0.18680555555555556</v>
      </c>
      <c r="U252" s="65">
        <v>0.20555555555555555</v>
      </c>
      <c r="V252" s="65">
        <v>0.19375000000000001</v>
      </c>
      <c r="W252" s="65">
        <v>0.22569444444444445</v>
      </c>
      <c r="X252" s="65">
        <v>0.26180555555555557</v>
      </c>
      <c r="Y252" s="65">
        <v>0.26180555555555557</v>
      </c>
      <c r="Z252" s="37" t="s">
        <v>97</v>
      </c>
      <c r="AA252" s="37"/>
      <c r="AB252" s="37">
        <v>14</v>
      </c>
      <c r="AC252" s="37">
        <v>20</v>
      </c>
      <c r="AD252" s="37"/>
      <c r="AE252" s="37">
        <v>16</v>
      </c>
      <c r="AF252" s="167">
        <v>45900</v>
      </c>
    </row>
    <row r="253" spans="1:33" s="28" customFormat="1" x14ac:dyDescent="0.25">
      <c r="A253" s="35">
        <v>45901</v>
      </c>
      <c r="B253" s="36" t="s">
        <v>621</v>
      </c>
      <c r="C253" s="37" t="s">
        <v>38</v>
      </c>
      <c r="D253" s="37">
        <v>42</v>
      </c>
      <c r="E253" s="65">
        <v>0.13194444444444445</v>
      </c>
      <c r="F253" s="65">
        <v>0.12083333333333333</v>
      </c>
      <c r="G253" s="65">
        <v>0.1875</v>
      </c>
      <c r="H253" s="65">
        <v>0.1875</v>
      </c>
      <c r="I253" s="38">
        <f t="shared" si="7"/>
        <v>6.6666666666666666E-2</v>
      </c>
      <c r="J253" s="37">
        <v>0</v>
      </c>
      <c r="K253" s="37">
        <v>0</v>
      </c>
      <c r="L253" s="37" t="s">
        <v>33</v>
      </c>
      <c r="M253" s="37">
        <v>11</v>
      </c>
      <c r="N253" s="37">
        <v>0</v>
      </c>
      <c r="O253" s="37">
        <v>0</v>
      </c>
      <c r="P253" s="37">
        <v>0</v>
      </c>
      <c r="Q253" s="37">
        <v>0</v>
      </c>
      <c r="R253" s="65">
        <v>0.12083333333333333</v>
      </c>
      <c r="S253" s="65">
        <v>0.15416666666666667</v>
      </c>
      <c r="T253" s="65">
        <v>0.125</v>
      </c>
      <c r="U253" s="65">
        <v>0.13402777777777777</v>
      </c>
      <c r="V253" s="65">
        <v>0.1361111111111111</v>
      </c>
      <c r="W253" s="65">
        <v>0.15625</v>
      </c>
      <c r="X253" s="37"/>
      <c r="Y253" s="65">
        <v>0.18472222222222223</v>
      </c>
      <c r="Z253" s="37" t="s">
        <v>34</v>
      </c>
      <c r="AA253" s="37"/>
      <c r="AB253" s="37">
        <v>24</v>
      </c>
      <c r="AC253" s="37">
        <v>24</v>
      </c>
      <c r="AD253" s="37">
        <v>4</v>
      </c>
      <c r="AE253" s="37">
        <v>4</v>
      </c>
      <c r="AF253" s="167">
        <v>45901</v>
      </c>
    </row>
    <row r="254" spans="1:33" s="28" customFormat="1" x14ac:dyDescent="0.25">
      <c r="A254" s="35">
        <v>45902</v>
      </c>
      <c r="B254" s="36" t="s">
        <v>621</v>
      </c>
      <c r="C254" s="37" t="s">
        <v>35</v>
      </c>
      <c r="D254" s="37">
        <v>44</v>
      </c>
      <c r="E254" s="65">
        <v>0.1736111111111111</v>
      </c>
      <c r="F254" s="65">
        <v>0.17083333333333334</v>
      </c>
      <c r="G254" s="65">
        <v>0.24305555555555555</v>
      </c>
      <c r="H254" s="65">
        <v>0.23402777777777778</v>
      </c>
      <c r="I254" s="38">
        <f t="shared" si="7"/>
        <v>6.3194444444444442E-2</v>
      </c>
      <c r="J254" s="37">
        <v>0</v>
      </c>
      <c r="K254" s="37">
        <v>0</v>
      </c>
      <c r="L254" s="37" t="s">
        <v>33</v>
      </c>
      <c r="M254" s="37">
        <v>11</v>
      </c>
      <c r="N254" s="37">
        <v>0</v>
      </c>
      <c r="O254" s="37">
        <v>0</v>
      </c>
      <c r="P254" s="37">
        <v>0</v>
      </c>
      <c r="Q254" s="37">
        <v>0</v>
      </c>
      <c r="R254" s="65">
        <v>0.17291666666666666</v>
      </c>
      <c r="S254" s="65">
        <v>0.21736111111111112</v>
      </c>
      <c r="T254" s="65">
        <v>0.1736111111111111</v>
      </c>
      <c r="U254" s="65">
        <v>0.19097222222222221</v>
      </c>
      <c r="V254" s="65">
        <v>0.19166666666666668</v>
      </c>
      <c r="W254" s="65">
        <v>0.21597222222222223</v>
      </c>
      <c r="X254" s="65">
        <v>0.19375000000000001</v>
      </c>
      <c r="Y254" s="65">
        <v>0.23125000000000001</v>
      </c>
      <c r="Z254" s="37" t="s">
        <v>602</v>
      </c>
      <c r="AA254" s="37"/>
      <c r="AB254" s="37">
        <v>11</v>
      </c>
      <c r="AC254" s="37">
        <v>15</v>
      </c>
      <c r="AD254" s="37">
        <v>4</v>
      </c>
      <c r="AE254" s="37">
        <v>24</v>
      </c>
      <c r="AF254" s="167">
        <v>45902</v>
      </c>
      <c r="AG254" s="167"/>
    </row>
    <row r="255" spans="1:33" s="28" customFormat="1" x14ac:dyDescent="0.25">
      <c r="A255" s="35">
        <v>45903</v>
      </c>
      <c r="B255" s="36" t="s">
        <v>621</v>
      </c>
      <c r="C255" s="37" t="s">
        <v>48</v>
      </c>
      <c r="D255" s="37">
        <v>44</v>
      </c>
      <c r="E255" s="65">
        <v>0.1736111111111111</v>
      </c>
      <c r="F255" s="65">
        <v>0.18263888888888888</v>
      </c>
      <c r="G255" s="65">
        <v>0.24305555555555555</v>
      </c>
      <c r="H255" s="65">
        <v>0.24513888888888888</v>
      </c>
      <c r="I255" s="38">
        <f t="shared" si="7"/>
        <v>6.25E-2</v>
      </c>
      <c r="J255" s="65">
        <v>2.0833333333333333E-3</v>
      </c>
      <c r="K255" s="37">
        <v>81</v>
      </c>
      <c r="L255" s="37" t="s">
        <v>85</v>
      </c>
      <c r="M255" s="37">
        <v>11</v>
      </c>
      <c r="N255" s="37">
        <v>0</v>
      </c>
      <c r="O255" s="37">
        <v>0</v>
      </c>
      <c r="P255" s="37">
        <v>0</v>
      </c>
      <c r="Q255" s="37">
        <v>0</v>
      </c>
      <c r="R255" s="65">
        <v>0.18541666666666667</v>
      </c>
      <c r="S255" s="65">
        <v>0.22916666666666666</v>
      </c>
      <c r="T255" s="65">
        <v>0.18541666666666667</v>
      </c>
      <c r="U255" s="65">
        <v>0.21041666666666667</v>
      </c>
      <c r="V255" s="65">
        <v>0.21111111111111111</v>
      </c>
      <c r="W255" s="65">
        <v>0.21041666666666667</v>
      </c>
      <c r="X255" s="65">
        <v>0.1986111111111111</v>
      </c>
      <c r="Y255" s="65">
        <v>0.23749999999999999</v>
      </c>
      <c r="Z255" s="37" t="s">
        <v>34</v>
      </c>
      <c r="AA255" s="37"/>
      <c r="AB255" s="37">
        <v>11</v>
      </c>
      <c r="AC255" s="37">
        <v>14</v>
      </c>
      <c r="AD255" s="37">
        <v>5</v>
      </c>
      <c r="AE255" s="37">
        <v>15</v>
      </c>
      <c r="AF255" s="167">
        <v>45903</v>
      </c>
    </row>
    <row r="256" spans="1:33" s="28" customFormat="1" x14ac:dyDescent="0.25">
      <c r="A256" s="35">
        <v>45904</v>
      </c>
      <c r="B256" s="36" t="s">
        <v>621</v>
      </c>
      <c r="C256" s="37" t="s">
        <v>46</v>
      </c>
      <c r="D256" s="37">
        <v>44</v>
      </c>
      <c r="E256" s="65">
        <v>0.1736111111111111</v>
      </c>
      <c r="F256" s="65">
        <v>0.21597222222222223</v>
      </c>
      <c r="G256" s="65">
        <v>0.24305555555555555</v>
      </c>
      <c r="H256" s="65">
        <v>0.26597222222222222</v>
      </c>
      <c r="I256" s="38">
        <f t="shared" si="7"/>
        <v>4.9999999999999989E-2</v>
      </c>
      <c r="J256" s="65">
        <v>2.2916666666666665E-2</v>
      </c>
      <c r="K256" s="37" t="s">
        <v>711</v>
      </c>
      <c r="L256" s="37" t="s">
        <v>777</v>
      </c>
      <c r="M256" s="37">
        <v>11</v>
      </c>
      <c r="N256" s="65">
        <v>0.21527777777777779</v>
      </c>
      <c r="O256" s="65">
        <v>0.2638888888888889</v>
      </c>
      <c r="P256" s="65">
        <v>0.2638888888888889</v>
      </c>
      <c r="Q256" s="65">
        <v>0.2673611111111111</v>
      </c>
      <c r="R256" s="65">
        <v>0.21944444444444444</v>
      </c>
      <c r="S256" s="65">
        <v>0.25694444444444442</v>
      </c>
      <c r="T256" s="65">
        <v>0.22083333333333333</v>
      </c>
      <c r="U256" s="65">
        <v>0.23819444444444443</v>
      </c>
      <c r="V256" s="65">
        <v>0.24027777777777778</v>
      </c>
      <c r="W256" s="65">
        <v>0.25694444444444442</v>
      </c>
      <c r="X256" s="65">
        <v>0.23194444444444445</v>
      </c>
      <c r="Y256" s="65">
        <v>0.2638888888888889</v>
      </c>
      <c r="Z256" s="37" t="s">
        <v>40</v>
      </c>
      <c r="AA256" s="37"/>
      <c r="AB256" s="37">
        <v>25</v>
      </c>
      <c r="AC256" s="37">
        <v>0</v>
      </c>
      <c r="AD256" s="37">
        <v>0</v>
      </c>
      <c r="AE256" s="37">
        <v>26</v>
      </c>
      <c r="AF256" s="167">
        <v>45904</v>
      </c>
    </row>
    <row r="257" spans="1:32" s="28" customFormat="1" x14ac:dyDescent="0.25">
      <c r="A257" s="35">
        <v>45905</v>
      </c>
      <c r="B257" s="36" t="s">
        <v>621</v>
      </c>
      <c r="C257" s="37" t="s">
        <v>38</v>
      </c>
      <c r="D257" s="37">
        <v>43</v>
      </c>
      <c r="E257" s="65">
        <v>0.1736111111111111</v>
      </c>
      <c r="F257" s="65">
        <v>0.19791666666666666</v>
      </c>
      <c r="G257" s="65">
        <v>0.24305555555555555</v>
      </c>
      <c r="H257" s="65">
        <v>0.24583333333333332</v>
      </c>
      <c r="I257" s="38">
        <f t="shared" si="7"/>
        <v>4.7916666666666663E-2</v>
      </c>
      <c r="J257" s="39">
        <v>2.7777777777777779E-3</v>
      </c>
      <c r="K257" s="36" t="s">
        <v>50</v>
      </c>
      <c r="L257" s="37" t="s">
        <v>750</v>
      </c>
      <c r="M257" s="37">
        <v>11</v>
      </c>
      <c r="N257" s="37">
        <v>0</v>
      </c>
      <c r="O257" s="37">
        <v>0</v>
      </c>
      <c r="P257" s="37">
        <v>0</v>
      </c>
      <c r="Q257" s="37">
        <v>0</v>
      </c>
      <c r="R257" s="65">
        <v>0.19930555555555557</v>
      </c>
      <c r="S257" s="65">
        <v>0.23819444444444443</v>
      </c>
      <c r="T257" s="65">
        <v>0.2013888888888889</v>
      </c>
      <c r="U257" s="65">
        <v>0.21875</v>
      </c>
      <c r="V257" s="65">
        <v>0.21875</v>
      </c>
      <c r="W257" s="65">
        <v>0.2388888888888889</v>
      </c>
      <c r="X257" s="65">
        <v>0.20833333333333334</v>
      </c>
      <c r="Y257" s="65">
        <v>0.24236111111111111</v>
      </c>
      <c r="Z257" s="37" t="s">
        <v>34</v>
      </c>
      <c r="AA257" s="37"/>
      <c r="AB257" s="37">
        <v>28</v>
      </c>
      <c r="AC257" s="37">
        <v>12</v>
      </c>
      <c r="AD257" s="37">
        <v>0</v>
      </c>
      <c r="AE257" s="37">
        <v>16</v>
      </c>
      <c r="AF257" s="167">
        <v>45905</v>
      </c>
    </row>
    <row r="258" spans="1:32" s="28" customFormat="1" x14ac:dyDescent="0.25">
      <c r="A258" s="35">
        <v>45906</v>
      </c>
      <c r="B258" s="36" t="s">
        <v>621</v>
      </c>
      <c r="C258" s="37" t="s">
        <v>35</v>
      </c>
      <c r="D258" s="37">
        <v>42</v>
      </c>
      <c r="E258" s="65">
        <v>0.21527777777777779</v>
      </c>
      <c r="F258" s="65">
        <v>0.22500000000000001</v>
      </c>
      <c r="G258" s="65">
        <v>0.27777777777777779</v>
      </c>
      <c r="H258" s="65">
        <v>0.27777777777777779</v>
      </c>
      <c r="I258" s="38">
        <f t="shared" si="7"/>
        <v>5.2777777777777785E-2</v>
      </c>
      <c r="J258" s="36">
        <v>0</v>
      </c>
      <c r="K258" s="36">
        <v>0</v>
      </c>
      <c r="L258" s="37" t="s">
        <v>778</v>
      </c>
      <c r="M258" s="37">
        <v>11</v>
      </c>
      <c r="N258" s="37">
        <v>0</v>
      </c>
      <c r="O258" s="37">
        <v>0</v>
      </c>
      <c r="P258" s="37">
        <v>0</v>
      </c>
      <c r="Q258" s="37">
        <v>0</v>
      </c>
      <c r="R258" s="65">
        <v>0.22569444444444445</v>
      </c>
      <c r="S258" s="65">
        <v>0.26597222222222222</v>
      </c>
      <c r="T258" s="65">
        <v>0.22569444444444445</v>
      </c>
      <c r="U258" s="65">
        <v>0.24236111111111111</v>
      </c>
      <c r="V258" s="65">
        <v>0.24374999999999999</v>
      </c>
      <c r="W258" s="65">
        <v>0.26597222222222222</v>
      </c>
      <c r="X258" s="65">
        <v>0.24722222222222223</v>
      </c>
      <c r="Y258" s="65">
        <v>0.27500000000000002</v>
      </c>
      <c r="Z258" s="37" t="s">
        <v>40</v>
      </c>
      <c r="AA258" s="37"/>
      <c r="AB258" s="37">
        <v>25</v>
      </c>
      <c r="AC258" s="37">
        <v>8</v>
      </c>
      <c r="AD258" s="37">
        <v>2</v>
      </c>
      <c r="AE258" s="37">
        <v>20</v>
      </c>
      <c r="AF258" s="167">
        <v>45906</v>
      </c>
    </row>
    <row r="259" spans="1:32" s="28" customFormat="1" x14ac:dyDescent="0.25">
      <c r="A259" s="35">
        <v>45907</v>
      </c>
      <c r="B259" s="36" t="s">
        <v>779</v>
      </c>
      <c r="C259" s="37" t="s">
        <v>38</v>
      </c>
      <c r="D259" s="37">
        <v>44</v>
      </c>
      <c r="E259" s="65">
        <v>0.21527777777777779</v>
      </c>
      <c r="F259" s="65">
        <v>0.20277777777777778</v>
      </c>
      <c r="G259" s="65">
        <v>0.28472222222222221</v>
      </c>
      <c r="H259" s="65">
        <v>0.26180555555555557</v>
      </c>
      <c r="I259" s="38">
        <f t="shared" si="7"/>
        <v>5.902777777777779E-2</v>
      </c>
      <c r="J259" s="36">
        <v>0</v>
      </c>
      <c r="K259" s="36">
        <v>0</v>
      </c>
      <c r="L259" s="37" t="s">
        <v>33</v>
      </c>
      <c r="M259" s="37">
        <v>11</v>
      </c>
      <c r="N259" s="37">
        <v>0</v>
      </c>
      <c r="O259" s="37">
        <v>0</v>
      </c>
      <c r="P259" s="37">
        <v>0</v>
      </c>
      <c r="Q259" s="37">
        <v>0</v>
      </c>
      <c r="R259" s="65">
        <v>0.20694444444444443</v>
      </c>
      <c r="S259" s="65">
        <v>0.25138888888888888</v>
      </c>
      <c r="T259" s="65">
        <v>0.20833333333333334</v>
      </c>
      <c r="U259" s="65">
        <v>0.22916666666666666</v>
      </c>
      <c r="V259" s="65">
        <v>0.2298611111111111</v>
      </c>
      <c r="W259" s="65">
        <v>0.25069444444444444</v>
      </c>
      <c r="X259" s="65">
        <v>0.27638888888888891</v>
      </c>
      <c r="Y259" s="65">
        <v>0.25208333333333333</v>
      </c>
      <c r="Z259" s="37" t="s">
        <v>602</v>
      </c>
      <c r="AA259" s="37"/>
      <c r="AB259" s="37">
        <v>14</v>
      </c>
      <c r="AC259" s="37">
        <v>20</v>
      </c>
      <c r="AD259" s="37">
        <v>6</v>
      </c>
      <c r="AE259" s="37">
        <v>26</v>
      </c>
      <c r="AF259" s="167">
        <v>45907</v>
      </c>
    </row>
    <row r="260" spans="1:32" s="28" customFormat="1" x14ac:dyDescent="0.25">
      <c r="A260" s="35">
        <v>45908</v>
      </c>
      <c r="B260" s="36" t="s">
        <v>621</v>
      </c>
      <c r="C260" s="37" t="s">
        <v>48</v>
      </c>
      <c r="D260" s="37">
        <v>43</v>
      </c>
      <c r="E260" s="65">
        <v>0.16666666666666666</v>
      </c>
      <c r="F260" s="65">
        <v>0.22777777777777777</v>
      </c>
      <c r="G260" s="65">
        <v>0.22916666666666666</v>
      </c>
      <c r="H260" s="65">
        <v>0.27013888888888887</v>
      </c>
      <c r="I260" s="38">
        <f t="shared" si="7"/>
        <v>4.2361111111111099E-2</v>
      </c>
      <c r="J260" s="39">
        <v>4.0972222222222222E-2</v>
      </c>
      <c r="K260" s="36" t="s">
        <v>759</v>
      </c>
      <c r="L260" s="37" t="s">
        <v>750</v>
      </c>
      <c r="M260" s="37">
        <v>11</v>
      </c>
      <c r="N260" s="37">
        <v>0</v>
      </c>
      <c r="O260" s="37">
        <v>0</v>
      </c>
      <c r="P260" s="37">
        <v>0</v>
      </c>
      <c r="Q260" s="37">
        <v>0</v>
      </c>
      <c r="R260" s="65">
        <v>0.10347222222222222</v>
      </c>
      <c r="S260" s="65">
        <v>0.26319444444444445</v>
      </c>
      <c r="T260" s="65">
        <v>0.23055555555555557</v>
      </c>
      <c r="U260" s="65">
        <v>0.24513888888888888</v>
      </c>
      <c r="V260" s="65">
        <v>0.2388888888888889</v>
      </c>
      <c r="W260" s="65">
        <v>0.26319444444444445</v>
      </c>
      <c r="X260" s="65">
        <v>0.17916666666666667</v>
      </c>
      <c r="Y260" s="65">
        <v>0.2673611111111111</v>
      </c>
      <c r="Z260" s="37" t="s">
        <v>105</v>
      </c>
      <c r="AA260" s="37"/>
      <c r="AB260" s="37">
        <v>5</v>
      </c>
      <c r="AC260" s="37">
        <v>20</v>
      </c>
      <c r="AD260" s="37">
        <v>0</v>
      </c>
      <c r="AE260" s="37">
        <v>17</v>
      </c>
      <c r="AF260" s="232">
        <v>45908</v>
      </c>
    </row>
    <row r="261" spans="1:32" s="28" customFormat="1" x14ac:dyDescent="0.25">
      <c r="A261" s="35">
        <v>45909</v>
      </c>
      <c r="B261" s="36" t="s">
        <v>621</v>
      </c>
      <c r="C261" s="37" t="s">
        <v>773</v>
      </c>
      <c r="D261" s="37">
        <v>43</v>
      </c>
      <c r="E261" s="65">
        <v>0.21527777777777779</v>
      </c>
      <c r="F261" s="65">
        <v>0.98819444444444449</v>
      </c>
      <c r="G261" s="65">
        <v>0.28472222222222221</v>
      </c>
      <c r="H261" s="65">
        <v>3.888888888888889E-2</v>
      </c>
      <c r="I261" s="38">
        <v>5.0694444444444445E-2</v>
      </c>
      <c r="J261" s="39">
        <v>0.75416666666666665</v>
      </c>
      <c r="K261" s="36" t="s">
        <v>50</v>
      </c>
      <c r="L261" s="37" t="s">
        <v>750</v>
      </c>
      <c r="M261" s="37">
        <v>11</v>
      </c>
      <c r="N261" s="37">
        <v>0</v>
      </c>
      <c r="O261" s="37">
        <v>0</v>
      </c>
      <c r="P261" s="37">
        <v>0</v>
      </c>
      <c r="Q261" s="37">
        <v>0</v>
      </c>
      <c r="R261" s="65">
        <v>0.99027777777777781</v>
      </c>
      <c r="S261" s="65">
        <v>2.2222222222222223E-2</v>
      </c>
      <c r="T261" s="65">
        <v>0.99236111111111114</v>
      </c>
      <c r="U261" s="65">
        <v>4.8611111111111112E-3</v>
      </c>
      <c r="V261" s="65">
        <v>2.2222222222222223E-2</v>
      </c>
      <c r="W261" s="65">
        <v>2.2222222222222223E-2</v>
      </c>
      <c r="X261" s="65">
        <v>0.99722222222222223</v>
      </c>
      <c r="Y261" s="65">
        <v>3.888888888888889E-2</v>
      </c>
      <c r="Z261" s="37" t="s">
        <v>105</v>
      </c>
      <c r="AA261" s="37"/>
      <c r="AB261" s="37">
        <v>2</v>
      </c>
      <c r="AC261" s="37">
        <v>24</v>
      </c>
      <c r="AD261" s="37">
        <v>0</v>
      </c>
      <c r="AE261" s="37">
        <v>15</v>
      </c>
      <c r="AF261" s="167">
        <v>45909</v>
      </c>
    </row>
    <row r="262" spans="1:32" s="28" customFormat="1" x14ac:dyDescent="0.25">
      <c r="A262" s="35">
        <v>45910</v>
      </c>
      <c r="B262" s="36" t="s">
        <v>780</v>
      </c>
      <c r="C262" s="37" t="s">
        <v>38</v>
      </c>
      <c r="D262" s="37">
        <v>43</v>
      </c>
      <c r="E262" s="65">
        <v>0.21527777777777779</v>
      </c>
      <c r="F262" s="65">
        <v>0.30486111111111114</v>
      </c>
      <c r="G262" s="65">
        <v>0.28472222222222221</v>
      </c>
      <c r="H262" s="65">
        <v>0.3527777777777778</v>
      </c>
      <c r="I262" s="38">
        <f t="shared" si="7"/>
        <v>4.7916666666666663E-2</v>
      </c>
      <c r="J262" s="39">
        <v>5.4166666666666669E-2</v>
      </c>
      <c r="K262" s="36" t="s">
        <v>759</v>
      </c>
      <c r="L262" s="37" t="s">
        <v>750</v>
      </c>
      <c r="M262" s="37">
        <v>11</v>
      </c>
      <c r="N262" s="37">
        <v>0</v>
      </c>
      <c r="O262" s="37">
        <v>0</v>
      </c>
      <c r="P262" s="37">
        <v>0</v>
      </c>
      <c r="Q262" s="37">
        <v>0</v>
      </c>
      <c r="R262" s="65">
        <v>0.30555555555555558</v>
      </c>
      <c r="S262" s="65">
        <v>0.34027777777777779</v>
      </c>
      <c r="T262" s="65">
        <v>0.30555555555555558</v>
      </c>
      <c r="U262" s="65">
        <v>0.32291666666666669</v>
      </c>
      <c r="V262" s="65">
        <v>0.32291666666666669</v>
      </c>
      <c r="W262" s="65">
        <v>0.34027777777777779</v>
      </c>
      <c r="X262" s="65">
        <v>0.31527777777777777</v>
      </c>
      <c r="Y262" s="65">
        <v>0.34652777777777777</v>
      </c>
      <c r="Z262" s="37" t="s">
        <v>34</v>
      </c>
      <c r="AA262" s="37"/>
      <c r="AB262" s="37">
        <v>16</v>
      </c>
      <c r="AC262" s="37">
        <v>15</v>
      </c>
      <c r="AD262" s="37">
        <v>6</v>
      </c>
      <c r="AE262" s="37">
        <v>12</v>
      </c>
      <c r="AF262" s="167">
        <v>45910</v>
      </c>
    </row>
    <row r="263" spans="1:32" s="28" customFormat="1" x14ac:dyDescent="0.25">
      <c r="A263" s="35">
        <v>45911</v>
      </c>
      <c r="B263" s="36" t="s">
        <v>621</v>
      </c>
      <c r="C263" s="37" t="s">
        <v>773</v>
      </c>
      <c r="D263" s="37">
        <v>44</v>
      </c>
      <c r="E263" s="65">
        <v>0.21527777777777779</v>
      </c>
      <c r="F263" s="65">
        <v>0.27430555555555558</v>
      </c>
      <c r="G263" s="65">
        <v>0.28472222222222221</v>
      </c>
      <c r="H263" s="65">
        <v>0.32569444444444445</v>
      </c>
      <c r="I263" s="38">
        <f t="shared" si="7"/>
        <v>5.1388888888888873E-2</v>
      </c>
      <c r="J263" s="39">
        <v>4.0972222222222222E-2</v>
      </c>
      <c r="K263" s="36" t="s">
        <v>50</v>
      </c>
      <c r="L263" s="37" t="s">
        <v>750</v>
      </c>
      <c r="M263" s="37">
        <v>11</v>
      </c>
      <c r="N263" s="37">
        <v>0</v>
      </c>
      <c r="O263" s="37">
        <v>0</v>
      </c>
      <c r="P263" s="37">
        <v>0</v>
      </c>
      <c r="Q263" s="37">
        <v>0</v>
      </c>
      <c r="R263" s="65">
        <v>0.27500000000000002</v>
      </c>
      <c r="S263" s="65">
        <v>0.31041666666666667</v>
      </c>
      <c r="T263" s="65">
        <v>0.27638888888888891</v>
      </c>
      <c r="U263" s="65">
        <v>0.2902777777777778</v>
      </c>
      <c r="V263" s="65">
        <v>0.29097222222222224</v>
      </c>
      <c r="W263" s="65">
        <v>0.31041666666666667</v>
      </c>
      <c r="X263" s="65">
        <v>0.29166666666666669</v>
      </c>
      <c r="Y263" s="65">
        <v>0.3215277777777778</v>
      </c>
      <c r="Z263" s="37" t="s">
        <v>34</v>
      </c>
      <c r="AA263" s="37"/>
      <c r="AB263" s="37">
        <v>8</v>
      </c>
      <c r="AC263" s="37">
        <v>19</v>
      </c>
      <c r="AD263" s="37">
        <v>7</v>
      </c>
      <c r="AE263" s="37">
        <v>10</v>
      </c>
      <c r="AF263" s="167">
        <v>45911</v>
      </c>
    </row>
    <row r="264" spans="1:32" s="28" customFormat="1" x14ac:dyDescent="0.25">
      <c r="A264" s="35">
        <v>45912</v>
      </c>
      <c r="B264" s="36" t="s">
        <v>621</v>
      </c>
      <c r="C264" s="37" t="s">
        <v>48</v>
      </c>
      <c r="D264" s="37">
        <v>42</v>
      </c>
      <c r="E264" s="65">
        <v>0.21527777777777779</v>
      </c>
      <c r="F264" s="65">
        <v>0.21388888888888888</v>
      </c>
      <c r="G264" s="65">
        <v>0.28472222222222221</v>
      </c>
      <c r="H264" s="65">
        <v>0.27708333333333335</v>
      </c>
      <c r="I264" s="38">
        <f t="shared" si="7"/>
        <v>6.319444444444447E-2</v>
      </c>
      <c r="J264" s="36">
        <v>0</v>
      </c>
      <c r="K264" s="36">
        <v>0</v>
      </c>
      <c r="L264" s="37" t="s">
        <v>33</v>
      </c>
      <c r="M264" s="37">
        <v>11</v>
      </c>
      <c r="N264" s="37">
        <v>0</v>
      </c>
      <c r="O264" s="37">
        <v>0</v>
      </c>
      <c r="P264" s="37">
        <v>0</v>
      </c>
      <c r="Q264" s="37">
        <v>0</v>
      </c>
      <c r="R264" s="65">
        <v>0.21527777777777779</v>
      </c>
      <c r="S264" s="65">
        <v>0.24930555555555556</v>
      </c>
      <c r="T264" s="65">
        <v>0.21666666666666667</v>
      </c>
      <c r="U264" s="65">
        <v>0.24374999999999999</v>
      </c>
      <c r="V264" s="65">
        <v>0.26527777777777778</v>
      </c>
      <c r="W264" s="65">
        <v>0.24930555555555556</v>
      </c>
      <c r="X264" s="65">
        <v>0.23055555555555557</v>
      </c>
      <c r="Y264" s="65">
        <v>0.27430555555555558</v>
      </c>
      <c r="Z264" s="37" t="s">
        <v>72</v>
      </c>
      <c r="AA264" s="37"/>
      <c r="AB264" s="37">
        <v>8</v>
      </c>
      <c r="AC264" s="37">
        <v>19</v>
      </c>
      <c r="AD264" s="37">
        <v>6</v>
      </c>
      <c r="AE264" s="37">
        <v>10</v>
      </c>
      <c r="AF264" s="167">
        <v>45912</v>
      </c>
    </row>
    <row r="265" spans="1:32" s="28" customFormat="1" x14ac:dyDescent="0.25">
      <c r="A265" s="35">
        <v>45913</v>
      </c>
      <c r="B265" s="36" t="s">
        <v>621</v>
      </c>
      <c r="C265" s="37" t="s">
        <v>46</v>
      </c>
      <c r="D265" s="37">
        <v>43</v>
      </c>
      <c r="E265" s="65">
        <v>0.25694444444444442</v>
      </c>
      <c r="F265" s="65">
        <v>0.25</v>
      </c>
      <c r="G265" s="65">
        <v>0.31944444444444442</v>
      </c>
      <c r="H265" s="65">
        <v>0.31041666666666667</v>
      </c>
      <c r="I265" s="38">
        <f t="shared" si="7"/>
        <v>6.0416666666666674E-2</v>
      </c>
      <c r="J265" s="36">
        <v>0</v>
      </c>
      <c r="K265" s="36">
        <v>0</v>
      </c>
      <c r="L265" s="37" t="s">
        <v>33</v>
      </c>
      <c r="M265" s="37">
        <v>11</v>
      </c>
      <c r="N265" s="65">
        <v>0.24861111111111112</v>
      </c>
      <c r="O265" s="65">
        <v>0.31458333333333333</v>
      </c>
      <c r="P265" s="65">
        <v>0.31041666666666667</v>
      </c>
      <c r="Q265" s="65">
        <v>0.31458333333333333</v>
      </c>
      <c r="R265" s="65">
        <v>0.25138888888888888</v>
      </c>
      <c r="S265" s="65">
        <v>0.29166666666666669</v>
      </c>
      <c r="T265" s="65">
        <v>0.25555555555555554</v>
      </c>
      <c r="U265" s="65">
        <v>0.28125</v>
      </c>
      <c r="V265" s="65">
        <v>0.26250000000000001</v>
      </c>
      <c r="W265" s="65">
        <v>0.29166666666666669</v>
      </c>
      <c r="X265" s="65">
        <v>0.27152777777777776</v>
      </c>
      <c r="Y265" s="65">
        <v>0.30138888888888887</v>
      </c>
      <c r="Z265" s="37" t="s">
        <v>97</v>
      </c>
      <c r="AA265" s="37"/>
      <c r="AB265" s="37">
        <v>12</v>
      </c>
      <c r="AC265" s="37">
        <v>24</v>
      </c>
      <c r="AD265" s="37">
        <v>0</v>
      </c>
      <c r="AE265" s="37">
        <v>15</v>
      </c>
      <c r="AF265" s="167">
        <v>45913</v>
      </c>
    </row>
    <row r="266" spans="1:32" s="28" customFormat="1" x14ac:dyDescent="0.25">
      <c r="A266" s="35">
        <v>45914</v>
      </c>
      <c r="B266" s="36" t="s">
        <v>764</v>
      </c>
      <c r="C266" s="37" t="s">
        <v>35</v>
      </c>
      <c r="D266" s="37">
        <v>44</v>
      </c>
      <c r="E266" s="65">
        <v>0.21527777777777779</v>
      </c>
      <c r="F266" s="65">
        <v>0.22777777777777777</v>
      </c>
      <c r="G266" s="65">
        <v>0.28472222222222221</v>
      </c>
      <c r="H266" s="65">
        <v>0.27986111111111112</v>
      </c>
      <c r="I266" s="38">
        <f t="shared" si="7"/>
        <v>5.2083333333333343E-2</v>
      </c>
      <c r="J266" s="36">
        <v>0</v>
      </c>
      <c r="K266" s="36">
        <v>0</v>
      </c>
      <c r="L266" s="37" t="s">
        <v>33</v>
      </c>
      <c r="M266" s="37">
        <v>11</v>
      </c>
      <c r="N266" s="37">
        <v>0</v>
      </c>
      <c r="O266" s="37">
        <v>0</v>
      </c>
      <c r="P266" s="37">
        <v>0</v>
      </c>
      <c r="Q266" s="37">
        <v>0</v>
      </c>
      <c r="R266" s="65">
        <v>0.2298611111111111</v>
      </c>
      <c r="S266" s="65">
        <v>0.2673611111111111</v>
      </c>
      <c r="T266" s="65">
        <v>0.2298611111111111</v>
      </c>
      <c r="U266" s="65">
        <v>0.24791666666666667</v>
      </c>
      <c r="V266" s="65">
        <v>0.24861111111111112</v>
      </c>
      <c r="W266" s="65">
        <v>0.2673611111111111</v>
      </c>
      <c r="X266" s="65">
        <v>0.24791666666666667</v>
      </c>
      <c r="Y266" s="65">
        <v>0.27986111111111112</v>
      </c>
      <c r="Z266" s="37" t="s">
        <v>40</v>
      </c>
      <c r="AA266" s="37"/>
      <c r="AB266" s="37">
        <v>20</v>
      </c>
      <c r="AC266" s="37">
        <v>4</v>
      </c>
      <c r="AD266" s="37">
        <v>2</v>
      </c>
      <c r="AE266" s="37">
        <v>23</v>
      </c>
      <c r="AF266" s="167">
        <v>45914</v>
      </c>
    </row>
    <row r="267" spans="1:32" s="28" customFormat="1" x14ac:dyDescent="0.25">
      <c r="A267" s="35">
        <v>45915</v>
      </c>
      <c r="B267" s="36" t="s">
        <v>621</v>
      </c>
      <c r="C267" s="37" t="s">
        <v>39</v>
      </c>
      <c r="D267" s="37">
        <v>44</v>
      </c>
      <c r="E267" s="65">
        <v>0.1736111111111111</v>
      </c>
      <c r="F267" s="65">
        <v>0.24236111111111111</v>
      </c>
      <c r="G267" s="65">
        <v>0.24305555555555555</v>
      </c>
      <c r="H267" s="65">
        <v>0.3</v>
      </c>
      <c r="I267" s="38">
        <f t="shared" si="7"/>
        <v>5.7638888888888878E-2</v>
      </c>
      <c r="J267" s="36" t="s">
        <v>50</v>
      </c>
      <c r="K267" s="39">
        <v>5.6944444444444443E-2</v>
      </c>
      <c r="L267" s="37" t="s">
        <v>750</v>
      </c>
      <c r="M267" s="37">
        <v>11</v>
      </c>
      <c r="N267" s="37">
        <v>0</v>
      </c>
      <c r="O267" s="37">
        <v>0</v>
      </c>
      <c r="P267" s="37">
        <v>0</v>
      </c>
      <c r="Q267" s="37">
        <v>0</v>
      </c>
      <c r="R267" s="65">
        <v>0.24374999999999999</v>
      </c>
      <c r="S267" s="65">
        <v>0.29166666666666669</v>
      </c>
      <c r="T267" s="65">
        <v>0.24374999999999999</v>
      </c>
      <c r="U267" s="65">
        <v>0.29166666666666669</v>
      </c>
      <c r="V267" s="65">
        <v>0.22291666666666668</v>
      </c>
      <c r="W267" s="65">
        <v>0.29166666666666669</v>
      </c>
      <c r="X267" s="37"/>
      <c r="Y267" s="65">
        <v>0.29722222222222222</v>
      </c>
      <c r="Z267" s="37" t="s">
        <v>72</v>
      </c>
      <c r="AA267" s="37"/>
      <c r="AB267" s="37">
        <v>8</v>
      </c>
      <c r="AC267" s="37">
        <v>23</v>
      </c>
      <c r="AD267" s="37">
        <v>10</v>
      </c>
      <c r="AE267" s="37">
        <v>6</v>
      </c>
      <c r="AF267" s="167">
        <v>45915</v>
      </c>
    </row>
    <row r="268" spans="1:32" s="28" customFormat="1" x14ac:dyDescent="0.25">
      <c r="A268" s="35">
        <v>45916</v>
      </c>
      <c r="B268" s="36" t="s">
        <v>621</v>
      </c>
      <c r="C268" s="37" t="s">
        <v>35</v>
      </c>
      <c r="D268" s="37">
        <v>43</v>
      </c>
      <c r="E268" s="65">
        <v>0.21527777777777779</v>
      </c>
      <c r="F268" s="65">
        <v>0.20624999999999999</v>
      </c>
      <c r="G268" s="65">
        <v>0.28472222222222221</v>
      </c>
      <c r="H268" s="65">
        <v>0.26874999999999999</v>
      </c>
      <c r="I268" s="38">
        <f t="shared" si="7"/>
        <v>6.25E-2</v>
      </c>
      <c r="J268" s="36">
        <v>0</v>
      </c>
      <c r="K268" s="36">
        <v>0</v>
      </c>
      <c r="L268" s="37" t="s">
        <v>33</v>
      </c>
      <c r="M268" s="37">
        <v>11</v>
      </c>
      <c r="N268" s="37">
        <v>0</v>
      </c>
      <c r="O268" s="37">
        <v>0</v>
      </c>
      <c r="P268" s="37">
        <v>0</v>
      </c>
      <c r="Q268" s="37">
        <v>0</v>
      </c>
      <c r="R268" s="65">
        <v>0.20694444444444443</v>
      </c>
      <c r="S268" s="65">
        <v>0.24861111111111112</v>
      </c>
      <c r="T268" s="65">
        <v>0.2076388888888889</v>
      </c>
      <c r="U268" s="65">
        <v>0.22916666666666666</v>
      </c>
      <c r="V268" s="65">
        <v>0.21527777777777779</v>
      </c>
      <c r="W268" s="65">
        <v>0.24861111111111112</v>
      </c>
      <c r="X268" s="65">
        <v>0.22013888888888888</v>
      </c>
      <c r="Y268" s="65">
        <v>0.26041666666666669</v>
      </c>
      <c r="Z268" s="37" t="s">
        <v>72</v>
      </c>
      <c r="AA268" s="37"/>
      <c r="AB268" s="37">
        <v>21</v>
      </c>
      <c r="AC268" s="37">
        <v>6</v>
      </c>
      <c r="AD268" s="37">
        <v>0</v>
      </c>
      <c r="AE268" s="37">
        <v>20</v>
      </c>
      <c r="AF268" s="167">
        <v>45916</v>
      </c>
    </row>
    <row r="269" spans="1:32" s="28" customFormat="1" x14ac:dyDescent="0.25">
      <c r="A269" s="35">
        <v>45917</v>
      </c>
      <c r="B269" s="36" t="s">
        <v>621</v>
      </c>
      <c r="C269" s="37" t="s">
        <v>39</v>
      </c>
      <c r="D269" s="37">
        <v>43</v>
      </c>
      <c r="E269" s="65">
        <v>0.21527777777777779</v>
      </c>
      <c r="F269" s="65">
        <v>0.24374999999999999</v>
      </c>
      <c r="G269" s="65">
        <v>0.28472222222222221</v>
      </c>
      <c r="H269" s="65">
        <v>0.30416666666666664</v>
      </c>
      <c r="I269" s="38">
        <f t="shared" si="7"/>
        <v>6.0416666666666646E-2</v>
      </c>
      <c r="J269" s="36" t="s">
        <v>50</v>
      </c>
      <c r="K269" s="39">
        <v>1.9444444444444445E-2</v>
      </c>
      <c r="L269" s="37" t="s">
        <v>750</v>
      </c>
      <c r="M269" s="37">
        <v>11</v>
      </c>
      <c r="N269" s="37">
        <v>0</v>
      </c>
      <c r="O269" s="37">
        <v>0</v>
      </c>
      <c r="P269" s="37">
        <v>0</v>
      </c>
      <c r="Q269" s="37">
        <v>0</v>
      </c>
      <c r="R269" s="65">
        <v>0.24722222222222223</v>
      </c>
      <c r="S269" s="65">
        <v>0.29166666666666669</v>
      </c>
      <c r="T269" s="65">
        <v>0.24722222222222223</v>
      </c>
      <c r="U269" s="65">
        <v>0.26944444444444443</v>
      </c>
      <c r="V269" s="65">
        <v>0.27013888888888887</v>
      </c>
      <c r="W269" s="65">
        <v>0.29166666666666669</v>
      </c>
      <c r="X269" s="65">
        <v>0.28055555555555556</v>
      </c>
      <c r="Y269" s="65">
        <v>0.30416666666666664</v>
      </c>
      <c r="Z269" s="37" t="s">
        <v>40</v>
      </c>
      <c r="AA269" s="37"/>
      <c r="AB269" s="37">
        <v>9</v>
      </c>
      <c r="AC269" s="37">
        <v>8</v>
      </c>
      <c r="AD269" s="37">
        <v>4</v>
      </c>
      <c r="AE269" s="37">
        <v>14</v>
      </c>
      <c r="AF269" s="167">
        <v>45917</v>
      </c>
    </row>
    <row r="270" spans="1:32" s="28" customFormat="1" x14ac:dyDescent="0.25">
      <c r="A270" s="35">
        <v>45918</v>
      </c>
      <c r="B270" s="36" t="s">
        <v>621</v>
      </c>
      <c r="C270" s="37" t="s">
        <v>35</v>
      </c>
      <c r="D270" s="37">
        <v>44</v>
      </c>
      <c r="E270" s="65">
        <v>0.21527777777777779</v>
      </c>
      <c r="F270" s="65">
        <v>0.25347222222222221</v>
      </c>
      <c r="G270" s="65">
        <v>0.28472222222222221</v>
      </c>
      <c r="H270" s="65">
        <v>0.30486111111111114</v>
      </c>
      <c r="I270" s="38">
        <f t="shared" si="7"/>
        <v>5.1388888888888928E-2</v>
      </c>
      <c r="J270" s="36" t="s">
        <v>50</v>
      </c>
      <c r="K270" s="39">
        <v>2.013888888888889E-2</v>
      </c>
      <c r="L270" s="37" t="s">
        <v>750</v>
      </c>
      <c r="M270" s="37">
        <v>11</v>
      </c>
      <c r="N270" s="37">
        <v>0</v>
      </c>
      <c r="O270" s="37">
        <v>0</v>
      </c>
      <c r="P270" s="37">
        <v>0</v>
      </c>
      <c r="Q270" s="37">
        <v>0</v>
      </c>
      <c r="R270" s="65">
        <v>0.25555555555555554</v>
      </c>
      <c r="S270" s="65">
        <v>0.29375000000000001</v>
      </c>
      <c r="T270" s="65">
        <v>0.25763888888888886</v>
      </c>
      <c r="U270" s="65">
        <v>0.27638888888888891</v>
      </c>
      <c r="V270" s="65">
        <v>0.25972222222222224</v>
      </c>
      <c r="W270" s="65">
        <v>0.29375000000000001</v>
      </c>
      <c r="X270" s="65">
        <v>0.26458333333333334</v>
      </c>
      <c r="Y270" s="65">
        <v>0.30069444444444443</v>
      </c>
      <c r="Z270" s="37" t="s">
        <v>72</v>
      </c>
      <c r="AA270" s="37"/>
      <c r="AB270" s="37">
        <v>9</v>
      </c>
      <c r="AC270" s="37">
        <v>20</v>
      </c>
      <c r="AD270" s="37">
        <v>0</v>
      </c>
      <c r="AE270" s="37">
        <v>20</v>
      </c>
      <c r="AF270" s="167">
        <v>45918</v>
      </c>
    </row>
    <row r="271" spans="1:32" s="28" customFormat="1" x14ac:dyDescent="0.25">
      <c r="A271" s="35">
        <v>45919</v>
      </c>
      <c r="B271" s="36" t="s">
        <v>621</v>
      </c>
      <c r="C271" s="37" t="s">
        <v>38</v>
      </c>
      <c r="D271" s="37">
        <v>44</v>
      </c>
      <c r="E271" s="65">
        <v>0.21527777777777779</v>
      </c>
      <c r="F271" s="65">
        <v>0.21805555555555556</v>
      </c>
      <c r="G271" s="65">
        <v>0.28472222222222221</v>
      </c>
      <c r="H271" s="65">
        <v>0.27986111111111112</v>
      </c>
      <c r="I271" s="38">
        <f t="shared" si="7"/>
        <v>6.1805555555555558E-2</v>
      </c>
      <c r="J271" s="36">
        <v>0</v>
      </c>
      <c r="K271" s="36">
        <v>0</v>
      </c>
      <c r="L271" s="37" t="s">
        <v>33</v>
      </c>
      <c r="M271" s="37">
        <v>11</v>
      </c>
      <c r="N271" s="37">
        <v>0</v>
      </c>
      <c r="O271" s="37">
        <v>0</v>
      </c>
      <c r="P271" s="37">
        <v>0</v>
      </c>
      <c r="Q271" s="37">
        <v>0</v>
      </c>
      <c r="R271" s="65">
        <v>0.21875</v>
      </c>
      <c r="S271" s="65">
        <v>0.2673611111111111</v>
      </c>
      <c r="T271" s="65">
        <v>0.21875</v>
      </c>
      <c r="U271" s="65">
        <v>0.24305555555555555</v>
      </c>
      <c r="V271" s="65">
        <v>0.24513888888888888</v>
      </c>
      <c r="W271" s="65">
        <v>0.2673611111111111</v>
      </c>
      <c r="X271" s="65">
        <v>0.23125000000000001</v>
      </c>
      <c r="Y271" s="65">
        <v>0.27500000000000002</v>
      </c>
      <c r="Z271" s="37" t="s">
        <v>72</v>
      </c>
      <c r="AA271" s="37"/>
      <c r="AB271" s="37">
        <v>16</v>
      </c>
      <c r="AC271" s="37">
        <v>12</v>
      </c>
      <c r="AD271" s="37">
        <v>4</v>
      </c>
      <c r="AE271" s="37">
        <v>14</v>
      </c>
      <c r="AF271" s="167">
        <v>45919</v>
      </c>
    </row>
    <row r="272" spans="1:32" s="28" customFormat="1" x14ac:dyDescent="0.25">
      <c r="A272" s="35">
        <v>45920</v>
      </c>
      <c r="B272" s="36" t="s">
        <v>621</v>
      </c>
      <c r="C272" s="37" t="s">
        <v>46</v>
      </c>
      <c r="D272" s="37">
        <v>44</v>
      </c>
      <c r="E272" s="65">
        <v>0.25694444444444442</v>
      </c>
      <c r="F272" s="65">
        <v>0.34097222222222223</v>
      </c>
      <c r="G272" s="65">
        <v>0.31944444444444442</v>
      </c>
      <c r="H272" s="65">
        <v>0.39305555555555555</v>
      </c>
      <c r="I272" s="38">
        <f t="shared" si="7"/>
        <v>5.2083333333333315E-2</v>
      </c>
      <c r="J272" s="36" t="s">
        <v>781</v>
      </c>
      <c r="K272" s="36" t="s">
        <v>782</v>
      </c>
      <c r="L272" s="37" t="s">
        <v>783</v>
      </c>
      <c r="M272" s="37">
        <v>11</v>
      </c>
      <c r="N272" s="37">
        <v>0</v>
      </c>
      <c r="O272" s="37">
        <v>0</v>
      </c>
      <c r="P272" s="37">
        <v>0</v>
      </c>
      <c r="Q272" s="37">
        <v>0</v>
      </c>
      <c r="R272" s="65">
        <v>0.34236111111111112</v>
      </c>
      <c r="S272" s="65">
        <v>0.3840277777777778</v>
      </c>
      <c r="T272" s="65">
        <v>0.34444444444444444</v>
      </c>
      <c r="U272" s="65">
        <v>0.36458333333333331</v>
      </c>
      <c r="V272" s="65">
        <v>0.34722222222222221</v>
      </c>
      <c r="W272" s="65">
        <v>0.38333333333333336</v>
      </c>
      <c r="X272" s="65">
        <v>0.35208333333333336</v>
      </c>
      <c r="Y272" s="65">
        <v>0.39097222222222222</v>
      </c>
      <c r="Z272" s="37" t="s">
        <v>97</v>
      </c>
      <c r="AA272" s="37"/>
      <c r="AB272" s="37">
        <v>14</v>
      </c>
      <c r="AC272" s="37">
        <v>20</v>
      </c>
      <c r="AD272" s="37">
        <v>0</v>
      </c>
      <c r="AE272" s="37">
        <v>10</v>
      </c>
      <c r="AF272" s="167">
        <v>45920</v>
      </c>
    </row>
    <row r="273" spans="1:32" s="28" customFormat="1" x14ac:dyDescent="0.25">
      <c r="A273" s="35">
        <v>45921</v>
      </c>
      <c r="B273" s="36" t="s">
        <v>784</v>
      </c>
      <c r="C273" s="37" t="s">
        <v>785</v>
      </c>
      <c r="D273" s="37">
        <v>44</v>
      </c>
      <c r="E273" s="65">
        <v>0.21527777777777779</v>
      </c>
      <c r="F273" s="65">
        <v>0.25763888888888886</v>
      </c>
      <c r="G273" s="65">
        <v>0.27777777777777779</v>
      </c>
      <c r="H273" s="65">
        <v>0.32013888888888886</v>
      </c>
      <c r="I273" s="38">
        <f t="shared" si="7"/>
        <v>6.25E-2</v>
      </c>
      <c r="J273" s="39">
        <v>4.2361111111111113E-2</v>
      </c>
      <c r="K273" s="36" t="s">
        <v>50</v>
      </c>
      <c r="L273" s="37" t="s">
        <v>750</v>
      </c>
      <c r="M273" s="37">
        <v>11</v>
      </c>
      <c r="N273" s="37">
        <v>0</v>
      </c>
      <c r="O273" s="37">
        <v>0</v>
      </c>
      <c r="P273" s="37">
        <v>0</v>
      </c>
      <c r="Q273" s="37">
        <v>0</v>
      </c>
      <c r="R273" s="65">
        <v>0.26041666666666669</v>
      </c>
      <c r="S273" s="65">
        <v>0.31041666666666667</v>
      </c>
      <c r="T273" s="65">
        <v>0.26111111111111113</v>
      </c>
      <c r="U273" s="65">
        <v>0.29166666666666669</v>
      </c>
      <c r="V273" s="65">
        <v>0.2673611111111111</v>
      </c>
      <c r="W273" s="65">
        <v>0.31041666666666667</v>
      </c>
      <c r="X273" s="37"/>
      <c r="Y273" s="65">
        <v>0.25694444444444442</v>
      </c>
      <c r="Z273" s="37" t="s">
        <v>97</v>
      </c>
      <c r="AA273" s="37"/>
      <c r="AB273" s="37">
        <v>12</v>
      </c>
      <c r="AC273" s="37">
        <v>21</v>
      </c>
      <c r="AD273" s="37">
        <v>2</v>
      </c>
      <c r="AE273" s="37">
        <v>6</v>
      </c>
      <c r="AF273" s="167">
        <v>45921</v>
      </c>
    </row>
    <row r="274" spans="1:32" s="28" customFormat="1" x14ac:dyDescent="0.25">
      <c r="A274" s="35">
        <v>45922</v>
      </c>
      <c r="B274" s="36" t="s">
        <v>621</v>
      </c>
      <c r="C274" s="37" t="s">
        <v>38</v>
      </c>
      <c r="D274" s="37">
        <v>41</v>
      </c>
      <c r="E274" s="65">
        <v>0.1736111111111111</v>
      </c>
      <c r="F274" s="65">
        <v>0.15625</v>
      </c>
      <c r="G274" s="65">
        <v>0.24305555555555555</v>
      </c>
      <c r="H274" s="65">
        <v>0.20624999999999999</v>
      </c>
      <c r="I274" s="38">
        <f t="shared" si="7"/>
        <v>4.9999999999999989E-2</v>
      </c>
      <c r="J274" s="36">
        <v>0</v>
      </c>
      <c r="K274" s="36">
        <v>0</v>
      </c>
      <c r="L274" s="37" t="s">
        <v>33</v>
      </c>
      <c r="M274" s="37">
        <v>11</v>
      </c>
      <c r="N274" s="37">
        <v>0</v>
      </c>
      <c r="O274" s="37">
        <v>0</v>
      </c>
      <c r="P274" s="37">
        <v>0</v>
      </c>
      <c r="Q274" s="37">
        <v>0</v>
      </c>
      <c r="R274" s="65">
        <v>0.15625</v>
      </c>
      <c r="S274" s="65">
        <v>0.18263888888888888</v>
      </c>
      <c r="T274" s="65">
        <v>0.15833333333333333</v>
      </c>
      <c r="U274" s="65">
        <v>0.17708333333333334</v>
      </c>
      <c r="V274" s="65">
        <v>0.15972222222222221</v>
      </c>
      <c r="W274" s="65">
        <v>0.18263888888888888</v>
      </c>
      <c r="X274" s="65">
        <v>0.20347222222222222</v>
      </c>
      <c r="Y274" s="65">
        <v>0.20277777777777778</v>
      </c>
      <c r="Z274" s="37" t="s">
        <v>72</v>
      </c>
      <c r="AA274" s="37"/>
      <c r="AB274" s="37">
        <v>0</v>
      </c>
      <c r="AC274" s="37">
        <v>26</v>
      </c>
      <c r="AD274" s="37">
        <v>6</v>
      </c>
      <c r="AE274" s="37">
        <v>0</v>
      </c>
      <c r="AF274" s="167">
        <v>45922</v>
      </c>
    </row>
    <row r="275" spans="1:32" s="28" customFormat="1" x14ac:dyDescent="0.25">
      <c r="A275" s="35">
        <v>45923</v>
      </c>
      <c r="B275" s="36" t="s">
        <v>621</v>
      </c>
      <c r="C275" s="37" t="s">
        <v>39</v>
      </c>
      <c r="D275" s="37">
        <v>43</v>
      </c>
      <c r="E275" s="65">
        <v>0.21527777777777779</v>
      </c>
      <c r="F275" s="65">
        <v>0.26458333333333334</v>
      </c>
      <c r="G275" s="65">
        <v>0.27777777777777779</v>
      </c>
      <c r="H275" s="65">
        <v>0.31041666666666667</v>
      </c>
      <c r="I275" s="38">
        <f t="shared" si="7"/>
        <v>4.5833333333333337E-2</v>
      </c>
      <c r="J275" s="36" t="s">
        <v>82</v>
      </c>
      <c r="K275" s="39">
        <v>2.7083333333333334E-2</v>
      </c>
      <c r="L275" s="37" t="s">
        <v>786</v>
      </c>
      <c r="M275" s="37">
        <v>11</v>
      </c>
      <c r="N275" s="37">
        <v>0</v>
      </c>
      <c r="O275" s="37">
        <v>0</v>
      </c>
      <c r="P275" s="37">
        <v>0</v>
      </c>
      <c r="Q275" s="37">
        <v>0</v>
      </c>
      <c r="R275" s="65">
        <v>0.26527777777777778</v>
      </c>
      <c r="S275" s="65">
        <v>0.30208333333333331</v>
      </c>
      <c r="T275" s="65">
        <v>0.26597222222222222</v>
      </c>
      <c r="U275" s="65">
        <v>0.28819444444444442</v>
      </c>
      <c r="V275" s="65">
        <v>0.28958333333333336</v>
      </c>
      <c r="W275" s="65">
        <v>0.30208333333333331</v>
      </c>
      <c r="X275" s="65">
        <v>0.27500000000000002</v>
      </c>
      <c r="Y275" s="65">
        <v>0.30972222222222223</v>
      </c>
      <c r="Z275" s="37" t="s">
        <v>40</v>
      </c>
      <c r="AA275" s="37"/>
      <c r="AB275" s="37">
        <v>12</v>
      </c>
      <c r="AC275" s="37">
        <v>12</v>
      </c>
      <c r="AD275" s="37">
        <v>4</v>
      </c>
      <c r="AE275" s="37">
        <v>16</v>
      </c>
      <c r="AF275" s="167">
        <v>45923</v>
      </c>
    </row>
    <row r="276" spans="1:32" s="28" customFormat="1" x14ac:dyDescent="0.25">
      <c r="A276" s="35">
        <v>45924</v>
      </c>
      <c r="B276" s="36" t="s">
        <v>621</v>
      </c>
      <c r="C276" s="37" t="s">
        <v>38</v>
      </c>
      <c r="D276" s="37">
        <v>44</v>
      </c>
      <c r="E276" s="65">
        <v>0.21527777777777779</v>
      </c>
      <c r="F276" s="65">
        <v>0.29236111111111113</v>
      </c>
      <c r="G276" s="65">
        <v>0.27777777777777779</v>
      </c>
      <c r="H276" s="65">
        <v>0.34444444444444444</v>
      </c>
      <c r="I276" s="38">
        <f t="shared" si="7"/>
        <v>5.2083333333333315E-2</v>
      </c>
      <c r="J276" s="36" t="s">
        <v>50</v>
      </c>
      <c r="K276" s="39">
        <v>5.9722222222222225E-2</v>
      </c>
      <c r="L276" s="37" t="s">
        <v>750</v>
      </c>
      <c r="M276" s="37">
        <v>11</v>
      </c>
      <c r="N276" s="37">
        <v>0</v>
      </c>
      <c r="O276" s="37">
        <v>0</v>
      </c>
      <c r="P276" s="37">
        <v>0</v>
      </c>
      <c r="Q276" s="37">
        <v>0</v>
      </c>
      <c r="R276" s="65">
        <v>0.29097222222222224</v>
      </c>
      <c r="S276" s="65">
        <v>0.33541666666666664</v>
      </c>
      <c r="T276" s="65">
        <v>0.29375000000000001</v>
      </c>
      <c r="U276" s="65">
        <v>0.31388888888888888</v>
      </c>
      <c r="V276" s="65">
        <v>0.2951388888888889</v>
      </c>
      <c r="W276" s="65">
        <v>0.3347222222222222</v>
      </c>
      <c r="X276" s="65">
        <v>0.30625000000000002</v>
      </c>
      <c r="Y276" s="65">
        <v>0.34375</v>
      </c>
      <c r="Z276" s="37" t="s">
        <v>72</v>
      </c>
      <c r="AA276" s="37"/>
      <c r="AB276" s="37">
        <v>10</v>
      </c>
      <c r="AC276" s="37">
        <v>20</v>
      </c>
      <c r="AD276" s="37">
        <v>6</v>
      </c>
      <c r="AE276" s="37">
        <v>7</v>
      </c>
      <c r="AF276" s="167">
        <v>45924</v>
      </c>
    </row>
    <row r="277" spans="1:32" s="28" customFormat="1" x14ac:dyDescent="0.25">
      <c r="A277" s="35">
        <v>45925</v>
      </c>
      <c r="B277" s="36" t="s">
        <v>621</v>
      </c>
      <c r="C277" s="37" t="s">
        <v>773</v>
      </c>
      <c r="D277" s="37">
        <v>44</v>
      </c>
      <c r="E277" s="65">
        <v>0.21527777777777779</v>
      </c>
      <c r="F277" s="65">
        <v>0.20555555555555555</v>
      </c>
      <c r="G277" s="65">
        <v>0.27777777777777779</v>
      </c>
      <c r="H277" s="65">
        <v>0.26180555555555557</v>
      </c>
      <c r="I277" s="38">
        <f t="shared" si="7"/>
        <v>5.6250000000000022E-2</v>
      </c>
      <c r="J277" s="36">
        <v>0</v>
      </c>
      <c r="K277" s="36">
        <v>0</v>
      </c>
      <c r="L277" s="37" t="s">
        <v>33</v>
      </c>
      <c r="M277" s="37">
        <v>11</v>
      </c>
      <c r="N277" s="37">
        <v>0</v>
      </c>
      <c r="O277" s="37">
        <v>0</v>
      </c>
      <c r="P277" s="37"/>
      <c r="Q277" s="37">
        <v>0</v>
      </c>
      <c r="R277" s="65">
        <v>0.20694444444444443</v>
      </c>
      <c r="S277" s="65">
        <v>0.24722222222222223</v>
      </c>
      <c r="T277" s="65">
        <v>0.20972222222222223</v>
      </c>
      <c r="U277" s="65">
        <v>0.22291666666666668</v>
      </c>
      <c r="V277" s="65">
        <v>0.21180555555555555</v>
      </c>
      <c r="W277" s="65">
        <v>0.24722222222222223</v>
      </c>
      <c r="X277" s="65">
        <v>0.22638888888888889</v>
      </c>
      <c r="Y277" s="65">
        <v>0.25486111111111109</v>
      </c>
      <c r="Z277" s="37" t="s">
        <v>105</v>
      </c>
      <c r="AA277" s="37"/>
      <c r="AB277" s="37">
        <v>0</v>
      </c>
      <c r="AC277" s="37">
        <v>37</v>
      </c>
      <c r="AD277" s="37">
        <v>12</v>
      </c>
      <c r="AE277" s="37">
        <v>0</v>
      </c>
      <c r="AF277" s="167">
        <v>45925</v>
      </c>
    </row>
    <row r="278" spans="1:32" s="28" customFormat="1" x14ac:dyDescent="0.25">
      <c r="A278" s="35">
        <v>45926</v>
      </c>
      <c r="B278" s="36" t="s">
        <v>621</v>
      </c>
      <c r="C278" s="37" t="s">
        <v>46</v>
      </c>
      <c r="D278" s="37">
        <v>43</v>
      </c>
      <c r="E278" s="65">
        <v>0.21527777777777779</v>
      </c>
      <c r="F278" s="65">
        <v>0.2326388888888889</v>
      </c>
      <c r="G278" s="65">
        <v>0.28472222222222221</v>
      </c>
      <c r="H278" s="65">
        <v>0.28680555555555554</v>
      </c>
      <c r="I278" s="38">
        <f t="shared" si="7"/>
        <v>5.4166666666666641E-2</v>
      </c>
      <c r="J278" s="39">
        <v>2.0833333333333333E-3</v>
      </c>
      <c r="K278" s="36" t="s">
        <v>759</v>
      </c>
      <c r="L278" s="37" t="s">
        <v>750</v>
      </c>
      <c r="M278" s="37">
        <v>11</v>
      </c>
      <c r="N278" s="37">
        <v>0</v>
      </c>
      <c r="O278" s="37">
        <v>0</v>
      </c>
      <c r="P278" s="37">
        <v>0</v>
      </c>
      <c r="Q278" s="37">
        <v>0</v>
      </c>
      <c r="R278" s="65">
        <v>0.23541666666666666</v>
      </c>
      <c r="S278" s="65">
        <v>0.24027777777777778</v>
      </c>
      <c r="T278" s="65">
        <v>0.24236111111111111</v>
      </c>
      <c r="U278" s="65">
        <v>0.25694444444444442</v>
      </c>
      <c r="V278" s="65">
        <v>0.25763888888888886</v>
      </c>
      <c r="W278" s="65">
        <v>0.28263888888888888</v>
      </c>
      <c r="X278" s="65">
        <v>0.25416666666666665</v>
      </c>
      <c r="Y278" s="65">
        <v>0.28680555555555554</v>
      </c>
      <c r="Z278" s="37" t="s">
        <v>105</v>
      </c>
      <c r="AA278" s="37"/>
      <c r="AB278" s="37">
        <v>5</v>
      </c>
      <c r="AC278" s="37">
        <v>22</v>
      </c>
      <c r="AD278" s="37">
        <v>7</v>
      </c>
      <c r="AE278" s="37">
        <v>15</v>
      </c>
      <c r="AF278" s="167">
        <v>45926</v>
      </c>
    </row>
    <row r="279" spans="1:32" s="28" customFormat="1" x14ac:dyDescent="0.25">
      <c r="A279" s="35">
        <v>45927</v>
      </c>
      <c r="B279" s="36" t="s">
        <v>621</v>
      </c>
      <c r="C279" s="37" t="s">
        <v>773</v>
      </c>
      <c r="D279" s="37">
        <v>43</v>
      </c>
      <c r="E279" s="65">
        <v>0.25694444444444442</v>
      </c>
      <c r="F279" s="65">
        <v>0.25833333333333336</v>
      </c>
      <c r="G279" s="65">
        <v>0.31944444444444442</v>
      </c>
      <c r="H279" s="65">
        <v>0.33541666666666664</v>
      </c>
      <c r="I279" s="38">
        <f>H279-F279</f>
        <v>7.7083333333333282E-2</v>
      </c>
      <c r="J279" s="39">
        <v>1.5972222222222221E-2</v>
      </c>
      <c r="K279" s="36" t="s">
        <v>474</v>
      </c>
      <c r="L279" s="37" t="s">
        <v>787</v>
      </c>
      <c r="M279" s="37">
        <v>11</v>
      </c>
      <c r="N279" s="37">
        <v>0</v>
      </c>
      <c r="O279" s="37">
        <v>0</v>
      </c>
      <c r="P279" s="37">
        <v>0</v>
      </c>
      <c r="Q279" s="37">
        <v>0</v>
      </c>
      <c r="R279" s="65">
        <v>0.25972222222222224</v>
      </c>
      <c r="S279" s="65">
        <v>0.30069444444444443</v>
      </c>
      <c r="T279" s="65">
        <v>0.26180555555555557</v>
      </c>
      <c r="U279" s="65">
        <v>0.27083333333333331</v>
      </c>
      <c r="V279" s="65">
        <v>0.27152777777777776</v>
      </c>
      <c r="W279" s="65">
        <v>0.29930555555555555</v>
      </c>
      <c r="X279" s="65">
        <v>0.27291666666666664</v>
      </c>
      <c r="Y279" s="65">
        <v>0.32847222222222222</v>
      </c>
      <c r="Z279" s="37" t="s">
        <v>34</v>
      </c>
      <c r="AA279" s="37"/>
      <c r="AB279" s="37">
        <v>4</v>
      </c>
      <c r="AC279" s="37">
        <v>25</v>
      </c>
      <c r="AD279" s="37">
        <v>5</v>
      </c>
      <c r="AE279" s="37">
        <v>16</v>
      </c>
      <c r="AF279" s="167">
        <v>45927</v>
      </c>
    </row>
    <row r="280" spans="1:32" s="195" customFormat="1" x14ac:dyDescent="0.25">
      <c r="A280" s="190">
        <v>45928</v>
      </c>
      <c r="B280" s="191" t="s">
        <v>788</v>
      </c>
      <c r="C280" s="192" t="s">
        <v>35</v>
      </c>
      <c r="D280" s="192">
        <v>44</v>
      </c>
      <c r="E280" s="193">
        <v>0.21527777777777779</v>
      </c>
      <c r="F280" s="193">
        <v>0.21388888888888888</v>
      </c>
      <c r="G280" s="193">
        <v>0.28472222222222221</v>
      </c>
      <c r="H280" s="193">
        <v>0.27847222222222223</v>
      </c>
      <c r="I280" s="63">
        <f t="shared" si="7"/>
        <v>6.4583333333333354E-2</v>
      </c>
      <c r="J280" s="233">
        <v>0</v>
      </c>
      <c r="K280" s="192"/>
      <c r="L280" s="192" t="s">
        <v>33</v>
      </c>
      <c r="M280" s="192">
        <v>11</v>
      </c>
      <c r="N280" s="192">
        <v>0</v>
      </c>
      <c r="O280" s="192">
        <v>0</v>
      </c>
      <c r="P280" s="192">
        <v>0</v>
      </c>
      <c r="Q280" s="192">
        <v>0</v>
      </c>
      <c r="R280" s="193">
        <v>0.21597222222222223</v>
      </c>
      <c r="S280" s="193">
        <v>0.27083333333333331</v>
      </c>
      <c r="T280" s="193">
        <v>0.21666666666666667</v>
      </c>
      <c r="U280" s="193">
        <v>0.24930555555555556</v>
      </c>
      <c r="V280" s="193">
        <v>0.25</v>
      </c>
      <c r="W280" s="193">
        <v>0.27013888888888887</v>
      </c>
      <c r="X280" s="193">
        <v>0.28194444444444444</v>
      </c>
      <c r="Y280" s="193">
        <v>0.27777777777777779</v>
      </c>
      <c r="Z280" s="192" t="s">
        <v>34</v>
      </c>
      <c r="AA280" s="192"/>
      <c r="AB280" s="192">
        <v>6</v>
      </c>
      <c r="AC280" s="192">
        <v>19</v>
      </c>
      <c r="AD280" s="192">
        <v>7</v>
      </c>
      <c r="AE280" s="192">
        <v>21</v>
      </c>
      <c r="AF280" s="194">
        <v>45928</v>
      </c>
    </row>
    <row r="281" spans="1:32" s="28" customFormat="1" x14ac:dyDescent="0.25">
      <c r="A281" s="35">
        <v>45929</v>
      </c>
      <c r="B281" s="36" t="s">
        <v>621</v>
      </c>
      <c r="C281" s="37" t="s">
        <v>773</v>
      </c>
      <c r="D281" s="37">
        <v>43</v>
      </c>
      <c r="E281" s="65">
        <v>0.1736111111111111</v>
      </c>
      <c r="F281" s="65">
        <v>0.19444444444444445</v>
      </c>
      <c r="G281" s="65">
        <v>0.22916666666666666</v>
      </c>
      <c r="H281" s="65">
        <v>0.24583333333333332</v>
      </c>
      <c r="I281" s="38">
        <f t="shared" si="7"/>
        <v>5.1388888888888873E-2</v>
      </c>
      <c r="J281" s="65">
        <v>1.6666666666666666E-2</v>
      </c>
      <c r="K281" s="37" t="s">
        <v>759</v>
      </c>
      <c r="L281" s="37" t="s">
        <v>750</v>
      </c>
      <c r="M281" s="37">
        <v>11</v>
      </c>
      <c r="N281" s="37">
        <v>0</v>
      </c>
      <c r="O281" s="37">
        <v>0</v>
      </c>
      <c r="P281" s="37">
        <v>0</v>
      </c>
      <c r="Q281" s="37">
        <v>0</v>
      </c>
      <c r="R281" s="65">
        <v>0.19583333333333333</v>
      </c>
      <c r="S281" s="65">
        <v>0.23958333333333334</v>
      </c>
      <c r="T281" s="65">
        <v>0.19722222222222222</v>
      </c>
      <c r="U281" s="65">
        <v>0.21805555555555556</v>
      </c>
      <c r="V281" s="65">
        <v>0.20555555555555555</v>
      </c>
      <c r="W281" s="65">
        <v>0.23958333333333334</v>
      </c>
      <c r="X281" s="130">
        <v>0.2326388888888889</v>
      </c>
      <c r="Y281" s="65">
        <v>0.24583333333333332</v>
      </c>
      <c r="Z281" s="37" t="s">
        <v>105</v>
      </c>
      <c r="AA281" s="37"/>
      <c r="AB281" s="37">
        <v>6</v>
      </c>
      <c r="AC281" s="37">
        <v>25</v>
      </c>
      <c r="AD281" s="37">
        <v>6</v>
      </c>
      <c r="AE281" s="37">
        <v>5</v>
      </c>
      <c r="AF281" s="167">
        <v>45929</v>
      </c>
    </row>
    <row r="282" spans="1:32" s="28" customFormat="1" x14ac:dyDescent="0.25">
      <c r="A282" s="35">
        <v>45930</v>
      </c>
      <c r="B282" s="36" t="s">
        <v>621</v>
      </c>
      <c r="C282" s="37" t="s">
        <v>32</v>
      </c>
      <c r="D282" s="37">
        <v>44</v>
      </c>
      <c r="E282" s="65">
        <v>0.21527777777777779</v>
      </c>
      <c r="F282" s="65">
        <v>0.23333333333333334</v>
      </c>
      <c r="G282" s="65">
        <v>0.28472222222222221</v>
      </c>
      <c r="H282" s="65">
        <v>0.28263888888888888</v>
      </c>
      <c r="I282" s="38">
        <f t="shared" si="7"/>
        <v>4.9305555555555547E-2</v>
      </c>
      <c r="J282" s="65">
        <v>0</v>
      </c>
      <c r="K282" s="37"/>
      <c r="L282" s="37" t="s">
        <v>33</v>
      </c>
      <c r="M282" s="37">
        <v>11</v>
      </c>
      <c r="N282" s="37">
        <v>0</v>
      </c>
      <c r="O282" s="37">
        <v>0</v>
      </c>
      <c r="P282" s="37">
        <v>0</v>
      </c>
      <c r="Q282" s="37">
        <v>0</v>
      </c>
      <c r="R282" s="65">
        <v>0.22916666666666666</v>
      </c>
      <c r="S282" s="65">
        <v>0.27152777777777776</v>
      </c>
      <c r="T282" s="65">
        <v>0.23055555555555557</v>
      </c>
      <c r="U282" s="65">
        <v>0.25</v>
      </c>
      <c r="V282" s="65">
        <v>0.25069444444444444</v>
      </c>
      <c r="W282" s="65">
        <v>0.27083333333333331</v>
      </c>
      <c r="X282" s="65">
        <v>0.25347222222222221</v>
      </c>
      <c r="Y282" s="65">
        <v>0.27986111111111112</v>
      </c>
      <c r="Z282" s="37" t="s">
        <v>105</v>
      </c>
      <c r="AA282" s="37"/>
      <c r="AB282" s="37">
        <v>5</v>
      </c>
      <c r="AC282" s="37">
        <v>19</v>
      </c>
      <c r="AD282" s="37">
        <v>7</v>
      </c>
      <c r="AE282" s="37">
        <v>15</v>
      </c>
      <c r="AF282" s="167">
        <v>45930</v>
      </c>
    </row>
    <row r="283" spans="1:32" s="28" customFormat="1" x14ac:dyDescent="0.25">
      <c r="A283" s="35">
        <v>45931</v>
      </c>
      <c r="B283" s="36" t="s">
        <v>621</v>
      </c>
      <c r="C283" s="37" t="s">
        <v>38</v>
      </c>
      <c r="D283" s="37">
        <v>44</v>
      </c>
      <c r="E283" s="65">
        <v>0.21527777777777779</v>
      </c>
      <c r="F283" s="65">
        <v>0.21041666666666667</v>
      </c>
      <c r="G283" s="65">
        <v>0.28472222222222221</v>
      </c>
      <c r="H283" s="65">
        <v>0.27986111111111112</v>
      </c>
      <c r="I283" s="38">
        <f t="shared" si="7"/>
        <v>6.9444444444444448E-2</v>
      </c>
      <c r="J283" s="37">
        <v>0</v>
      </c>
      <c r="K283" s="37">
        <v>0</v>
      </c>
      <c r="L283" s="37" t="s">
        <v>33</v>
      </c>
      <c r="M283" s="37">
        <v>11</v>
      </c>
      <c r="N283" s="37">
        <v>0</v>
      </c>
      <c r="O283" s="37">
        <v>0</v>
      </c>
      <c r="P283" s="37">
        <v>0</v>
      </c>
      <c r="Q283" s="37">
        <v>0</v>
      </c>
      <c r="R283" s="65">
        <v>0.21249999999999999</v>
      </c>
      <c r="S283" s="65">
        <v>0.26458333333333334</v>
      </c>
      <c r="T283" s="65">
        <v>0.21319444444444444</v>
      </c>
      <c r="U283" s="65">
        <v>0.23472222222222222</v>
      </c>
      <c r="V283" s="65">
        <v>0.23472222222222222</v>
      </c>
      <c r="W283" s="65">
        <v>0.26458333333333334</v>
      </c>
      <c r="X283" s="65">
        <v>0.25208333333333333</v>
      </c>
      <c r="Y283" s="65">
        <v>0.27777777777777779</v>
      </c>
      <c r="Z283" s="37" t="s">
        <v>72</v>
      </c>
      <c r="AA283" s="37"/>
      <c r="AB283" s="37">
        <v>14</v>
      </c>
      <c r="AC283" s="37">
        <v>16</v>
      </c>
      <c r="AD283" s="37">
        <v>10</v>
      </c>
      <c r="AE283" s="37">
        <v>8</v>
      </c>
      <c r="AF283" s="167">
        <v>45931</v>
      </c>
    </row>
    <row r="284" spans="1:32" s="28" customFormat="1" x14ac:dyDescent="0.25">
      <c r="A284" s="35">
        <v>45932</v>
      </c>
      <c r="B284" s="36" t="s">
        <v>621</v>
      </c>
      <c r="C284" s="37" t="s">
        <v>39</v>
      </c>
      <c r="D284" s="37">
        <v>44</v>
      </c>
      <c r="E284" s="65">
        <v>0.21527777777777779</v>
      </c>
      <c r="F284" s="65">
        <v>0.20694444444444443</v>
      </c>
      <c r="G284" s="65">
        <v>0.28472222222222221</v>
      </c>
      <c r="H284" s="65">
        <v>0.2638888888888889</v>
      </c>
      <c r="I284" s="38">
        <f t="shared" si="7"/>
        <v>5.6944444444444464E-2</v>
      </c>
      <c r="J284" s="37">
        <v>0</v>
      </c>
      <c r="K284" s="37">
        <v>0</v>
      </c>
      <c r="L284" s="37" t="s">
        <v>33</v>
      </c>
      <c r="M284" s="37">
        <v>11</v>
      </c>
      <c r="N284" s="65">
        <v>0.20833333333333334</v>
      </c>
      <c r="O284" s="65">
        <v>0.2638888888888889</v>
      </c>
      <c r="P284" s="65">
        <v>0.25347222222222221</v>
      </c>
      <c r="Q284" s="65">
        <v>0.25694444444444442</v>
      </c>
      <c r="R284" s="65">
        <v>0.21388888888888888</v>
      </c>
      <c r="S284" s="65">
        <v>0.25138888888888888</v>
      </c>
      <c r="T284" s="65">
        <v>0.21458333333333332</v>
      </c>
      <c r="U284" s="65">
        <v>0.23055555555555557</v>
      </c>
      <c r="V284" s="65">
        <v>0.23125000000000001</v>
      </c>
      <c r="W284" s="65">
        <v>0.25138888888888888</v>
      </c>
      <c r="X284" s="65">
        <v>0.22708333333333333</v>
      </c>
      <c r="Y284" s="65">
        <v>0.25624999999999998</v>
      </c>
      <c r="Z284" s="37" t="s">
        <v>72</v>
      </c>
      <c r="AA284" s="37"/>
      <c r="AB284" s="37">
        <v>16</v>
      </c>
      <c r="AC284" s="37">
        <v>18</v>
      </c>
      <c r="AD284" s="37">
        <v>8</v>
      </c>
      <c r="AE284" s="37">
        <v>12</v>
      </c>
      <c r="AF284" s="167">
        <v>45932</v>
      </c>
    </row>
    <row r="285" spans="1:32" s="28" customFormat="1" x14ac:dyDescent="0.25">
      <c r="A285" s="35">
        <v>45933</v>
      </c>
      <c r="B285" s="36" t="s">
        <v>621</v>
      </c>
      <c r="C285" s="37" t="s">
        <v>35</v>
      </c>
      <c r="D285" s="37">
        <v>44</v>
      </c>
      <c r="E285" s="65">
        <v>0.21527777777777779</v>
      </c>
      <c r="F285" s="65">
        <v>0.20833333333333334</v>
      </c>
      <c r="G285" s="65">
        <v>0.28472222222222221</v>
      </c>
      <c r="H285" s="65">
        <v>0.25763888888888886</v>
      </c>
      <c r="I285" s="38">
        <f t="shared" si="7"/>
        <v>4.9305555555555519E-2</v>
      </c>
      <c r="J285" s="37">
        <v>0</v>
      </c>
      <c r="K285" s="37">
        <v>0</v>
      </c>
      <c r="L285" s="37" t="s">
        <v>33</v>
      </c>
      <c r="M285" s="37">
        <v>11</v>
      </c>
      <c r="N285" s="37">
        <v>0</v>
      </c>
      <c r="O285" s="37">
        <v>0</v>
      </c>
      <c r="P285" s="37">
        <v>0</v>
      </c>
      <c r="Q285" s="37">
        <v>0</v>
      </c>
      <c r="R285" s="65">
        <v>0.21249999999999999</v>
      </c>
      <c r="S285" s="65">
        <v>0.24652777777777779</v>
      </c>
      <c r="T285" s="65">
        <v>0.21388888888888888</v>
      </c>
      <c r="U285" s="65">
        <v>0.22569444444444445</v>
      </c>
      <c r="V285" s="65">
        <v>0.22777777777777777</v>
      </c>
      <c r="W285" s="65">
        <v>0.24652777777777779</v>
      </c>
      <c r="X285" s="65">
        <v>0.22152777777777777</v>
      </c>
      <c r="Y285" s="65">
        <v>0.25138888888888888</v>
      </c>
      <c r="Z285" s="37" t="s">
        <v>34</v>
      </c>
      <c r="AA285" s="37"/>
      <c r="AB285" s="37">
        <v>15</v>
      </c>
      <c r="AC285" s="37">
        <v>16</v>
      </c>
      <c r="AD285" s="37">
        <v>14</v>
      </c>
      <c r="AE285" s="37">
        <v>9</v>
      </c>
      <c r="AF285" s="167">
        <v>45933</v>
      </c>
    </row>
    <row r="286" spans="1:32" s="28" customFormat="1" x14ac:dyDescent="0.25">
      <c r="A286" s="35">
        <v>45934</v>
      </c>
      <c r="B286" s="36" t="s">
        <v>621</v>
      </c>
      <c r="C286" s="37" t="s">
        <v>32</v>
      </c>
      <c r="D286" s="37">
        <v>44</v>
      </c>
      <c r="E286" s="65">
        <v>0.25694444444444442</v>
      </c>
      <c r="F286" s="65">
        <v>0.25208333333333333</v>
      </c>
      <c r="G286" s="65">
        <v>0.31944444444444442</v>
      </c>
      <c r="H286" s="65">
        <v>0.30486111111111114</v>
      </c>
      <c r="I286" s="38">
        <f t="shared" si="7"/>
        <v>5.2777777777777812E-2</v>
      </c>
      <c r="J286" s="37">
        <v>0</v>
      </c>
      <c r="K286" s="37">
        <v>0</v>
      </c>
      <c r="L286" s="37" t="s">
        <v>33</v>
      </c>
      <c r="M286" s="37">
        <v>11</v>
      </c>
      <c r="N286" s="37">
        <v>0</v>
      </c>
      <c r="O286" s="37">
        <v>0</v>
      </c>
      <c r="P286" s="37">
        <v>0</v>
      </c>
      <c r="Q286" s="37">
        <v>0</v>
      </c>
      <c r="R286" s="65">
        <v>0.25486111111111109</v>
      </c>
      <c r="S286" s="65">
        <v>0.28680555555555554</v>
      </c>
      <c r="T286" s="65">
        <v>0.25555555555555554</v>
      </c>
      <c r="U286" s="65">
        <v>0.26874999999999999</v>
      </c>
      <c r="V286" s="65">
        <v>0.26944444444444443</v>
      </c>
      <c r="W286" s="65">
        <v>0.28680555555555554</v>
      </c>
      <c r="X286" s="65">
        <v>0.26111111111111113</v>
      </c>
      <c r="Y286" s="65">
        <v>0.2951388888888889</v>
      </c>
      <c r="Z286" s="37" t="s">
        <v>34</v>
      </c>
      <c r="AA286" s="37"/>
      <c r="AB286" s="37">
        <v>6</v>
      </c>
      <c r="AC286" s="37">
        <v>17</v>
      </c>
      <c r="AD286" s="37">
        <v>6</v>
      </c>
      <c r="AE286" s="37">
        <v>19</v>
      </c>
      <c r="AF286" s="167">
        <v>45934</v>
      </c>
    </row>
    <row r="287" spans="1:32" s="28" customFormat="1" x14ac:dyDescent="0.25">
      <c r="A287" s="35">
        <v>45934</v>
      </c>
      <c r="B287" s="36" t="s">
        <v>36</v>
      </c>
      <c r="C287" s="37" t="s">
        <v>57</v>
      </c>
      <c r="D287" s="37">
        <v>42</v>
      </c>
      <c r="E287" s="65">
        <v>0.46527777777777779</v>
      </c>
      <c r="F287" s="65">
        <v>0.46319444444444446</v>
      </c>
      <c r="G287" s="65">
        <v>0.54861111111111116</v>
      </c>
      <c r="H287" s="65">
        <v>0.56736111111111109</v>
      </c>
      <c r="I287" s="38">
        <f t="shared" si="7"/>
        <v>0.10416666666666663</v>
      </c>
      <c r="J287" s="65">
        <v>1.8749999999999999E-2</v>
      </c>
      <c r="K287" s="37">
        <v>32</v>
      </c>
      <c r="L287" s="37" t="s">
        <v>789</v>
      </c>
      <c r="M287" s="37"/>
      <c r="N287" s="37"/>
      <c r="O287" s="37"/>
      <c r="P287" s="37"/>
      <c r="Q287" s="37"/>
      <c r="R287" s="65"/>
      <c r="S287" s="65"/>
      <c r="T287" s="65"/>
      <c r="U287" s="65"/>
      <c r="V287" s="65"/>
      <c r="W287" s="65"/>
      <c r="X287" s="65"/>
      <c r="Y287" s="65"/>
      <c r="Z287" s="37"/>
      <c r="AA287" s="37"/>
      <c r="AB287" s="37"/>
      <c r="AC287" s="37"/>
      <c r="AD287" s="37"/>
      <c r="AE287" s="37"/>
      <c r="AF287" s="167"/>
    </row>
    <row r="288" spans="1:32" s="28" customFormat="1" x14ac:dyDescent="0.25">
      <c r="A288" s="35">
        <v>45935</v>
      </c>
      <c r="B288" s="36" t="s">
        <v>790</v>
      </c>
      <c r="C288" s="37" t="s">
        <v>35</v>
      </c>
      <c r="D288" s="37">
        <v>44</v>
      </c>
      <c r="E288" s="65">
        <v>0.21527777777777779</v>
      </c>
      <c r="F288" s="65">
        <v>0.21597222222222223</v>
      </c>
      <c r="G288" s="65">
        <v>0.28472222222222221</v>
      </c>
      <c r="H288" s="65">
        <v>0.28333333333333333</v>
      </c>
      <c r="I288" s="38">
        <f t="shared" si="7"/>
        <v>6.7361111111111094E-2</v>
      </c>
      <c r="J288" s="37">
        <v>0</v>
      </c>
      <c r="K288" s="37">
        <v>0</v>
      </c>
      <c r="L288" s="37" t="s">
        <v>33</v>
      </c>
      <c r="M288" s="37">
        <v>11</v>
      </c>
      <c r="N288" s="37">
        <v>0</v>
      </c>
      <c r="O288" s="37">
        <v>0</v>
      </c>
      <c r="P288" s="37">
        <v>0</v>
      </c>
      <c r="Q288" s="37">
        <v>0</v>
      </c>
      <c r="R288" s="65">
        <v>0.21666666666666667</v>
      </c>
      <c r="S288" s="65">
        <v>0.25694444444444442</v>
      </c>
      <c r="T288" s="65">
        <v>0.21875</v>
      </c>
      <c r="U288" s="65">
        <v>0.23819444444444443</v>
      </c>
      <c r="V288" s="65">
        <v>0.2388888888888889</v>
      </c>
      <c r="W288" s="65">
        <v>0.25694444444444442</v>
      </c>
      <c r="X288" s="65">
        <v>0.24166666666666667</v>
      </c>
      <c r="Y288" s="65">
        <v>0.27083333333333331</v>
      </c>
      <c r="Z288" s="37" t="s">
        <v>34</v>
      </c>
      <c r="AA288" s="37"/>
      <c r="AB288" s="37">
        <v>8</v>
      </c>
      <c r="AC288" s="37">
        <v>16</v>
      </c>
      <c r="AD288" s="37">
        <v>4</v>
      </c>
      <c r="AE288" s="37">
        <v>16</v>
      </c>
      <c r="AF288" s="167">
        <v>45935</v>
      </c>
    </row>
    <row r="289" spans="1:32" s="28" customFormat="1" x14ac:dyDescent="0.25">
      <c r="A289" s="35">
        <v>45936</v>
      </c>
      <c r="B289" s="36" t="s">
        <v>621</v>
      </c>
      <c r="C289" s="37" t="s">
        <v>38</v>
      </c>
      <c r="D289" s="37">
        <v>43</v>
      </c>
      <c r="E289" s="65">
        <v>0.1736111111111111</v>
      </c>
      <c r="F289" s="65">
        <v>0.19305555555555556</v>
      </c>
      <c r="G289" s="65">
        <v>0.22916666666666666</v>
      </c>
      <c r="H289" s="65">
        <v>0.24722222222222223</v>
      </c>
      <c r="I289" s="38">
        <f t="shared" si="7"/>
        <v>5.4166666666666669E-2</v>
      </c>
      <c r="J289" s="65">
        <v>1.8055555555555554E-2</v>
      </c>
      <c r="K289" s="238" t="s">
        <v>759</v>
      </c>
      <c r="L289" s="37" t="s">
        <v>791</v>
      </c>
      <c r="M289" s="37">
        <v>11</v>
      </c>
      <c r="N289" s="37">
        <v>0</v>
      </c>
      <c r="O289" s="37">
        <v>0</v>
      </c>
      <c r="P289" s="37">
        <v>0</v>
      </c>
      <c r="Q289" s="37">
        <v>0</v>
      </c>
      <c r="R289" s="65">
        <v>0.19513888888888889</v>
      </c>
      <c r="S289" s="65">
        <v>0.2326388888888889</v>
      </c>
      <c r="T289" s="65">
        <v>0.19583333333333333</v>
      </c>
      <c r="U289" s="65">
        <v>0.20972222222222223</v>
      </c>
      <c r="V289" s="65">
        <v>0.21041666666666667</v>
      </c>
      <c r="W289" s="65">
        <v>0.2326388888888889</v>
      </c>
      <c r="X289" s="37"/>
      <c r="Y289" s="65">
        <v>0.24236111111111111</v>
      </c>
      <c r="Z289" s="37" t="s">
        <v>90</v>
      </c>
      <c r="AA289" s="37"/>
      <c r="AB289" s="37">
        <v>7</v>
      </c>
      <c r="AC289" s="37">
        <v>16</v>
      </c>
      <c r="AD289" s="37">
        <v>8</v>
      </c>
      <c r="AE289" s="37">
        <v>15</v>
      </c>
      <c r="AF289" s="167">
        <v>45936</v>
      </c>
    </row>
    <row r="290" spans="1:32" s="28" customFormat="1" x14ac:dyDescent="0.25">
      <c r="A290" s="35">
        <v>45937</v>
      </c>
      <c r="B290" s="36" t="s">
        <v>621</v>
      </c>
      <c r="C290" s="37" t="s">
        <v>35</v>
      </c>
      <c r="D290" s="37">
        <v>43</v>
      </c>
      <c r="E290" s="65">
        <v>0.21527777777777779</v>
      </c>
      <c r="F290" s="65">
        <v>0.21180555555555555</v>
      </c>
      <c r="G290" s="65">
        <v>0.28472222222222221</v>
      </c>
      <c r="H290" s="65">
        <v>0.27083333333333331</v>
      </c>
      <c r="I290" s="38">
        <f t="shared" si="7"/>
        <v>5.9027777777777762E-2</v>
      </c>
      <c r="J290" s="37">
        <v>0</v>
      </c>
      <c r="K290" s="37">
        <v>0</v>
      </c>
      <c r="L290" s="37" t="s">
        <v>33</v>
      </c>
      <c r="M290" s="37">
        <v>11</v>
      </c>
      <c r="N290" s="37">
        <v>0</v>
      </c>
      <c r="O290" s="37">
        <v>0</v>
      </c>
      <c r="P290" s="37">
        <v>0</v>
      </c>
      <c r="Q290" s="37">
        <v>0</v>
      </c>
      <c r="R290" s="65">
        <v>0.21319444444444444</v>
      </c>
      <c r="S290" s="65">
        <v>0.25416666666666665</v>
      </c>
      <c r="T290" s="65">
        <v>0.21458333333333332</v>
      </c>
      <c r="U290" s="65">
        <v>0.2388888888888889</v>
      </c>
      <c r="V290" s="65">
        <v>0.23958333333333334</v>
      </c>
      <c r="W290" s="65">
        <v>0.25416666666666665</v>
      </c>
      <c r="X290" s="65">
        <v>0.24513888888888888</v>
      </c>
      <c r="Y290" s="65">
        <v>0.26874999999999999</v>
      </c>
      <c r="Z290" s="37" t="s">
        <v>34</v>
      </c>
      <c r="AA290" s="37"/>
      <c r="AB290" s="37">
        <v>12</v>
      </c>
      <c r="AC290" s="37">
        <v>19</v>
      </c>
      <c r="AD290" s="37">
        <v>12</v>
      </c>
      <c r="AE290" s="37">
        <v>8</v>
      </c>
      <c r="AF290" s="167">
        <v>45937</v>
      </c>
    </row>
    <row r="291" spans="1:32" s="28" customFormat="1" x14ac:dyDescent="0.25">
      <c r="A291" s="35">
        <v>45938</v>
      </c>
      <c r="B291" s="36" t="s">
        <v>621</v>
      </c>
      <c r="C291" s="37" t="s">
        <v>39</v>
      </c>
      <c r="D291" s="37">
        <v>44</v>
      </c>
      <c r="E291" s="65">
        <v>0.21527777777777779</v>
      </c>
      <c r="F291" s="65">
        <v>0.24861111111111112</v>
      </c>
      <c r="G291" s="65">
        <v>0.28472222222222221</v>
      </c>
      <c r="H291" s="65">
        <v>0.31458333333333333</v>
      </c>
      <c r="I291" s="38">
        <f t="shared" si="7"/>
        <v>6.597222222222221E-2</v>
      </c>
      <c r="J291" s="65">
        <v>2.9861111111111113E-2</v>
      </c>
      <c r="K291" s="37" t="s">
        <v>792</v>
      </c>
      <c r="L291" s="37" t="s">
        <v>750</v>
      </c>
      <c r="M291" s="37">
        <v>11</v>
      </c>
      <c r="N291" s="65">
        <v>0.25694444444444442</v>
      </c>
      <c r="O291" s="65">
        <v>0.30555555555555558</v>
      </c>
      <c r="P291" s="65">
        <v>0.2986111111111111</v>
      </c>
      <c r="Q291" s="65">
        <v>0.30555555555555558</v>
      </c>
      <c r="R291" s="65">
        <v>0.25694444444444442</v>
      </c>
      <c r="S291" s="65">
        <v>0.30416666666666664</v>
      </c>
      <c r="T291" s="65">
        <v>0.25972222222222224</v>
      </c>
      <c r="U291" s="65">
        <v>0.28472222222222221</v>
      </c>
      <c r="V291" s="65">
        <v>0.28472222222222221</v>
      </c>
      <c r="W291" s="65">
        <v>0.30416666666666664</v>
      </c>
      <c r="X291" s="65">
        <v>0.26805555555555555</v>
      </c>
      <c r="Y291" s="65">
        <v>0.30902777777777779</v>
      </c>
      <c r="Z291" s="37" t="s">
        <v>40</v>
      </c>
      <c r="AA291" s="37"/>
      <c r="AB291" s="37">
        <v>14</v>
      </c>
      <c r="AC291" s="37">
        <v>17</v>
      </c>
      <c r="AD291" s="37">
        <v>14</v>
      </c>
      <c r="AE291" s="37">
        <v>6</v>
      </c>
      <c r="AF291" s="167">
        <v>45938</v>
      </c>
    </row>
    <row r="292" spans="1:32" s="28" customFormat="1" x14ac:dyDescent="0.25">
      <c r="A292" s="35">
        <v>45939</v>
      </c>
      <c r="B292" s="36" t="s">
        <v>621</v>
      </c>
      <c r="C292" s="37" t="s">
        <v>46</v>
      </c>
      <c r="D292" s="37">
        <v>43</v>
      </c>
      <c r="E292" s="65">
        <v>0.21527777777777779</v>
      </c>
      <c r="F292" s="65">
        <v>0.22569444444444445</v>
      </c>
      <c r="G292" s="65">
        <v>0.28472222222222221</v>
      </c>
      <c r="H292" s="65">
        <v>0.28055555555555556</v>
      </c>
      <c r="I292" s="38">
        <f t="shared" si="7"/>
        <v>5.486111111111111E-2</v>
      </c>
      <c r="J292" s="37">
        <v>0</v>
      </c>
      <c r="K292" s="37">
        <v>0</v>
      </c>
      <c r="L292" s="37" t="s">
        <v>33</v>
      </c>
      <c r="M292" s="37">
        <v>11</v>
      </c>
      <c r="N292" s="37">
        <v>0</v>
      </c>
      <c r="O292" s="37">
        <v>0</v>
      </c>
      <c r="P292" s="37">
        <v>0</v>
      </c>
      <c r="Q292" s="37">
        <v>0</v>
      </c>
      <c r="R292" s="65">
        <v>0.22708333333333333</v>
      </c>
      <c r="S292" s="65">
        <v>0.27152777777777776</v>
      </c>
      <c r="T292" s="65">
        <v>0.23125000000000001</v>
      </c>
      <c r="U292" s="65">
        <v>0.24652777777777779</v>
      </c>
      <c r="V292" s="65">
        <v>0.24722222222222223</v>
      </c>
      <c r="W292" s="65">
        <v>0.27152777777777776</v>
      </c>
      <c r="X292" s="65">
        <v>0.23749999999999999</v>
      </c>
      <c r="Y292" s="65">
        <v>0.27777777777777779</v>
      </c>
      <c r="Z292" s="37" t="s">
        <v>40</v>
      </c>
      <c r="AA292" s="37"/>
      <c r="AB292" s="37">
        <v>8</v>
      </c>
      <c r="AC292" s="37">
        <v>17</v>
      </c>
      <c r="AD292" s="37">
        <v>13</v>
      </c>
      <c r="AE292" s="37">
        <v>9</v>
      </c>
      <c r="AF292" s="167">
        <v>45939</v>
      </c>
    </row>
    <row r="293" spans="1:32" s="28" customFormat="1" x14ac:dyDescent="0.25">
      <c r="A293" s="35">
        <v>45940</v>
      </c>
      <c r="B293" s="36" t="s">
        <v>621</v>
      </c>
      <c r="C293" s="37" t="s">
        <v>35</v>
      </c>
      <c r="D293" s="37">
        <v>44</v>
      </c>
      <c r="E293" s="65">
        <v>0.21527777777777779</v>
      </c>
      <c r="F293" s="65">
        <v>0.20208333333333334</v>
      </c>
      <c r="G293" s="65">
        <v>0.28472222222222221</v>
      </c>
      <c r="H293" s="65">
        <v>0.26597222222222222</v>
      </c>
      <c r="I293" s="38">
        <f t="shared" si="7"/>
        <v>6.3888888888888884E-2</v>
      </c>
      <c r="J293" s="37">
        <v>0</v>
      </c>
      <c r="K293" s="37">
        <v>0</v>
      </c>
      <c r="L293" s="37" t="s">
        <v>33</v>
      </c>
      <c r="M293" s="37">
        <v>11</v>
      </c>
      <c r="N293" s="37">
        <v>0</v>
      </c>
      <c r="O293" s="37">
        <v>0</v>
      </c>
      <c r="P293" s="37">
        <v>0</v>
      </c>
      <c r="Q293" s="37">
        <v>0</v>
      </c>
      <c r="R293" s="65">
        <v>0.20624999999999999</v>
      </c>
      <c r="S293" s="65">
        <v>0.25</v>
      </c>
      <c r="T293" s="65">
        <v>0.20624999999999999</v>
      </c>
      <c r="U293" s="65">
        <v>0.23055555555555557</v>
      </c>
      <c r="V293" s="65">
        <v>0.23125000000000001</v>
      </c>
      <c r="W293" s="65">
        <v>0.25</v>
      </c>
      <c r="X293" s="65">
        <v>0.22430555555555556</v>
      </c>
      <c r="Y293" s="65">
        <v>0.26458333333333334</v>
      </c>
      <c r="Z293" s="37" t="s">
        <v>34</v>
      </c>
      <c r="AA293" s="37"/>
      <c r="AB293" s="37">
        <v>7</v>
      </c>
      <c r="AC293" s="37">
        <v>21</v>
      </c>
      <c r="AD293" s="37">
        <v>15</v>
      </c>
      <c r="AE293" s="37">
        <v>5</v>
      </c>
      <c r="AF293" s="167">
        <v>45940</v>
      </c>
    </row>
    <row r="294" spans="1:32" s="28" customFormat="1" x14ac:dyDescent="0.25">
      <c r="A294" s="35">
        <v>45941</v>
      </c>
      <c r="B294" s="36" t="s">
        <v>621</v>
      </c>
      <c r="C294" s="37" t="s">
        <v>46</v>
      </c>
      <c r="D294" s="37">
        <v>43</v>
      </c>
      <c r="E294" s="65">
        <v>0.25694444444444442</v>
      </c>
      <c r="F294" s="65">
        <v>0.24652777777777779</v>
      </c>
      <c r="G294" s="65">
        <v>0.31944444444444442</v>
      </c>
      <c r="H294" s="65">
        <v>0.29930555555555555</v>
      </c>
      <c r="I294" s="38">
        <f t="shared" si="7"/>
        <v>5.2777777777777757E-2</v>
      </c>
      <c r="J294" s="37">
        <v>0</v>
      </c>
      <c r="K294" s="37">
        <v>0</v>
      </c>
      <c r="L294" s="37" t="s">
        <v>33</v>
      </c>
      <c r="M294" s="37">
        <v>11</v>
      </c>
      <c r="N294" s="37">
        <v>0</v>
      </c>
      <c r="O294" s="37">
        <v>0</v>
      </c>
      <c r="P294" s="37">
        <v>0</v>
      </c>
      <c r="Q294" s="37">
        <v>0</v>
      </c>
      <c r="R294" s="65">
        <v>0.24791666666666667</v>
      </c>
      <c r="S294" s="65">
        <v>0.28194444444444444</v>
      </c>
      <c r="T294" s="65">
        <v>0.22847222222222222</v>
      </c>
      <c r="U294" s="65">
        <v>0.2638888888888889</v>
      </c>
      <c r="V294" s="65">
        <v>0.25694444444444442</v>
      </c>
      <c r="W294" s="65">
        <v>0.28194444444444444</v>
      </c>
      <c r="X294" s="65">
        <v>0.27083333333333331</v>
      </c>
      <c r="Y294" s="65">
        <v>0.29305555555555557</v>
      </c>
      <c r="Z294" s="37" t="s">
        <v>105</v>
      </c>
      <c r="AA294" s="37"/>
      <c r="AB294" s="37">
        <v>10</v>
      </c>
      <c r="AC294" s="37">
        <v>20</v>
      </c>
      <c r="AD294" s="37">
        <v>15</v>
      </c>
      <c r="AE294" s="37">
        <v>6</v>
      </c>
      <c r="AF294" s="167">
        <v>45941</v>
      </c>
    </row>
    <row r="295" spans="1:32" s="28" customFormat="1" x14ac:dyDescent="0.25">
      <c r="A295" s="35">
        <v>45941</v>
      </c>
      <c r="B295" s="36" t="s">
        <v>36</v>
      </c>
      <c r="C295" s="37" t="s">
        <v>793</v>
      </c>
      <c r="D295" s="37">
        <v>42</v>
      </c>
      <c r="E295" s="65">
        <v>0.46527777777777779</v>
      </c>
      <c r="F295" s="65">
        <v>0.45694444444444443</v>
      </c>
      <c r="G295" s="65">
        <v>0.54861111111111116</v>
      </c>
      <c r="H295" s="65">
        <v>0.54374999999999996</v>
      </c>
      <c r="I295" s="38">
        <f t="shared" ref="I295" si="8">H295-F295</f>
        <v>8.6805555555555525E-2</v>
      </c>
      <c r="J295" s="65">
        <v>0</v>
      </c>
      <c r="K295" s="37">
        <v>0</v>
      </c>
      <c r="L295" s="37" t="s">
        <v>242</v>
      </c>
      <c r="M295" s="37"/>
      <c r="N295" s="37"/>
      <c r="O295" s="37"/>
      <c r="P295" s="37"/>
      <c r="Q295" s="37"/>
      <c r="R295" s="65"/>
      <c r="S295" s="65"/>
      <c r="T295" s="65"/>
      <c r="U295" s="65"/>
      <c r="V295" s="65"/>
      <c r="W295" s="65"/>
      <c r="X295" s="65"/>
      <c r="Y295" s="65"/>
      <c r="Z295" s="37"/>
      <c r="AA295" s="37"/>
      <c r="AB295" s="37"/>
      <c r="AC295" s="37"/>
      <c r="AD295" s="37"/>
      <c r="AE295" s="37"/>
      <c r="AF295" s="167"/>
    </row>
    <row r="296" spans="1:32" s="28" customFormat="1" x14ac:dyDescent="0.25">
      <c r="A296" s="35">
        <v>45942</v>
      </c>
      <c r="B296" s="36" t="s">
        <v>790</v>
      </c>
      <c r="C296" s="37" t="s">
        <v>38</v>
      </c>
      <c r="D296" s="37">
        <v>43</v>
      </c>
      <c r="E296" s="65">
        <v>0.21527777777777779</v>
      </c>
      <c r="F296" s="65">
        <v>0.22916666666666666</v>
      </c>
      <c r="G296" s="65">
        <v>0.28472222222222221</v>
      </c>
      <c r="H296" s="65">
        <v>0.28263888888888888</v>
      </c>
      <c r="I296" s="38">
        <f t="shared" si="7"/>
        <v>5.3472222222222227E-2</v>
      </c>
      <c r="J296" s="37">
        <v>0</v>
      </c>
      <c r="K296" s="37">
        <v>0</v>
      </c>
      <c r="L296" s="37" t="s">
        <v>33</v>
      </c>
      <c r="M296" s="37">
        <v>11</v>
      </c>
      <c r="N296" s="37">
        <v>0</v>
      </c>
      <c r="O296" s="37">
        <v>0</v>
      </c>
      <c r="P296" s="37">
        <v>0</v>
      </c>
      <c r="Q296" s="37">
        <v>0</v>
      </c>
      <c r="R296" s="65">
        <v>0.2326388888888889</v>
      </c>
      <c r="S296" s="65">
        <v>0.3215277777777778</v>
      </c>
      <c r="T296" s="65">
        <v>0.23333333333333334</v>
      </c>
      <c r="U296" s="65">
        <v>0.25208333333333333</v>
      </c>
      <c r="V296" s="65">
        <v>0.25277777777777777</v>
      </c>
      <c r="W296" s="65">
        <v>0.27847222222222223</v>
      </c>
      <c r="X296" s="65">
        <v>0.25069444444444444</v>
      </c>
      <c r="Y296" s="65">
        <v>0.28125</v>
      </c>
      <c r="Z296" s="37" t="s">
        <v>105</v>
      </c>
      <c r="AA296" s="37"/>
      <c r="AB296" s="37">
        <v>11</v>
      </c>
      <c r="AC296" s="37">
        <v>17</v>
      </c>
      <c r="AD296" s="37">
        <v>16</v>
      </c>
      <c r="AE296" s="37">
        <v>13</v>
      </c>
      <c r="AF296" s="167">
        <v>45942</v>
      </c>
    </row>
    <row r="297" spans="1:32" s="28" customFormat="1" x14ac:dyDescent="0.25">
      <c r="A297" s="35">
        <v>45943</v>
      </c>
      <c r="B297" s="36" t="s">
        <v>621</v>
      </c>
      <c r="C297" s="37" t="s">
        <v>32</v>
      </c>
      <c r="D297" s="37">
        <v>43</v>
      </c>
      <c r="E297" s="65">
        <v>0.1736111111111111</v>
      </c>
      <c r="F297" s="65">
        <v>0.16875000000000001</v>
      </c>
      <c r="G297" s="65">
        <v>0.22916666666666666</v>
      </c>
      <c r="H297" s="65">
        <v>0.21597222222222223</v>
      </c>
      <c r="I297" s="38">
        <f t="shared" si="7"/>
        <v>4.7222222222222221E-2</v>
      </c>
      <c r="J297" s="37">
        <v>0</v>
      </c>
      <c r="K297" s="37">
        <v>0</v>
      </c>
      <c r="L297" s="37" t="s">
        <v>33</v>
      </c>
      <c r="M297" s="37">
        <v>11</v>
      </c>
      <c r="N297" s="37">
        <v>0</v>
      </c>
      <c r="O297" s="37">
        <v>0</v>
      </c>
      <c r="P297" s="37">
        <v>0</v>
      </c>
      <c r="Q297" s="37">
        <v>0</v>
      </c>
      <c r="R297" s="65">
        <v>0.1701388888888889</v>
      </c>
      <c r="S297" s="65">
        <v>0.20347222222222222</v>
      </c>
      <c r="T297" s="65">
        <v>0.16944444444444445</v>
      </c>
      <c r="U297" s="65">
        <v>0.18680555555555556</v>
      </c>
      <c r="V297" s="65">
        <v>0.1875</v>
      </c>
      <c r="W297" s="65">
        <v>0.2013888888888889</v>
      </c>
      <c r="X297" s="65"/>
      <c r="Y297" s="65">
        <v>0.21041666666666667</v>
      </c>
      <c r="Z297" s="37" t="s">
        <v>34</v>
      </c>
      <c r="AA297" s="37"/>
      <c r="AB297" s="37">
        <v>8</v>
      </c>
      <c r="AC297" s="37">
        <v>20</v>
      </c>
      <c r="AD297" s="37">
        <v>13</v>
      </c>
      <c r="AE297" s="37">
        <v>6</v>
      </c>
      <c r="AF297" s="167">
        <v>45943</v>
      </c>
    </row>
    <row r="298" spans="1:32" s="28" customFormat="1" x14ac:dyDescent="0.25">
      <c r="A298" s="35">
        <v>45944</v>
      </c>
      <c r="B298" s="36" t="s">
        <v>621</v>
      </c>
      <c r="C298" s="37" t="s">
        <v>48</v>
      </c>
      <c r="D298" s="37">
        <v>41</v>
      </c>
      <c r="E298" s="65">
        <v>0.21527777777777779</v>
      </c>
      <c r="F298" s="65">
        <v>0.21319444444444444</v>
      </c>
      <c r="G298" s="65">
        <v>0.28472222222222221</v>
      </c>
      <c r="H298" s="65">
        <v>0.26527777777777778</v>
      </c>
      <c r="I298" s="38">
        <f t="shared" si="7"/>
        <v>5.2083333333333343E-2</v>
      </c>
      <c r="J298" s="37">
        <v>0</v>
      </c>
      <c r="K298" s="37">
        <v>0</v>
      </c>
      <c r="L298" s="37" t="s">
        <v>33</v>
      </c>
      <c r="M298" s="37">
        <v>11</v>
      </c>
      <c r="N298" s="37">
        <v>0</v>
      </c>
      <c r="O298" s="37">
        <v>0</v>
      </c>
      <c r="P298" s="37">
        <v>0</v>
      </c>
      <c r="Q298" s="37">
        <v>0</v>
      </c>
      <c r="R298" s="65">
        <v>0.21458333333333332</v>
      </c>
      <c r="S298" s="65">
        <v>0.25694444444444442</v>
      </c>
      <c r="T298" s="65">
        <v>0.21666666666666667</v>
      </c>
      <c r="U298" s="65">
        <v>0.23749999999999999</v>
      </c>
      <c r="V298" s="65">
        <v>0.23819444444444443</v>
      </c>
      <c r="W298" s="65">
        <v>0.25694444444444442</v>
      </c>
      <c r="X298" s="65">
        <v>0.22569444444444445</v>
      </c>
      <c r="Y298" s="65">
        <v>0.26527777777777778</v>
      </c>
      <c r="Z298" s="37" t="s">
        <v>34</v>
      </c>
      <c r="AA298" s="37"/>
      <c r="AB298" s="37">
        <v>8</v>
      </c>
      <c r="AC298" s="37">
        <v>16</v>
      </c>
      <c r="AD298" s="37">
        <v>11</v>
      </c>
      <c r="AE298" s="37">
        <v>12</v>
      </c>
      <c r="AF298" s="167">
        <v>45944</v>
      </c>
    </row>
    <row r="299" spans="1:32" s="28" customFormat="1" x14ac:dyDescent="0.25">
      <c r="A299" s="35">
        <v>45945</v>
      </c>
      <c r="B299" s="36" t="s">
        <v>621</v>
      </c>
      <c r="C299" s="37" t="s">
        <v>32</v>
      </c>
      <c r="D299" s="37">
        <v>44</v>
      </c>
      <c r="E299" s="65">
        <v>0.21527777777777779</v>
      </c>
      <c r="F299" s="65">
        <v>0.20972222222222223</v>
      </c>
      <c r="G299" s="65">
        <v>0.28472222222222221</v>
      </c>
      <c r="H299" s="65">
        <v>0.26458333333333334</v>
      </c>
      <c r="I299" s="38">
        <f t="shared" ref="I299:I371" si="9">H299-F299</f>
        <v>5.486111111111111E-2</v>
      </c>
      <c r="J299" s="37">
        <v>0</v>
      </c>
      <c r="K299" s="37">
        <v>0</v>
      </c>
      <c r="L299" s="37" t="s">
        <v>33</v>
      </c>
      <c r="M299" s="37">
        <v>11</v>
      </c>
      <c r="N299" s="37">
        <v>0</v>
      </c>
      <c r="O299" s="37">
        <v>0</v>
      </c>
      <c r="P299" s="37">
        <v>0</v>
      </c>
      <c r="Q299" s="37">
        <v>0</v>
      </c>
      <c r="R299" s="65">
        <v>0.21111111111111111</v>
      </c>
      <c r="S299" s="65">
        <v>0.24930555555555556</v>
      </c>
      <c r="T299" s="65">
        <v>0.21527777777777779</v>
      </c>
      <c r="U299" s="65">
        <v>0.23194444444444445</v>
      </c>
      <c r="V299" s="65">
        <v>0.2326388888888889</v>
      </c>
      <c r="W299" s="65">
        <v>0.24930555555555556</v>
      </c>
      <c r="X299" s="65">
        <v>0.22083333333333333</v>
      </c>
      <c r="Y299" s="65">
        <v>0.25833333333333336</v>
      </c>
      <c r="Z299" s="37" t="s">
        <v>72</v>
      </c>
      <c r="AA299" s="37"/>
      <c r="AB299" s="37">
        <v>8</v>
      </c>
      <c r="AC299" s="37">
        <v>12</v>
      </c>
      <c r="AD299" s="37">
        <v>4</v>
      </c>
      <c r="AE299" s="37">
        <v>16</v>
      </c>
      <c r="AF299" s="167">
        <v>45945</v>
      </c>
    </row>
    <row r="300" spans="1:32" s="28" customFormat="1" x14ac:dyDescent="0.25">
      <c r="A300" s="35">
        <v>45946</v>
      </c>
      <c r="B300" s="36" t="s">
        <v>621</v>
      </c>
      <c r="C300" s="37" t="s">
        <v>48</v>
      </c>
      <c r="D300" s="37">
        <v>42</v>
      </c>
      <c r="E300" s="65">
        <v>0.21527777777777779</v>
      </c>
      <c r="F300" s="65">
        <v>0.20972222222222223</v>
      </c>
      <c r="G300" s="65">
        <v>0.28472222222222221</v>
      </c>
      <c r="H300" s="65">
        <v>0.25763888888888886</v>
      </c>
      <c r="I300" s="38">
        <f t="shared" si="9"/>
        <v>4.7916666666666635E-2</v>
      </c>
      <c r="J300" s="37">
        <v>0</v>
      </c>
      <c r="K300" s="37">
        <v>0</v>
      </c>
      <c r="L300" s="37" t="s">
        <v>33</v>
      </c>
      <c r="M300" s="37">
        <v>11</v>
      </c>
      <c r="N300" s="37">
        <v>0</v>
      </c>
      <c r="O300" s="37">
        <v>0</v>
      </c>
      <c r="P300" s="37">
        <v>0</v>
      </c>
      <c r="Q300" s="37">
        <v>0</v>
      </c>
      <c r="R300" s="65">
        <v>0.21180555555555555</v>
      </c>
      <c r="S300" s="65">
        <v>0.24722222222222223</v>
      </c>
      <c r="T300" s="65">
        <v>0.21319444444444444</v>
      </c>
      <c r="U300" s="65">
        <v>0.22638888888888889</v>
      </c>
      <c r="V300" s="65">
        <v>0.22708333333333333</v>
      </c>
      <c r="W300" s="65">
        <v>0.24722222222222223</v>
      </c>
      <c r="X300" s="65">
        <v>0.2298611111111111</v>
      </c>
      <c r="Y300" s="37"/>
      <c r="Z300" s="37" t="s">
        <v>105</v>
      </c>
      <c r="AA300" s="37"/>
      <c r="AB300" s="37">
        <v>16</v>
      </c>
      <c r="AC300" s="37">
        <v>15</v>
      </c>
      <c r="AD300" s="37">
        <v>13</v>
      </c>
      <c r="AE300" s="37">
        <v>21</v>
      </c>
      <c r="AF300" s="167">
        <v>45946</v>
      </c>
    </row>
    <row r="301" spans="1:32" s="28" customFormat="1" x14ac:dyDescent="0.25">
      <c r="A301" s="35">
        <v>45947</v>
      </c>
      <c r="B301" s="36" t="s">
        <v>621</v>
      </c>
      <c r="C301" s="37" t="s">
        <v>46</v>
      </c>
      <c r="D301" s="37">
        <v>44</v>
      </c>
      <c r="E301" s="65">
        <v>0.21527777777777779</v>
      </c>
      <c r="F301" s="65">
        <v>0.22847222222222222</v>
      </c>
      <c r="G301" s="65">
        <v>0.28472222222222221</v>
      </c>
      <c r="H301" s="65">
        <v>0.28194444444444444</v>
      </c>
      <c r="I301" s="38">
        <f t="shared" si="9"/>
        <v>5.3472222222222227E-2</v>
      </c>
      <c r="J301" s="37">
        <v>0</v>
      </c>
      <c r="K301" s="37">
        <v>0</v>
      </c>
      <c r="L301" s="37" t="s">
        <v>33</v>
      </c>
      <c r="M301" s="37">
        <v>11</v>
      </c>
      <c r="N301" s="37">
        <v>0</v>
      </c>
      <c r="O301" s="37">
        <v>0</v>
      </c>
      <c r="P301" s="37">
        <v>0</v>
      </c>
      <c r="Q301" s="37">
        <v>0</v>
      </c>
      <c r="R301" s="65">
        <v>0.23125000000000001</v>
      </c>
      <c r="S301" s="65">
        <v>0.27708333333333335</v>
      </c>
      <c r="T301" s="65">
        <v>0.23194444444444445</v>
      </c>
      <c r="U301" s="65">
        <v>0.24791666666666667</v>
      </c>
      <c r="V301" s="65">
        <v>0.24861111111111112</v>
      </c>
      <c r="W301" s="65">
        <v>0.27500000000000002</v>
      </c>
      <c r="X301" s="65">
        <v>0.23680555555555555</v>
      </c>
      <c r="Y301" s="65">
        <v>0.23541666666666666</v>
      </c>
      <c r="Z301" s="37" t="s">
        <v>105</v>
      </c>
      <c r="AA301" s="37"/>
      <c r="AB301" s="37">
        <v>12</v>
      </c>
      <c r="AC301" s="37">
        <v>13</v>
      </c>
      <c r="AD301" s="37">
        <v>14</v>
      </c>
      <c r="AE301" s="37">
        <v>13</v>
      </c>
      <c r="AF301" s="167">
        <v>45947</v>
      </c>
    </row>
    <row r="302" spans="1:32" s="28" customFormat="1" x14ac:dyDescent="0.25">
      <c r="A302" s="35">
        <v>45948</v>
      </c>
      <c r="B302" s="36" t="s">
        <v>621</v>
      </c>
      <c r="C302" s="37" t="s">
        <v>38</v>
      </c>
      <c r="D302" s="37">
        <v>43</v>
      </c>
      <c r="E302" s="65">
        <v>0.25694444444444442</v>
      </c>
      <c r="F302" s="65">
        <v>0.24027777777777778</v>
      </c>
      <c r="G302" s="65">
        <v>0.31944444444444442</v>
      </c>
      <c r="H302" s="65">
        <v>0.29652777777777778</v>
      </c>
      <c r="I302" s="38">
        <f t="shared" si="9"/>
        <v>5.6249999999999994E-2</v>
      </c>
      <c r="J302" s="37">
        <v>0</v>
      </c>
      <c r="K302" s="37">
        <v>0</v>
      </c>
      <c r="L302" s="37" t="s">
        <v>33</v>
      </c>
      <c r="M302" s="37">
        <v>11</v>
      </c>
      <c r="N302" s="37">
        <v>0</v>
      </c>
      <c r="O302" s="37">
        <v>0</v>
      </c>
      <c r="P302" s="37">
        <v>0</v>
      </c>
      <c r="Q302" s="37">
        <v>0</v>
      </c>
      <c r="R302" s="65">
        <v>0.24097222222222223</v>
      </c>
      <c r="S302" s="65">
        <v>0.28611111111111109</v>
      </c>
      <c r="T302" s="65">
        <v>0.24583333333333332</v>
      </c>
      <c r="U302" s="65">
        <v>0.26597222222222222</v>
      </c>
      <c r="V302" s="65">
        <v>0.26666666666666666</v>
      </c>
      <c r="W302" s="65">
        <v>0.28611111111111109</v>
      </c>
      <c r="X302" s="65">
        <v>0.26180555555555557</v>
      </c>
      <c r="Y302" s="65">
        <v>0.29236111111111113</v>
      </c>
      <c r="Z302" s="37" t="s">
        <v>40</v>
      </c>
      <c r="AA302" s="37"/>
      <c r="AB302" s="37">
        <v>27</v>
      </c>
      <c r="AC302" s="37">
        <v>4</v>
      </c>
      <c r="AD302" s="37">
        <v>10</v>
      </c>
      <c r="AE302" s="37">
        <v>7</v>
      </c>
      <c r="AF302" s="167">
        <v>45948</v>
      </c>
    </row>
    <row r="303" spans="1:32" s="28" customFormat="1" x14ac:dyDescent="0.25">
      <c r="A303" s="35">
        <v>45948</v>
      </c>
      <c r="B303" s="36" t="s">
        <v>36</v>
      </c>
      <c r="C303" s="37" t="s">
        <v>109</v>
      </c>
      <c r="D303" s="37">
        <v>42</v>
      </c>
      <c r="E303" s="65">
        <v>0.46527777777777779</v>
      </c>
      <c r="F303" s="65">
        <v>0.4548611111111111</v>
      </c>
      <c r="G303" s="65">
        <v>0.54861111111111116</v>
      </c>
      <c r="H303" s="65">
        <v>0.55555555555555558</v>
      </c>
      <c r="I303" s="38">
        <f t="shared" si="9"/>
        <v>0.10069444444444448</v>
      </c>
      <c r="J303" s="65">
        <v>6.9444444444444441E-3</v>
      </c>
      <c r="K303" s="37">
        <v>32</v>
      </c>
      <c r="L303" s="37" t="s">
        <v>794</v>
      </c>
      <c r="M303" s="37"/>
      <c r="N303" s="37"/>
      <c r="O303" s="37"/>
      <c r="P303" s="37"/>
      <c r="Q303" s="37"/>
      <c r="R303" s="65"/>
      <c r="S303" s="65"/>
      <c r="T303" s="65"/>
      <c r="U303" s="65"/>
      <c r="V303" s="65"/>
      <c r="W303" s="65"/>
      <c r="X303" s="65"/>
      <c r="Y303" s="65"/>
      <c r="Z303" s="37"/>
      <c r="AA303" s="37"/>
      <c r="AB303" s="37"/>
      <c r="AC303" s="37"/>
      <c r="AD303" s="37"/>
      <c r="AE303" s="37"/>
      <c r="AF303" s="167"/>
    </row>
    <row r="304" spans="1:32" s="28" customFormat="1" x14ac:dyDescent="0.25">
      <c r="A304" s="35">
        <v>45949</v>
      </c>
      <c r="B304" s="36" t="s">
        <v>790</v>
      </c>
      <c r="C304" s="37" t="s">
        <v>32</v>
      </c>
      <c r="D304" s="37">
        <v>43</v>
      </c>
      <c r="E304" s="65">
        <v>0.21527777777777779</v>
      </c>
      <c r="F304" s="65">
        <v>0.21458333333333332</v>
      </c>
      <c r="G304" s="65">
        <v>0.28472222222222221</v>
      </c>
      <c r="H304" s="65">
        <v>0.28055555555555556</v>
      </c>
      <c r="I304" s="38">
        <f t="shared" si="9"/>
        <v>6.5972222222222238E-2</v>
      </c>
      <c r="J304" s="37">
        <v>0</v>
      </c>
      <c r="K304" s="37">
        <v>0</v>
      </c>
      <c r="L304" s="37" t="s">
        <v>33</v>
      </c>
      <c r="M304" s="37">
        <v>11</v>
      </c>
      <c r="N304" s="37">
        <v>0</v>
      </c>
      <c r="O304" s="37">
        <v>0</v>
      </c>
      <c r="P304" s="37">
        <v>0</v>
      </c>
      <c r="Q304" s="37">
        <v>0</v>
      </c>
      <c r="R304" s="65">
        <v>0.21875</v>
      </c>
      <c r="S304" s="65">
        <v>0.25416666666666665</v>
      </c>
      <c r="T304" s="65">
        <v>0.21875</v>
      </c>
      <c r="U304" s="65">
        <v>0.23680555555555555</v>
      </c>
      <c r="V304" s="65">
        <v>0.23680555555555555</v>
      </c>
      <c r="W304" s="65">
        <v>0.25416666666666665</v>
      </c>
      <c r="X304" s="65">
        <v>0.23055555555555557</v>
      </c>
      <c r="Y304" s="65">
        <v>0.26527777777777778</v>
      </c>
      <c r="Z304" s="37" t="s">
        <v>72</v>
      </c>
      <c r="AA304" s="37"/>
      <c r="AB304" s="37">
        <v>12</v>
      </c>
      <c r="AC304" s="37">
        <v>22</v>
      </c>
      <c r="AD304" s="37">
        <v>14</v>
      </c>
      <c r="AE304" s="37">
        <v>1</v>
      </c>
      <c r="AF304" s="167">
        <v>45949</v>
      </c>
    </row>
    <row r="305" spans="1:32" s="28" customFormat="1" x14ac:dyDescent="0.25">
      <c r="A305" s="35">
        <v>45950</v>
      </c>
      <c r="B305" s="36" t="s">
        <v>621</v>
      </c>
      <c r="C305" s="37" t="s">
        <v>46</v>
      </c>
      <c r="D305" s="37">
        <v>46</v>
      </c>
      <c r="E305" s="65">
        <v>0.1736111111111111</v>
      </c>
      <c r="F305" s="65">
        <v>0.16250000000000001</v>
      </c>
      <c r="G305" s="65">
        <v>0.22916666666666666</v>
      </c>
      <c r="H305" s="65">
        <v>0.21666666666666667</v>
      </c>
      <c r="I305" s="38">
        <f t="shared" si="9"/>
        <v>5.4166666666666669E-2</v>
      </c>
      <c r="J305" s="37">
        <v>0</v>
      </c>
      <c r="K305" s="37">
        <v>0</v>
      </c>
      <c r="L305" s="37" t="s">
        <v>33</v>
      </c>
      <c r="M305" s="37">
        <v>11</v>
      </c>
      <c r="N305" s="37">
        <v>0</v>
      </c>
      <c r="O305" s="37">
        <v>0</v>
      </c>
      <c r="P305" s="37">
        <v>0</v>
      </c>
      <c r="Q305" s="37">
        <v>0</v>
      </c>
      <c r="R305" s="65">
        <v>0.16388888888888889</v>
      </c>
      <c r="S305" s="65">
        <v>0.20833333333333334</v>
      </c>
      <c r="T305" s="65">
        <v>0.16527777777777777</v>
      </c>
      <c r="U305" s="65">
        <v>0.18611111111111112</v>
      </c>
      <c r="V305" s="65">
        <v>0.18055555555555555</v>
      </c>
      <c r="W305" s="65">
        <v>0.20833333333333334</v>
      </c>
      <c r="X305" s="37"/>
      <c r="Y305" s="65">
        <v>0.20902777777777778</v>
      </c>
      <c r="Z305" s="37" t="s">
        <v>105</v>
      </c>
      <c r="AA305" s="37"/>
      <c r="AB305" s="37">
        <v>18</v>
      </c>
      <c r="AC305" s="37">
        <v>17</v>
      </c>
      <c r="AD305" s="37">
        <v>0</v>
      </c>
      <c r="AE305" s="37">
        <v>12</v>
      </c>
      <c r="AF305" s="167">
        <v>45950</v>
      </c>
    </row>
    <row r="306" spans="1:32" s="28" customFormat="1" x14ac:dyDescent="0.25">
      <c r="A306" s="35">
        <v>45951</v>
      </c>
      <c r="B306" s="36" t="s">
        <v>621</v>
      </c>
      <c r="C306" s="37" t="s">
        <v>35</v>
      </c>
      <c r="D306" s="37">
        <v>45</v>
      </c>
      <c r="E306" s="65">
        <v>0.21527777777777779</v>
      </c>
      <c r="F306" s="65">
        <v>0.2076388888888889</v>
      </c>
      <c r="G306" s="65">
        <v>0.28472222222222221</v>
      </c>
      <c r="H306" s="65">
        <v>0.26944444444444443</v>
      </c>
      <c r="I306" s="38">
        <f t="shared" si="9"/>
        <v>6.180555555555553E-2</v>
      </c>
      <c r="J306" s="37">
        <v>0</v>
      </c>
      <c r="K306" s="37">
        <v>0</v>
      </c>
      <c r="L306" s="37" t="s">
        <v>33</v>
      </c>
      <c r="M306" s="37">
        <v>11</v>
      </c>
      <c r="N306" s="37">
        <v>0</v>
      </c>
      <c r="O306" s="37">
        <v>0</v>
      </c>
      <c r="P306" s="37">
        <v>0</v>
      </c>
      <c r="Q306" s="37">
        <v>0</v>
      </c>
      <c r="R306" s="65">
        <v>0.20902777777777778</v>
      </c>
      <c r="S306" s="65">
        <v>0.26319444444444445</v>
      </c>
      <c r="T306" s="65">
        <v>0.20972222222222223</v>
      </c>
      <c r="U306" s="65">
        <v>0.23541666666666666</v>
      </c>
      <c r="V306" s="65">
        <v>0.2361111111111111</v>
      </c>
      <c r="W306" s="65">
        <v>0.26319444444444445</v>
      </c>
      <c r="X306" s="65">
        <v>0.22708333333333333</v>
      </c>
      <c r="Y306" s="65">
        <v>0.27013888888888887</v>
      </c>
      <c r="Z306" s="37" t="s">
        <v>105</v>
      </c>
      <c r="AA306" s="37"/>
      <c r="AB306" s="37">
        <v>13</v>
      </c>
      <c r="AC306" s="37">
        <v>24</v>
      </c>
      <c r="AD306" s="37">
        <v>14</v>
      </c>
      <c r="AE306" s="37">
        <v>19</v>
      </c>
      <c r="AF306" s="167">
        <v>45951</v>
      </c>
    </row>
    <row r="307" spans="1:32" s="28" customFormat="1" x14ac:dyDescent="0.25">
      <c r="A307" s="35">
        <v>45952</v>
      </c>
      <c r="B307" s="36" t="s">
        <v>621</v>
      </c>
      <c r="C307" s="37" t="s">
        <v>38</v>
      </c>
      <c r="D307" s="37">
        <v>42</v>
      </c>
      <c r="E307" s="65">
        <v>0.21527777777777779</v>
      </c>
      <c r="F307" s="65">
        <v>0.20833333333333334</v>
      </c>
      <c r="G307" s="65">
        <v>0.28472222222222221</v>
      </c>
      <c r="H307" s="65">
        <v>0.27430555555555558</v>
      </c>
      <c r="I307" s="38">
        <f t="shared" si="9"/>
        <v>6.5972222222222238E-2</v>
      </c>
      <c r="J307" s="37">
        <v>0</v>
      </c>
      <c r="K307" s="37">
        <v>0</v>
      </c>
      <c r="L307" s="37" t="s">
        <v>33</v>
      </c>
      <c r="M307" s="37">
        <v>11</v>
      </c>
      <c r="N307" s="37">
        <v>0</v>
      </c>
      <c r="O307" s="37">
        <v>0</v>
      </c>
      <c r="P307" s="37">
        <v>0</v>
      </c>
      <c r="Q307" s="37">
        <v>0</v>
      </c>
      <c r="R307" s="65">
        <v>0.20972222222222223</v>
      </c>
      <c r="S307" s="65">
        <v>0.25555555555555554</v>
      </c>
      <c r="T307" s="65">
        <v>0.21458333333333332</v>
      </c>
      <c r="U307" s="65">
        <v>0.2361111111111111</v>
      </c>
      <c r="V307" s="65">
        <v>0.23749999999999999</v>
      </c>
      <c r="W307" s="65">
        <v>0.25555555555555554</v>
      </c>
      <c r="X307" s="65">
        <v>0.24305555555555555</v>
      </c>
      <c r="Y307" s="65">
        <v>0.27291666666666664</v>
      </c>
      <c r="Z307" s="37" t="s">
        <v>34</v>
      </c>
      <c r="AA307" s="37"/>
      <c r="AB307" s="37">
        <v>11</v>
      </c>
      <c r="AC307" s="37">
        <v>10</v>
      </c>
      <c r="AD307" s="37">
        <v>20</v>
      </c>
      <c r="AE307" s="37">
        <v>9</v>
      </c>
      <c r="AF307" s="167">
        <v>45952</v>
      </c>
    </row>
    <row r="308" spans="1:32" s="28" customFormat="1" x14ac:dyDescent="0.25">
      <c r="A308" s="35">
        <v>45953</v>
      </c>
      <c r="B308" s="36" t="s">
        <v>621</v>
      </c>
      <c r="C308" s="37" t="s">
        <v>32</v>
      </c>
      <c r="D308" s="37">
        <v>45</v>
      </c>
      <c r="E308" s="65">
        <v>0.21527777777777779</v>
      </c>
      <c r="F308" s="65">
        <v>0.21249999999999999</v>
      </c>
      <c r="G308" s="65">
        <v>0.28472222222222221</v>
      </c>
      <c r="H308" s="65">
        <v>0.26666666666666666</v>
      </c>
      <c r="I308" s="38">
        <f t="shared" si="9"/>
        <v>5.4166666666666669E-2</v>
      </c>
      <c r="J308" s="37">
        <v>0</v>
      </c>
      <c r="K308" s="37">
        <v>0</v>
      </c>
      <c r="L308" s="37" t="s">
        <v>33</v>
      </c>
      <c r="M308" s="37">
        <v>11</v>
      </c>
      <c r="N308" s="37">
        <v>0</v>
      </c>
      <c r="O308" s="37">
        <v>0</v>
      </c>
      <c r="P308" s="37">
        <v>0</v>
      </c>
      <c r="Q308" s="37">
        <v>0</v>
      </c>
      <c r="R308" s="65">
        <v>0.21319444444444444</v>
      </c>
      <c r="S308" s="65">
        <v>0.25486111111111109</v>
      </c>
      <c r="T308" s="65">
        <v>0.21666666666666667</v>
      </c>
      <c r="U308" s="65">
        <v>0.23333333333333334</v>
      </c>
      <c r="V308" s="65">
        <v>0.23541666666666666</v>
      </c>
      <c r="W308" s="65">
        <v>0.25486111111111109</v>
      </c>
      <c r="X308" s="65">
        <v>0.22847222222222222</v>
      </c>
      <c r="Y308" s="65">
        <v>0.2638888888888889</v>
      </c>
      <c r="Z308" s="37" t="s">
        <v>34</v>
      </c>
      <c r="AA308" s="37"/>
      <c r="AB308" s="37">
        <v>18</v>
      </c>
      <c r="AC308" s="37">
        <v>11</v>
      </c>
      <c r="AD308" s="37">
        <v>18</v>
      </c>
      <c r="AE308" s="37">
        <v>4</v>
      </c>
      <c r="AF308" s="167">
        <v>45953</v>
      </c>
    </row>
    <row r="309" spans="1:32" s="28" customFormat="1" x14ac:dyDescent="0.25">
      <c r="A309" s="35">
        <v>45954</v>
      </c>
      <c r="B309" s="36" t="s">
        <v>621</v>
      </c>
      <c r="C309" s="37" t="s">
        <v>46</v>
      </c>
      <c r="D309" s="37">
        <v>42</v>
      </c>
      <c r="E309" s="65">
        <v>0.21527777777777779</v>
      </c>
      <c r="F309" s="65">
        <v>0.24305555555555555</v>
      </c>
      <c r="G309" s="65">
        <v>0.28472222222222221</v>
      </c>
      <c r="H309" s="65">
        <v>0.29305555555555557</v>
      </c>
      <c r="I309" s="38">
        <f t="shared" si="9"/>
        <v>5.0000000000000017E-2</v>
      </c>
      <c r="J309" s="37">
        <v>12</v>
      </c>
      <c r="K309" s="37" t="s">
        <v>50</v>
      </c>
      <c r="L309" s="37" t="s">
        <v>750</v>
      </c>
      <c r="M309" s="37">
        <v>11</v>
      </c>
      <c r="N309" s="37">
        <v>0</v>
      </c>
      <c r="O309" s="37">
        <v>0</v>
      </c>
      <c r="P309" s="37">
        <v>0</v>
      </c>
      <c r="Q309" s="37">
        <v>0</v>
      </c>
      <c r="R309" s="65">
        <v>0.24444444444444444</v>
      </c>
      <c r="S309" s="65">
        <v>0.27986111111111112</v>
      </c>
      <c r="T309" s="65">
        <v>0.24652777777777779</v>
      </c>
      <c r="U309" s="65">
        <v>0.26597222222222222</v>
      </c>
      <c r="V309" s="65">
        <v>0.26666666666666666</v>
      </c>
      <c r="W309" s="65">
        <v>0.27986111111111112</v>
      </c>
      <c r="X309" s="65">
        <v>0.25624999999999998</v>
      </c>
      <c r="Y309" s="65">
        <v>0.29166666666666669</v>
      </c>
      <c r="Z309" s="37" t="s">
        <v>72</v>
      </c>
      <c r="AA309" s="37"/>
      <c r="AB309" s="37">
        <v>4</v>
      </c>
      <c r="AC309" s="37">
        <v>15</v>
      </c>
      <c r="AD309" s="37">
        <v>23</v>
      </c>
      <c r="AE309" s="37">
        <v>4</v>
      </c>
      <c r="AF309" s="167">
        <v>45954</v>
      </c>
    </row>
    <row r="310" spans="1:32" s="28" customFormat="1" x14ac:dyDescent="0.25">
      <c r="A310" s="35">
        <v>45955</v>
      </c>
      <c r="B310" s="36" t="s">
        <v>621</v>
      </c>
      <c r="C310" s="37" t="s">
        <v>32</v>
      </c>
      <c r="D310" s="37">
        <v>44</v>
      </c>
      <c r="E310" s="65">
        <v>0.25694444444444442</v>
      </c>
      <c r="F310" s="65">
        <v>0.23749999999999999</v>
      </c>
      <c r="G310" s="65">
        <v>0.31944444444444442</v>
      </c>
      <c r="H310" s="65">
        <v>0.2951388888888889</v>
      </c>
      <c r="I310" s="38">
        <f t="shared" si="9"/>
        <v>5.7638888888888906E-2</v>
      </c>
      <c r="J310" s="37">
        <v>0</v>
      </c>
      <c r="K310" s="37">
        <v>0</v>
      </c>
      <c r="L310" s="37" t="s">
        <v>33</v>
      </c>
      <c r="M310" s="37">
        <v>11</v>
      </c>
      <c r="N310" s="37">
        <v>0</v>
      </c>
      <c r="O310" s="37">
        <v>0</v>
      </c>
      <c r="P310" s="37">
        <v>0</v>
      </c>
      <c r="Q310" s="37">
        <v>0</v>
      </c>
      <c r="R310" s="65">
        <v>0.23958333333333334</v>
      </c>
      <c r="S310" s="65">
        <v>0.28125</v>
      </c>
      <c r="T310" s="65">
        <v>0.24236111111111111</v>
      </c>
      <c r="U310" s="65">
        <v>0.26527777777777778</v>
      </c>
      <c r="V310" s="65">
        <v>0.26527777777777778</v>
      </c>
      <c r="W310" s="65">
        <v>0.28125</v>
      </c>
      <c r="X310" s="65">
        <v>0.25208333333333333</v>
      </c>
      <c r="Y310" s="65">
        <v>0.29375000000000001</v>
      </c>
      <c r="Z310" s="37" t="s">
        <v>72</v>
      </c>
      <c r="AA310" s="37"/>
      <c r="AB310" s="37">
        <v>10</v>
      </c>
      <c r="AC310" s="37">
        <v>14</v>
      </c>
      <c r="AD310" s="37">
        <v>16</v>
      </c>
      <c r="AE310" s="37">
        <v>3</v>
      </c>
      <c r="AF310" s="167">
        <v>45955</v>
      </c>
    </row>
    <row r="311" spans="1:32" s="28" customFormat="1" x14ac:dyDescent="0.25">
      <c r="A311" s="35">
        <v>45955</v>
      </c>
      <c r="B311" s="36" t="s">
        <v>36</v>
      </c>
      <c r="C311" s="37" t="s">
        <v>795</v>
      </c>
      <c r="D311" s="37">
        <v>42</v>
      </c>
      <c r="E311" s="65">
        <v>0.46527777777777779</v>
      </c>
      <c r="F311" s="65">
        <v>0.45624999999999999</v>
      </c>
      <c r="G311" s="65">
        <v>0.54861111111111116</v>
      </c>
      <c r="H311" s="65">
        <v>0.53888888888888886</v>
      </c>
      <c r="I311" s="38">
        <f t="shared" ref="I311" si="10">H311-F311</f>
        <v>8.2638888888888873E-2</v>
      </c>
      <c r="J311" s="65">
        <v>0</v>
      </c>
      <c r="K311" s="37">
        <v>0</v>
      </c>
      <c r="L311" s="37">
        <v>0</v>
      </c>
      <c r="M311" s="37"/>
      <c r="N311" s="37"/>
      <c r="O311" s="37"/>
      <c r="P311" s="37"/>
      <c r="Q311" s="37"/>
      <c r="R311" s="65"/>
      <c r="S311" s="65"/>
      <c r="T311" s="65"/>
      <c r="U311" s="65"/>
      <c r="V311" s="65"/>
      <c r="W311" s="65"/>
      <c r="X311" s="65"/>
      <c r="Y311" s="65"/>
      <c r="Z311" s="37"/>
      <c r="AA311" s="37"/>
      <c r="AB311" s="37"/>
      <c r="AC311" s="37"/>
      <c r="AD311" s="37"/>
      <c r="AE311" s="37"/>
      <c r="AF311" s="167"/>
    </row>
    <row r="312" spans="1:32" s="28" customFormat="1" x14ac:dyDescent="0.25">
      <c r="A312" s="35">
        <v>45956</v>
      </c>
      <c r="B312" s="36" t="s">
        <v>790</v>
      </c>
      <c r="C312" s="37" t="s">
        <v>39</v>
      </c>
      <c r="D312" s="37">
        <v>44</v>
      </c>
      <c r="E312" s="65">
        <v>0.21527777777777779</v>
      </c>
      <c r="F312" s="65">
        <v>0.24097222222222223</v>
      </c>
      <c r="G312" s="65">
        <v>0.28472222222222221</v>
      </c>
      <c r="H312" s="65">
        <v>0.28402777777777777</v>
      </c>
      <c r="I312" s="38">
        <v>0</v>
      </c>
      <c r="J312" s="37">
        <v>0</v>
      </c>
      <c r="K312" s="37">
        <v>0</v>
      </c>
      <c r="L312" s="37" t="s">
        <v>33</v>
      </c>
      <c r="M312" s="37">
        <v>11</v>
      </c>
      <c r="N312" s="37">
        <v>0</v>
      </c>
      <c r="O312" s="37">
        <v>0</v>
      </c>
      <c r="P312" s="37">
        <v>0</v>
      </c>
      <c r="Q312" s="37">
        <v>0</v>
      </c>
      <c r="R312" s="65">
        <v>0.24374999999999999</v>
      </c>
      <c r="S312" s="65">
        <v>0.27777777777777779</v>
      </c>
      <c r="T312" s="65">
        <v>0.24374999999999999</v>
      </c>
      <c r="U312" s="65">
        <v>0.2638888888888889</v>
      </c>
      <c r="V312" s="65">
        <v>0.26458333333333334</v>
      </c>
      <c r="W312" s="65">
        <v>0.27777777777777779</v>
      </c>
      <c r="X312" s="65">
        <v>0.26597222222222222</v>
      </c>
      <c r="Y312" s="65">
        <v>0.28402777777777777</v>
      </c>
      <c r="Z312" s="37" t="s">
        <v>72</v>
      </c>
      <c r="AA312" s="37"/>
      <c r="AB312" s="37">
        <v>14</v>
      </c>
      <c r="AC312" s="37">
        <v>10</v>
      </c>
      <c r="AD312" s="37">
        <v>8</v>
      </c>
      <c r="AE312" s="37">
        <v>8</v>
      </c>
      <c r="AF312" s="167">
        <v>45956</v>
      </c>
    </row>
    <row r="313" spans="1:32" s="28" customFormat="1" x14ac:dyDescent="0.25">
      <c r="A313" s="35">
        <v>45957</v>
      </c>
      <c r="B313" s="36" t="s">
        <v>621</v>
      </c>
      <c r="C313" s="37" t="s">
        <v>38</v>
      </c>
      <c r="D313" s="37">
        <v>45</v>
      </c>
      <c r="E313" s="65">
        <v>0.16666666666666666</v>
      </c>
      <c r="F313" s="65">
        <v>0.17083333333333334</v>
      </c>
      <c r="G313" s="65">
        <v>0.22916666666666666</v>
      </c>
      <c r="H313" s="65">
        <v>0.22500000000000001</v>
      </c>
      <c r="I313" s="38">
        <f t="shared" si="9"/>
        <v>5.4166666666666669E-2</v>
      </c>
      <c r="J313" s="37">
        <v>0</v>
      </c>
      <c r="K313" s="37">
        <v>0</v>
      </c>
      <c r="L313" s="37" t="s">
        <v>33</v>
      </c>
      <c r="M313" s="37">
        <v>11</v>
      </c>
      <c r="N313" s="37">
        <v>0</v>
      </c>
      <c r="O313" s="37">
        <v>0</v>
      </c>
      <c r="P313" s="37">
        <v>0</v>
      </c>
      <c r="Q313" s="37">
        <v>0</v>
      </c>
      <c r="R313" s="65">
        <v>0.17430555555555555</v>
      </c>
      <c r="S313" s="65">
        <v>0.22152777777777777</v>
      </c>
      <c r="T313" s="65">
        <v>0.17708333333333334</v>
      </c>
      <c r="U313" s="65">
        <v>0.20069444444444445</v>
      </c>
      <c r="V313" s="65">
        <v>0.2013888888888889</v>
      </c>
      <c r="W313" s="65">
        <v>0.22083333333333333</v>
      </c>
      <c r="X313" s="37"/>
      <c r="Y313" s="65">
        <v>0.22291666666666668</v>
      </c>
      <c r="Z313" s="37" t="s">
        <v>90</v>
      </c>
      <c r="AA313" s="37"/>
      <c r="AB313" s="37">
        <v>5</v>
      </c>
      <c r="AC313" s="37">
        <v>17</v>
      </c>
      <c r="AD313" s="37">
        <v>7</v>
      </c>
      <c r="AE313" s="37">
        <v>13</v>
      </c>
      <c r="AF313" s="167">
        <v>45957</v>
      </c>
    </row>
    <row r="314" spans="1:32" s="28" customFormat="1" x14ac:dyDescent="0.25">
      <c r="A314" s="35">
        <v>45958</v>
      </c>
      <c r="B314" s="36" t="s">
        <v>621</v>
      </c>
      <c r="C314" s="37" t="s">
        <v>35</v>
      </c>
      <c r="D314" s="37">
        <v>44</v>
      </c>
      <c r="E314" s="65">
        <v>0.21527777777777779</v>
      </c>
      <c r="F314" s="65">
        <v>0.35486111111111113</v>
      </c>
      <c r="G314" s="65">
        <v>0.28472222222222221</v>
      </c>
      <c r="H314" s="65">
        <v>0.40972222222222221</v>
      </c>
      <c r="I314" s="38">
        <f t="shared" si="9"/>
        <v>5.4861111111111083E-2</v>
      </c>
      <c r="J314" s="37">
        <v>0</v>
      </c>
      <c r="K314" s="37">
        <v>0</v>
      </c>
      <c r="L314" s="37" t="s">
        <v>750</v>
      </c>
      <c r="M314" s="37">
        <v>11</v>
      </c>
      <c r="N314" s="37">
        <v>0</v>
      </c>
      <c r="O314" s="37">
        <v>0</v>
      </c>
      <c r="P314" s="37">
        <v>0</v>
      </c>
      <c r="Q314" s="37">
        <v>0</v>
      </c>
      <c r="R314" s="65">
        <v>0.35625000000000001</v>
      </c>
      <c r="S314" s="65">
        <v>0.39583333333333331</v>
      </c>
      <c r="T314" s="65">
        <v>0.35625000000000001</v>
      </c>
      <c r="U314" s="65">
        <v>0.375</v>
      </c>
      <c r="V314" s="65">
        <v>0.375</v>
      </c>
      <c r="W314" s="65">
        <v>0.39583333333333331</v>
      </c>
      <c r="X314" s="65">
        <v>0.37152777777777779</v>
      </c>
      <c r="Y314" s="65">
        <v>0.40486111111111112</v>
      </c>
      <c r="Z314" s="37" t="s">
        <v>796</v>
      </c>
      <c r="AA314" s="37"/>
      <c r="AB314" s="37">
        <v>16</v>
      </c>
      <c r="AC314" s="37">
        <v>6</v>
      </c>
      <c r="AD314" s="37">
        <v>12</v>
      </c>
      <c r="AE314" s="37">
        <v>8</v>
      </c>
      <c r="AF314" s="167">
        <v>45958</v>
      </c>
    </row>
    <row r="315" spans="1:32" s="28" customFormat="1" x14ac:dyDescent="0.25">
      <c r="A315" s="35">
        <v>45959</v>
      </c>
      <c r="B315" s="36" t="s">
        <v>621</v>
      </c>
      <c r="C315" s="37" t="s">
        <v>48</v>
      </c>
      <c r="D315" s="37">
        <v>43</v>
      </c>
      <c r="E315" s="65">
        <v>0.21527777777777779</v>
      </c>
      <c r="F315" s="65">
        <v>0.28263888888888888</v>
      </c>
      <c r="G315" s="65">
        <v>0.28472222222222221</v>
      </c>
      <c r="H315" s="65">
        <v>0.33124999999999999</v>
      </c>
      <c r="I315" s="38">
        <f t="shared" si="9"/>
        <v>4.8611111111111105E-2</v>
      </c>
      <c r="J315" s="65">
        <v>4.6527777777777779E-2</v>
      </c>
      <c r="K315" s="37" t="s">
        <v>82</v>
      </c>
      <c r="L315" s="37" t="s">
        <v>797</v>
      </c>
      <c r="M315" s="37">
        <v>11</v>
      </c>
      <c r="N315" s="37">
        <v>0</v>
      </c>
      <c r="O315" s="37">
        <v>0</v>
      </c>
      <c r="P315" s="37">
        <v>0</v>
      </c>
      <c r="Q315" s="37">
        <v>0</v>
      </c>
      <c r="R315" s="65">
        <v>0.28402777777777777</v>
      </c>
      <c r="S315" s="65">
        <v>0.32361111111111113</v>
      </c>
      <c r="T315" s="65">
        <v>0.28402777777777777</v>
      </c>
      <c r="U315" s="65">
        <v>0.30138888888888887</v>
      </c>
      <c r="V315" s="65">
        <v>0.30208333333333331</v>
      </c>
      <c r="W315" s="65">
        <v>0.32361111111111113</v>
      </c>
      <c r="X315" s="65">
        <v>0.29722222222222222</v>
      </c>
      <c r="Y315" s="65">
        <v>0.32916666666666666</v>
      </c>
      <c r="Z315" s="37" t="s">
        <v>34</v>
      </c>
      <c r="AA315" s="37"/>
      <c r="AB315" s="37">
        <v>16</v>
      </c>
      <c r="AC315" s="37">
        <v>11</v>
      </c>
      <c r="AD315" s="37">
        <v>6</v>
      </c>
      <c r="AE315" s="37">
        <v>12</v>
      </c>
      <c r="AF315" s="167">
        <v>45959</v>
      </c>
    </row>
    <row r="316" spans="1:32" s="28" customFormat="1" x14ac:dyDescent="0.25">
      <c r="A316" s="35">
        <v>45960</v>
      </c>
      <c r="B316" s="36" t="s">
        <v>621</v>
      </c>
      <c r="C316" s="37" t="s">
        <v>39</v>
      </c>
      <c r="D316" s="37">
        <v>44</v>
      </c>
      <c r="E316" s="65">
        <v>0.21527777777777779</v>
      </c>
      <c r="F316" s="65">
        <v>0.37777777777777777</v>
      </c>
      <c r="G316" s="65">
        <v>0.28472222222222221</v>
      </c>
      <c r="H316" s="65">
        <v>0.42222222222222222</v>
      </c>
      <c r="I316" s="38">
        <f t="shared" si="9"/>
        <v>4.4444444444444453E-2</v>
      </c>
      <c r="J316" s="65">
        <v>0.13750000000000001</v>
      </c>
      <c r="K316" s="37" t="s">
        <v>782</v>
      </c>
      <c r="L316" s="65" t="s">
        <v>798</v>
      </c>
      <c r="M316" s="37">
        <v>11</v>
      </c>
      <c r="N316" s="37">
        <v>0</v>
      </c>
      <c r="O316" s="37">
        <v>0</v>
      </c>
      <c r="P316" s="37">
        <v>0</v>
      </c>
      <c r="Q316" s="37">
        <v>0</v>
      </c>
      <c r="R316" s="65">
        <v>0.38333333333333336</v>
      </c>
      <c r="S316" s="65">
        <v>0.41666666666666669</v>
      </c>
      <c r="T316" s="65">
        <v>0.38333333333333336</v>
      </c>
      <c r="U316" s="65">
        <v>0.39166666666666666</v>
      </c>
      <c r="V316" s="65">
        <v>0.3923611111111111</v>
      </c>
      <c r="W316" s="65">
        <v>0.41666666666666669</v>
      </c>
      <c r="X316" s="65">
        <v>0.39305555555555555</v>
      </c>
      <c r="Y316" s="65">
        <v>0.42222222222222222</v>
      </c>
      <c r="Z316" s="37" t="s">
        <v>40</v>
      </c>
      <c r="AA316" s="37"/>
      <c r="AB316" s="37">
        <v>10</v>
      </c>
      <c r="AC316" s="37">
        <v>8</v>
      </c>
      <c r="AD316" s="37">
        <v>16</v>
      </c>
      <c r="AE316" s="37">
        <v>8</v>
      </c>
      <c r="AF316" s="167">
        <v>45960</v>
      </c>
    </row>
    <row r="317" spans="1:32" s="28" customFormat="1" x14ac:dyDescent="0.25">
      <c r="A317" s="35">
        <v>45961</v>
      </c>
      <c r="B317" s="36" t="s">
        <v>621</v>
      </c>
      <c r="C317" s="37" t="s">
        <v>38</v>
      </c>
      <c r="D317" s="37">
        <v>44</v>
      </c>
      <c r="E317" s="65">
        <v>0.21527777777777779</v>
      </c>
      <c r="F317" s="65">
        <v>0.21180555555555555</v>
      </c>
      <c r="G317" s="65">
        <v>0.28472222222222221</v>
      </c>
      <c r="H317" s="65">
        <v>0.2638888888888889</v>
      </c>
      <c r="I317" s="38">
        <f t="shared" si="9"/>
        <v>5.2083333333333343E-2</v>
      </c>
      <c r="J317" s="37">
        <v>0</v>
      </c>
      <c r="K317" s="37">
        <v>0</v>
      </c>
      <c r="L317" s="37" t="s">
        <v>33</v>
      </c>
      <c r="M317" s="37">
        <v>11</v>
      </c>
      <c r="N317" s="37">
        <v>0</v>
      </c>
      <c r="O317" s="37">
        <v>0</v>
      </c>
      <c r="P317" s="37">
        <v>0</v>
      </c>
      <c r="Q317" s="37">
        <v>0</v>
      </c>
      <c r="R317" s="65">
        <v>0.21249999999999999</v>
      </c>
      <c r="S317" s="65">
        <v>0.24861111111111112</v>
      </c>
      <c r="T317" s="65">
        <v>0.21388888888888888</v>
      </c>
      <c r="U317" s="65">
        <v>0.2298611111111111</v>
      </c>
      <c r="V317" s="65">
        <v>0.21875</v>
      </c>
      <c r="W317" s="65">
        <v>0.24861111111111112</v>
      </c>
      <c r="X317" s="65">
        <v>0.22777777777777777</v>
      </c>
      <c r="Y317" s="65">
        <v>0.21180555555555555</v>
      </c>
      <c r="Z317" s="37" t="s">
        <v>72</v>
      </c>
      <c r="AA317" s="37"/>
      <c r="AB317" s="37">
        <v>30</v>
      </c>
      <c r="AC317" s="37">
        <v>0</v>
      </c>
      <c r="AD317" s="37">
        <v>5</v>
      </c>
      <c r="AE317" s="37">
        <v>14</v>
      </c>
      <c r="AF317" s="167">
        <v>45961</v>
      </c>
    </row>
    <row r="318" spans="1:32" s="28" customFormat="1" x14ac:dyDescent="0.25">
      <c r="A318" s="35">
        <v>45962</v>
      </c>
      <c r="B318" s="36" t="s">
        <v>621</v>
      </c>
      <c r="C318" s="37" t="s">
        <v>39</v>
      </c>
      <c r="D318" s="37">
        <v>45</v>
      </c>
      <c r="E318" s="65">
        <v>0.25694444444444442</v>
      </c>
      <c r="F318" s="65">
        <v>0.25069444444444444</v>
      </c>
      <c r="G318" s="65">
        <v>0.3263888888888889</v>
      </c>
      <c r="H318" s="65">
        <v>0.30833333333333335</v>
      </c>
      <c r="I318" s="38">
        <f t="shared" si="9"/>
        <v>5.7638888888888906E-2</v>
      </c>
      <c r="J318" s="37">
        <v>0</v>
      </c>
      <c r="K318" s="37">
        <v>0</v>
      </c>
      <c r="L318" s="37" t="s">
        <v>33</v>
      </c>
      <c r="M318" s="37">
        <v>11</v>
      </c>
      <c r="N318" s="37">
        <v>0</v>
      </c>
      <c r="O318" s="37">
        <v>0</v>
      </c>
      <c r="P318" s="37">
        <v>0</v>
      </c>
      <c r="Q318" s="37">
        <v>0</v>
      </c>
      <c r="R318" s="65">
        <v>0.25208333333333333</v>
      </c>
      <c r="S318" s="65">
        <v>0.30069444444444443</v>
      </c>
      <c r="T318" s="65">
        <v>0.25277777777777777</v>
      </c>
      <c r="U318" s="65">
        <v>0.27986111111111112</v>
      </c>
      <c r="V318" s="65">
        <v>0.28055555555555556</v>
      </c>
      <c r="W318" s="65">
        <v>0.2986111111111111</v>
      </c>
      <c r="X318" s="65">
        <v>0.2722222222222222</v>
      </c>
      <c r="Y318" s="65">
        <v>0.30486111111111114</v>
      </c>
      <c r="Z318" s="37" t="s">
        <v>90</v>
      </c>
      <c r="AA318" s="37"/>
      <c r="AB318" s="37">
        <v>14</v>
      </c>
      <c r="AC318" s="37">
        <v>12</v>
      </c>
      <c r="AD318" s="37">
        <v>12</v>
      </c>
      <c r="AE318" s="37">
        <v>12</v>
      </c>
      <c r="AF318" s="167">
        <v>45962</v>
      </c>
    </row>
    <row r="319" spans="1:32" s="28" customFormat="1" x14ac:dyDescent="0.25">
      <c r="A319" s="35">
        <v>45962</v>
      </c>
      <c r="B319" s="36" t="s">
        <v>36</v>
      </c>
      <c r="C319" s="37" t="s">
        <v>102</v>
      </c>
      <c r="D319" s="37">
        <v>42</v>
      </c>
      <c r="E319" s="65">
        <v>0.46527777777777779</v>
      </c>
      <c r="F319" s="65">
        <v>0.42777777777777776</v>
      </c>
      <c r="G319" s="65">
        <v>0.54861111111111116</v>
      </c>
      <c r="H319" s="65">
        <v>1.0743055555555556</v>
      </c>
      <c r="I319" s="38">
        <f t="shared" si="9"/>
        <v>0.64652777777777781</v>
      </c>
      <c r="J319" s="39" t="s">
        <v>799</v>
      </c>
      <c r="K319" s="36" t="s">
        <v>800</v>
      </c>
      <c r="L319" s="37" t="s">
        <v>801</v>
      </c>
      <c r="M319" s="37"/>
      <c r="N319" s="37"/>
      <c r="O319" s="37"/>
      <c r="P319" s="37"/>
      <c r="Q319" s="37"/>
      <c r="R319" s="65"/>
      <c r="S319" s="65"/>
      <c r="T319" s="65"/>
      <c r="U319" s="65"/>
      <c r="V319" s="65"/>
      <c r="W319" s="65"/>
      <c r="X319" s="65"/>
      <c r="Y319" s="65"/>
      <c r="Z319" s="37"/>
      <c r="AA319" s="37"/>
      <c r="AB319" s="37"/>
      <c r="AC319" s="37"/>
      <c r="AD319" s="37"/>
      <c r="AE319" s="37"/>
      <c r="AF319" s="167"/>
    </row>
    <row r="320" spans="1:32" s="28" customFormat="1" x14ac:dyDescent="0.25">
      <c r="A320" s="35">
        <v>45963</v>
      </c>
      <c r="B320" s="36" t="s">
        <v>790</v>
      </c>
      <c r="C320" s="37" t="s">
        <v>35</v>
      </c>
      <c r="D320" s="37">
        <v>43</v>
      </c>
      <c r="E320" s="65">
        <v>0.21527777777777779</v>
      </c>
      <c r="F320" s="65">
        <v>0.21249999999999999</v>
      </c>
      <c r="G320" s="65">
        <v>0.28472222222222221</v>
      </c>
      <c r="H320" s="65">
        <v>0.27361111111111114</v>
      </c>
      <c r="I320" s="38">
        <f t="shared" si="9"/>
        <v>6.1111111111111144E-2</v>
      </c>
      <c r="J320" s="37">
        <v>0</v>
      </c>
      <c r="K320" s="37">
        <v>0</v>
      </c>
      <c r="L320" s="37" t="s">
        <v>33</v>
      </c>
      <c r="M320" s="37">
        <v>11</v>
      </c>
      <c r="N320" s="37">
        <v>0</v>
      </c>
      <c r="O320" s="37">
        <v>0</v>
      </c>
      <c r="P320" s="37">
        <v>0</v>
      </c>
      <c r="Q320" s="37">
        <v>0</v>
      </c>
      <c r="R320" s="65">
        <v>0.21388888888888888</v>
      </c>
      <c r="S320" s="65">
        <v>0.26874999999999999</v>
      </c>
      <c r="T320" s="65">
        <v>0.21458333333333332</v>
      </c>
      <c r="U320" s="65">
        <v>0.23125000000000001</v>
      </c>
      <c r="V320" s="65">
        <v>0.23194444444444445</v>
      </c>
      <c r="W320" s="65">
        <v>0.26041666666666669</v>
      </c>
      <c r="X320" s="65">
        <v>0.24236111111111111</v>
      </c>
      <c r="Y320" s="65">
        <v>0.27013888888888887</v>
      </c>
      <c r="Z320" s="37" t="s">
        <v>90</v>
      </c>
      <c r="AA320" s="37"/>
      <c r="AB320" s="37">
        <v>13</v>
      </c>
      <c r="AC320" s="37">
        <v>15</v>
      </c>
      <c r="AD320" s="37">
        <v>14</v>
      </c>
      <c r="AE320" s="37">
        <v>16</v>
      </c>
      <c r="AF320" s="167">
        <v>45963</v>
      </c>
    </row>
    <row r="321" spans="1:32" s="28" customFormat="1" x14ac:dyDescent="0.25">
      <c r="A321" s="35">
        <v>45964</v>
      </c>
      <c r="B321" s="36" t="s">
        <v>621</v>
      </c>
      <c r="C321" s="37" t="s">
        <v>38</v>
      </c>
      <c r="D321" s="37">
        <v>44</v>
      </c>
      <c r="E321" s="65">
        <v>0.16666666666666666</v>
      </c>
      <c r="F321" s="65">
        <v>0.16666666666666666</v>
      </c>
      <c r="G321" s="65">
        <v>0.24305555555555555</v>
      </c>
      <c r="H321" s="65">
        <v>0.23819444444444443</v>
      </c>
      <c r="I321" s="38">
        <f t="shared" si="9"/>
        <v>7.1527777777777773E-2</v>
      </c>
      <c r="J321" s="37">
        <v>0</v>
      </c>
      <c r="K321" s="37">
        <v>0</v>
      </c>
      <c r="L321" s="37" t="s">
        <v>33</v>
      </c>
      <c r="M321" s="37">
        <v>11</v>
      </c>
      <c r="N321" s="37">
        <v>0</v>
      </c>
      <c r="O321" s="37">
        <v>0</v>
      </c>
      <c r="P321" s="37">
        <v>0</v>
      </c>
      <c r="Q321" s="37">
        <v>0</v>
      </c>
      <c r="R321" s="65">
        <v>0.16875000000000001</v>
      </c>
      <c r="S321" s="65">
        <v>0.22638888888888889</v>
      </c>
      <c r="T321" s="65">
        <v>0.1701388888888889</v>
      </c>
      <c r="U321" s="65">
        <v>0.1875</v>
      </c>
      <c r="V321" s="65">
        <v>0.1736111111111111</v>
      </c>
      <c r="W321" s="65">
        <v>0.22638888888888889</v>
      </c>
      <c r="X321" s="65">
        <v>0.23749999999999999</v>
      </c>
      <c r="Y321" s="65">
        <v>0.23680555555555555</v>
      </c>
      <c r="Z321" s="37" t="s">
        <v>90</v>
      </c>
      <c r="AA321" s="37"/>
      <c r="AB321" s="37">
        <v>10</v>
      </c>
      <c r="AC321" s="37">
        <v>14</v>
      </c>
      <c r="AD321" s="37">
        <v>6</v>
      </c>
      <c r="AE321" s="37">
        <v>15</v>
      </c>
      <c r="AF321" s="167">
        <v>45964</v>
      </c>
    </row>
    <row r="322" spans="1:32" s="28" customFormat="1" x14ac:dyDescent="0.25">
      <c r="A322" s="35">
        <v>45965</v>
      </c>
      <c r="B322" s="36" t="s">
        <v>621</v>
      </c>
      <c r="C322" s="37" t="s">
        <v>39</v>
      </c>
      <c r="D322" s="37">
        <v>43</v>
      </c>
      <c r="E322" s="65">
        <v>0.21527777777777779</v>
      </c>
      <c r="F322" s="65">
        <v>0.39930555555555558</v>
      </c>
      <c r="G322" s="65">
        <v>0.28472222222222221</v>
      </c>
      <c r="H322" s="65">
        <v>0.4513888888888889</v>
      </c>
      <c r="I322" s="38">
        <f t="shared" si="9"/>
        <v>5.2083333333333315E-2</v>
      </c>
      <c r="J322" s="65">
        <v>0.15277777777777779</v>
      </c>
      <c r="K322" s="36" t="s">
        <v>50</v>
      </c>
      <c r="L322" s="37" t="s">
        <v>750</v>
      </c>
      <c r="M322" s="37">
        <v>11</v>
      </c>
      <c r="N322" s="65">
        <v>0.40069444444444446</v>
      </c>
      <c r="O322" s="65">
        <v>0.45069444444444445</v>
      </c>
      <c r="P322" s="65">
        <v>0.44861111111111113</v>
      </c>
      <c r="Q322" s="65">
        <v>0.4513888888888889</v>
      </c>
      <c r="R322" s="65">
        <v>0.40069444444444446</v>
      </c>
      <c r="S322" s="65">
        <v>0.44791666666666669</v>
      </c>
      <c r="T322" s="65">
        <v>0.40347222222222223</v>
      </c>
      <c r="U322" s="65">
        <v>0.4201388888888889</v>
      </c>
      <c r="V322" s="65">
        <v>0.42083333333333334</v>
      </c>
      <c r="W322" s="65">
        <v>0.4465277777777778</v>
      </c>
      <c r="X322" s="65">
        <v>0.40902777777777777</v>
      </c>
      <c r="Y322" s="65">
        <v>0.44930555555555557</v>
      </c>
      <c r="Z322" s="37" t="s">
        <v>34</v>
      </c>
      <c r="AA322" s="37"/>
      <c r="AB322" s="37">
        <v>16</v>
      </c>
      <c r="AC322" s="37">
        <v>8</v>
      </c>
      <c r="AD322" s="37">
        <v>18</v>
      </c>
      <c r="AE322" s="37">
        <v>6</v>
      </c>
      <c r="AF322" s="167">
        <v>45965</v>
      </c>
    </row>
    <row r="323" spans="1:32" s="28" customFormat="1" x14ac:dyDescent="0.25">
      <c r="A323" s="35">
        <v>45966</v>
      </c>
      <c r="B323" s="36" t="s">
        <v>621</v>
      </c>
      <c r="C323" s="37" t="s">
        <v>35</v>
      </c>
      <c r="D323" s="37">
        <v>44</v>
      </c>
      <c r="E323" s="65">
        <v>0.21527777777777779</v>
      </c>
      <c r="F323" s="65">
        <v>0.22777777777777777</v>
      </c>
      <c r="G323" s="65">
        <v>0.28472222222222221</v>
      </c>
      <c r="H323" s="65">
        <v>0.2902777777777778</v>
      </c>
      <c r="I323" s="38">
        <f t="shared" si="9"/>
        <v>6.2500000000000028E-2</v>
      </c>
      <c r="J323" s="37">
        <v>0</v>
      </c>
      <c r="K323" s="37">
        <v>0</v>
      </c>
      <c r="L323" s="37" t="s">
        <v>33</v>
      </c>
      <c r="M323" s="37">
        <v>11</v>
      </c>
      <c r="N323" s="37">
        <v>0</v>
      </c>
      <c r="O323" s="37">
        <v>0</v>
      </c>
      <c r="P323" s="37">
        <v>0</v>
      </c>
      <c r="Q323" s="37">
        <v>0</v>
      </c>
      <c r="R323" s="65">
        <v>0.23055555555555557</v>
      </c>
      <c r="S323" s="65">
        <v>0.27777777777777779</v>
      </c>
      <c r="T323" s="65">
        <v>0.2326388888888889</v>
      </c>
      <c r="U323" s="65">
        <v>0.24861111111111112</v>
      </c>
      <c r="V323" s="65">
        <v>0.23749999999999999</v>
      </c>
      <c r="W323" s="65">
        <v>0.27777777777777779</v>
      </c>
      <c r="X323" s="65">
        <v>0.24236111111111111</v>
      </c>
      <c r="Y323" s="65">
        <v>0.28472222222222221</v>
      </c>
      <c r="Z323" s="37" t="s">
        <v>90</v>
      </c>
      <c r="AA323" s="37"/>
      <c r="AB323" s="37">
        <v>20</v>
      </c>
      <c r="AC323" s="37">
        <v>11</v>
      </c>
      <c r="AD323" s="37">
        <v>12</v>
      </c>
      <c r="AE323" s="37">
        <v>10</v>
      </c>
      <c r="AF323" s="167">
        <v>45966</v>
      </c>
    </row>
    <row r="324" spans="1:32" s="28" customFormat="1" x14ac:dyDescent="0.25">
      <c r="A324" s="35">
        <v>45967</v>
      </c>
      <c r="B324" s="36" t="s">
        <v>621</v>
      </c>
      <c r="C324" s="37" t="s">
        <v>46</v>
      </c>
      <c r="D324" s="37">
        <v>44</v>
      </c>
      <c r="E324" s="65">
        <v>0.21527777777777779</v>
      </c>
      <c r="F324" s="65">
        <v>0.24444444444444444</v>
      </c>
      <c r="G324" s="65">
        <v>0.2986111111111111</v>
      </c>
      <c r="H324" s="65">
        <v>0.2986111111111111</v>
      </c>
      <c r="I324" s="38">
        <f t="shared" si="9"/>
        <v>5.4166666666666669E-2</v>
      </c>
      <c r="J324" s="37">
        <v>0</v>
      </c>
      <c r="K324" s="37">
        <v>0</v>
      </c>
      <c r="L324" s="37" t="s">
        <v>33</v>
      </c>
      <c r="M324" s="37">
        <v>11</v>
      </c>
      <c r="N324" s="37">
        <v>0</v>
      </c>
      <c r="O324" s="37">
        <v>0</v>
      </c>
      <c r="P324" s="37">
        <v>0</v>
      </c>
      <c r="Q324" s="37">
        <v>0</v>
      </c>
      <c r="R324" s="65">
        <v>0.24652777777777779</v>
      </c>
      <c r="S324" s="65">
        <v>0.2902777777777778</v>
      </c>
      <c r="T324" s="65">
        <v>0.24861111111111112</v>
      </c>
      <c r="U324" s="65">
        <v>0.26597222222222222</v>
      </c>
      <c r="V324" s="65">
        <v>0.26180555555555557</v>
      </c>
      <c r="W324" s="65">
        <v>0.2902777777777778</v>
      </c>
      <c r="X324" s="65">
        <v>0.27569444444444446</v>
      </c>
      <c r="Y324" s="65">
        <v>0.29166666666666669</v>
      </c>
      <c r="Z324" s="37" t="s">
        <v>97</v>
      </c>
      <c r="AA324" s="37"/>
      <c r="AB324" s="37">
        <v>24</v>
      </c>
      <c r="AC324" s="37">
        <v>15</v>
      </c>
      <c r="AD324" s="37">
        <v>0</v>
      </c>
      <c r="AE324" s="37">
        <v>15</v>
      </c>
      <c r="AF324" s="167">
        <v>45967</v>
      </c>
    </row>
    <row r="325" spans="1:32" s="28" customFormat="1" x14ac:dyDescent="0.25">
      <c r="A325" s="35">
        <v>45968</v>
      </c>
      <c r="B325" s="36" t="s">
        <v>621</v>
      </c>
      <c r="C325" s="37" t="s">
        <v>38</v>
      </c>
      <c r="D325" s="37">
        <v>44</v>
      </c>
      <c r="E325" s="65">
        <v>0.21527777777777779</v>
      </c>
      <c r="F325" s="65">
        <v>0.36805555555555558</v>
      </c>
      <c r="G325" s="65">
        <v>0.28472222222222221</v>
      </c>
      <c r="H325" s="65">
        <v>0.42638888888888887</v>
      </c>
      <c r="I325" s="38">
        <f t="shared" si="9"/>
        <v>5.8333333333333293E-2</v>
      </c>
      <c r="J325" s="65">
        <v>0.14166666666666666</v>
      </c>
      <c r="K325" s="37" t="s">
        <v>50</v>
      </c>
      <c r="L325" s="37" t="s">
        <v>750</v>
      </c>
      <c r="M325" s="37">
        <v>11</v>
      </c>
      <c r="N325" s="37">
        <v>0</v>
      </c>
      <c r="O325" s="37">
        <v>0</v>
      </c>
      <c r="P325" s="37">
        <v>0</v>
      </c>
      <c r="Q325" s="37">
        <v>0</v>
      </c>
      <c r="R325" s="65">
        <v>0.37430555555555556</v>
      </c>
      <c r="S325" s="65">
        <v>0.41319444444444442</v>
      </c>
      <c r="T325" s="65">
        <v>0.37430555555555556</v>
      </c>
      <c r="U325" s="65">
        <v>0.39583333333333331</v>
      </c>
      <c r="V325" s="65">
        <v>0.39652777777777776</v>
      </c>
      <c r="W325" s="65">
        <v>0.41319444444444442</v>
      </c>
      <c r="X325" s="65">
        <v>0.38333333333333336</v>
      </c>
      <c r="Y325" s="65">
        <v>0.42638888888888887</v>
      </c>
      <c r="Z325" s="37" t="s">
        <v>72</v>
      </c>
      <c r="AA325" s="37"/>
      <c r="AB325" s="37">
        <v>14</v>
      </c>
      <c r="AC325" s="37">
        <v>12</v>
      </c>
      <c r="AD325" s="37">
        <v>9</v>
      </c>
      <c r="AE325" s="37">
        <v>8</v>
      </c>
      <c r="AF325" s="167">
        <v>45968</v>
      </c>
    </row>
    <row r="326" spans="1:32" s="28" customFormat="1" x14ac:dyDescent="0.25">
      <c r="A326" s="35">
        <v>45969</v>
      </c>
      <c r="B326" s="36" t="s">
        <v>621</v>
      </c>
      <c r="C326" s="37" t="s">
        <v>39</v>
      </c>
      <c r="D326" s="37">
        <v>46</v>
      </c>
      <c r="E326" s="65">
        <v>0.27083333333333331</v>
      </c>
      <c r="F326" s="65">
        <v>0.25833333333333336</v>
      </c>
      <c r="G326" s="65">
        <v>0.33333333333333331</v>
      </c>
      <c r="H326" s="65">
        <v>0.31388888888888888</v>
      </c>
      <c r="I326" s="38">
        <f t="shared" si="9"/>
        <v>5.5555555555555525E-2</v>
      </c>
      <c r="J326" s="36">
        <v>0</v>
      </c>
      <c r="K326" s="36">
        <v>0</v>
      </c>
      <c r="L326" s="37" t="s">
        <v>33</v>
      </c>
      <c r="M326" s="37">
        <v>11</v>
      </c>
      <c r="N326" s="37">
        <v>0</v>
      </c>
      <c r="O326" s="37">
        <v>0</v>
      </c>
      <c r="P326" s="37">
        <v>0</v>
      </c>
      <c r="Q326" s="37">
        <v>0</v>
      </c>
      <c r="R326" s="65">
        <v>0.25972222222222224</v>
      </c>
      <c r="S326" s="65">
        <v>0.2986111111111111</v>
      </c>
      <c r="T326" s="65">
        <v>0.25972222222222224</v>
      </c>
      <c r="U326" s="65">
        <v>0.27847222222222223</v>
      </c>
      <c r="V326" s="65">
        <v>0.27986111111111112</v>
      </c>
      <c r="W326" s="65">
        <v>0.2986111111111111</v>
      </c>
      <c r="X326" s="65">
        <v>0.27638888888888891</v>
      </c>
      <c r="Y326" s="65">
        <v>0.30694444444444446</v>
      </c>
      <c r="Z326" s="37" t="s">
        <v>34</v>
      </c>
      <c r="AA326" s="37"/>
      <c r="AB326" s="37">
        <v>19</v>
      </c>
      <c r="AC326" s="37">
        <v>1</v>
      </c>
      <c r="AD326" s="37">
        <v>16</v>
      </c>
      <c r="AE326" s="37">
        <v>0</v>
      </c>
      <c r="AF326" s="167">
        <v>45969</v>
      </c>
    </row>
    <row r="327" spans="1:32" s="28" customFormat="1" x14ac:dyDescent="0.25">
      <c r="A327" s="35">
        <v>45969</v>
      </c>
      <c r="B327" s="36" t="s">
        <v>36</v>
      </c>
      <c r="C327" s="37" t="s">
        <v>42</v>
      </c>
      <c r="D327" s="37">
        <v>44</v>
      </c>
      <c r="E327" s="65">
        <v>0.46527777777777779</v>
      </c>
      <c r="F327" s="65">
        <v>0.46666666666666667</v>
      </c>
      <c r="G327" s="65">
        <v>0.54861111111111116</v>
      </c>
      <c r="H327" s="65">
        <v>0.55486111111111114</v>
      </c>
      <c r="I327" s="38">
        <f t="shared" ref="I327" si="11">H327-F327</f>
        <v>8.8194444444444464E-2</v>
      </c>
      <c r="J327" s="39" t="s">
        <v>802</v>
      </c>
      <c r="K327" s="36" t="s">
        <v>803</v>
      </c>
      <c r="L327" s="37" t="s">
        <v>804</v>
      </c>
      <c r="M327" s="37"/>
      <c r="N327" s="37"/>
      <c r="O327" s="37"/>
      <c r="P327" s="37"/>
      <c r="Q327" s="37"/>
      <c r="R327" s="65"/>
      <c r="S327" s="65"/>
      <c r="T327" s="65"/>
      <c r="U327" s="65"/>
      <c r="V327" s="65"/>
      <c r="W327" s="65"/>
      <c r="X327" s="65"/>
      <c r="Y327" s="65"/>
      <c r="Z327" s="37"/>
      <c r="AA327" s="37"/>
      <c r="AB327" s="37"/>
      <c r="AC327" s="37"/>
      <c r="AD327" s="37"/>
      <c r="AE327" s="37"/>
      <c r="AF327" s="167">
        <v>45969</v>
      </c>
    </row>
    <row r="328" spans="1:32" s="28" customFormat="1" x14ac:dyDescent="0.25">
      <c r="A328" s="35">
        <v>45970</v>
      </c>
      <c r="B328" s="36" t="s">
        <v>790</v>
      </c>
      <c r="C328" s="37" t="s">
        <v>32</v>
      </c>
      <c r="D328" s="37">
        <v>45</v>
      </c>
      <c r="E328" s="65">
        <v>0.21527777777777779</v>
      </c>
      <c r="F328" s="65">
        <v>0.25347222222222221</v>
      </c>
      <c r="G328" s="65">
        <v>0.28472222222222221</v>
      </c>
      <c r="H328" s="65">
        <v>0.31111111111111112</v>
      </c>
      <c r="I328" s="38">
        <f t="shared" si="9"/>
        <v>5.7638888888888906E-2</v>
      </c>
      <c r="J328" s="65">
        <v>1.5972222222222221E-2</v>
      </c>
      <c r="K328" s="37" t="s">
        <v>805</v>
      </c>
      <c r="L328" s="37" t="s">
        <v>806</v>
      </c>
      <c r="M328" s="37">
        <v>11</v>
      </c>
      <c r="N328" s="37">
        <v>0</v>
      </c>
      <c r="O328" s="37">
        <v>0</v>
      </c>
      <c r="P328" s="37">
        <v>0</v>
      </c>
      <c r="Q328" s="37">
        <v>0</v>
      </c>
      <c r="R328" s="65">
        <v>0.25416666666666665</v>
      </c>
      <c r="S328" s="65">
        <v>0.30694444444444446</v>
      </c>
      <c r="T328" s="65">
        <v>0.25416666666666665</v>
      </c>
      <c r="U328" s="65">
        <v>0.27986111111111112</v>
      </c>
      <c r="V328" s="65">
        <v>0.28611111111111109</v>
      </c>
      <c r="W328" s="65">
        <v>0.30694444444444446</v>
      </c>
      <c r="X328" s="65">
        <v>0.27708333333333335</v>
      </c>
      <c r="Y328" s="65">
        <v>0.31111111111111112</v>
      </c>
      <c r="Z328" s="37" t="s">
        <v>34</v>
      </c>
      <c r="AA328" s="37"/>
      <c r="AB328" s="37">
        <v>15</v>
      </c>
      <c r="AC328" s="37">
        <v>5</v>
      </c>
      <c r="AD328" s="37">
        <v>8</v>
      </c>
      <c r="AE328" s="37">
        <v>0</v>
      </c>
      <c r="AF328" s="167">
        <v>45970</v>
      </c>
    </row>
    <row r="329" spans="1:32" s="28" customFormat="1" x14ac:dyDescent="0.25">
      <c r="A329" s="35">
        <v>45971</v>
      </c>
      <c r="B329" s="36" t="s">
        <v>621</v>
      </c>
      <c r="C329" s="37" t="s">
        <v>48</v>
      </c>
      <c r="D329" s="37">
        <v>43</v>
      </c>
      <c r="E329" s="65">
        <v>0.37847222222222221</v>
      </c>
      <c r="F329" s="65">
        <v>0.38541666666666669</v>
      </c>
      <c r="G329" s="65">
        <v>0.4513888888888889</v>
      </c>
      <c r="H329" s="65">
        <v>0.43541666666666667</v>
      </c>
      <c r="I329" s="38">
        <f t="shared" si="9"/>
        <v>4.9999999999999989E-2</v>
      </c>
      <c r="J329" s="37" t="s">
        <v>807</v>
      </c>
      <c r="K329" s="37" t="s">
        <v>808</v>
      </c>
      <c r="L329" s="37" t="s">
        <v>809</v>
      </c>
      <c r="M329" s="37">
        <v>11</v>
      </c>
      <c r="N329" s="37">
        <v>0</v>
      </c>
      <c r="O329" s="37">
        <v>0</v>
      </c>
      <c r="P329" s="37">
        <v>0</v>
      </c>
      <c r="Q329" s="37">
        <v>0</v>
      </c>
      <c r="R329" s="65">
        <v>0.38680555555555557</v>
      </c>
      <c r="S329" s="65">
        <v>0.43333333333333335</v>
      </c>
      <c r="T329" s="65">
        <v>0.38750000000000001</v>
      </c>
      <c r="U329" s="65">
        <v>0.41041666666666665</v>
      </c>
      <c r="V329" s="65">
        <v>0.41111111111111109</v>
      </c>
      <c r="W329" s="65">
        <v>0.42777777777777776</v>
      </c>
      <c r="X329" s="65">
        <v>0.40694444444444444</v>
      </c>
      <c r="Y329" s="65">
        <v>0.39097222222222222</v>
      </c>
      <c r="Z329" s="37" t="s">
        <v>34</v>
      </c>
      <c r="AA329" s="37"/>
      <c r="AB329" s="37">
        <v>20</v>
      </c>
      <c r="AC329" s="37">
        <v>2</v>
      </c>
      <c r="AD329" s="37">
        <v>16</v>
      </c>
      <c r="AE329" s="37">
        <v>7</v>
      </c>
      <c r="AF329" s="167">
        <v>45971</v>
      </c>
    </row>
    <row r="330" spans="1:32" s="28" customFormat="1" x14ac:dyDescent="0.25">
      <c r="A330" s="35">
        <v>45972</v>
      </c>
      <c r="B330" s="36" t="s">
        <v>621</v>
      </c>
      <c r="C330" s="37" t="s">
        <v>39</v>
      </c>
      <c r="D330" s="37">
        <v>44</v>
      </c>
      <c r="E330" s="65">
        <v>0.22916666666666666</v>
      </c>
      <c r="F330" s="65">
        <v>0.22222222222222221</v>
      </c>
      <c r="G330" s="65">
        <v>0.2986111111111111</v>
      </c>
      <c r="H330" s="65">
        <v>0.28194444444444444</v>
      </c>
      <c r="I330" s="38">
        <f t="shared" si="9"/>
        <v>5.9722222222222232E-2</v>
      </c>
      <c r="J330" s="36">
        <v>0</v>
      </c>
      <c r="K330" s="36">
        <v>0</v>
      </c>
      <c r="L330" s="37" t="s">
        <v>33</v>
      </c>
      <c r="M330" s="37">
        <v>11</v>
      </c>
      <c r="N330" s="37">
        <v>0</v>
      </c>
      <c r="O330" s="37">
        <v>0</v>
      </c>
      <c r="P330" s="37">
        <v>0</v>
      </c>
      <c r="Q330" s="37">
        <v>0</v>
      </c>
      <c r="R330" s="65">
        <v>0.22361111111111112</v>
      </c>
      <c r="S330" s="65">
        <v>0.27013888888888887</v>
      </c>
      <c r="T330" s="65">
        <v>0.22916666666666666</v>
      </c>
      <c r="U330" s="65">
        <v>0.24861111111111112</v>
      </c>
      <c r="V330" s="65">
        <v>0.2361111111111111</v>
      </c>
      <c r="W330" s="65">
        <v>0.27013888888888887</v>
      </c>
      <c r="X330" s="65">
        <v>0.23680555555555555</v>
      </c>
      <c r="Y330" s="65">
        <v>0.28194444444444444</v>
      </c>
      <c r="Z330" s="37" t="s">
        <v>90</v>
      </c>
      <c r="AA330" s="37"/>
      <c r="AB330" s="37">
        <v>30</v>
      </c>
      <c r="AC330" s="37">
        <v>0</v>
      </c>
      <c r="AD330" s="37">
        <v>6</v>
      </c>
      <c r="AE330" s="37">
        <v>9</v>
      </c>
      <c r="AF330" s="167">
        <v>45972</v>
      </c>
    </row>
    <row r="331" spans="1:32" s="28" customFormat="1" x14ac:dyDescent="0.25">
      <c r="A331" s="35">
        <v>45973</v>
      </c>
      <c r="B331" s="36" t="s">
        <v>621</v>
      </c>
      <c r="C331" s="37" t="s">
        <v>48</v>
      </c>
      <c r="D331" s="37">
        <v>43</v>
      </c>
      <c r="E331" s="65">
        <v>0.22916666666666666</v>
      </c>
      <c r="F331" s="65">
        <v>0.24791666666666667</v>
      </c>
      <c r="G331" s="65">
        <v>0.2986111111111111</v>
      </c>
      <c r="H331" s="65">
        <v>0.30208333333333331</v>
      </c>
      <c r="I331" s="38">
        <f t="shared" si="9"/>
        <v>5.4166666666666641E-2</v>
      </c>
      <c r="J331" s="37">
        <v>0</v>
      </c>
      <c r="K331" s="37">
        <v>0</v>
      </c>
      <c r="L331" s="37" t="s">
        <v>33</v>
      </c>
      <c r="M331" s="37">
        <v>11</v>
      </c>
      <c r="N331" s="37">
        <v>0</v>
      </c>
      <c r="O331" s="37">
        <v>0</v>
      </c>
      <c r="P331" s="37">
        <v>0</v>
      </c>
      <c r="Q331" s="37">
        <v>0</v>
      </c>
      <c r="R331" s="65">
        <v>0.24861111111111112</v>
      </c>
      <c r="S331" s="65">
        <v>0.28819444444444442</v>
      </c>
      <c r="T331" s="65">
        <v>0.25</v>
      </c>
      <c r="U331" s="65">
        <v>0.27013888888888887</v>
      </c>
      <c r="V331" s="65">
        <v>0.26041666666666669</v>
      </c>
      <c r="W331" s="65">
        <v>0.28819444444444442</v>
      </c>
      <c r="X331" s="65">
        <v>0.2638888888888889</v>
      </c>
      <c r="Y331" s="65">
        <v>0.29583333333333334</v>
      </c>
      <c r="Z331" s="37" t="s">
        <v>90</v>
      </c>
      <c r="AA331" s="37"/>
      <c r="AB331" s="37">
        <v>21</v>
      </c>
      <c r="AC331" s="37">
        <v>5</v>
      </c>
      <c r="AD331" s="37">
        <v>10</v>
      </c>
      <c r="AE331" s="37">
        <v>10</v>
      </c>
      <c r="AF331" s="167">
        <v>45973</v>
      </c>
    </row>
    <row r="332" spans="1:32" s="28" customFormat="1" x14ac:dyDescent="0.25">
      <c r="A332" s="35">
        <v>45974</v>
      </c>
      <c r="B332" s="36" t="s">
        <v>621</v>
      </c>
      <c r="C332" s="37" t="s">
        <v>39</v>
      </c>
      <c r="D332" s="37">
        <v>43</v>
      </c>
      <c r="E332" s="65">
        <v>0.22916666666666666</v>
      </c>
      <c r="F332" s="65">
        <v>0.22291666666666668</v>
      </c>
      <c r="G332" s="65">
        <v>0.2986111111111111</v>
      </c>
      <c r="H332" s="65">
        <v>0.28333333333333333</v>
      </c>
      <c r="I332" s="38">
        <f t="shared" si="9"/>
        <v>6.0416666666666646E-2</v>
      </c>
      <c r="J332" s="37">
        <v>0</v>
      </c>
      <c r="K332" s="37">
        <v>0</v>
      </c>
      <c r="L332" s="37" t="s">
        <v>33</v>
      </c>
      <c r="M332" s="37">
        <v>11</v>
      </c>
      <c r="N332" s="37">
        <v>0</v>
      </c>
      <c r="O332" s="37">
        <v>0</v>
      </c>
      <c r="P332" s="37">
        <v>0</v>
      </c>
      <c r="Q332" s="37">
        <v>0</v>
      </c>
      <c r="R332" s="65">
        <v>0.2673611111111111</v>
      </c>
      <c r="S332" s="65">
        <v>0.26666666666666666</v>
      </c>
      <c r="T332" s="65">
        <v>0.22777777777777777</v>
      </c>
      <c r="U332" s="65">
        <v>0.24444444444444444</v>
      </c>
      <c r="V332" s="65">
        <v>0.2361111111111111</v>
      </c>
      <c r="W332" s="65">
        <v>0.26666666666666666</v>
      </c>
      <c r="X332" s="65">
        <v>0.23680555555555555</v>
      </c>
      <c r="Y332" s="65">
        <v>0.28333333333333333</v>
      </c>
      <c r="Z332" s="37" t="s">
        <v>72</v>
      </c>
      <c r="AA332" s="37"/>
      <c r="AB332" s="37">
        <v>30</v>
      </c>
      <c r="AC332" s="37">
        <v>0</v>
      </c>
      <c r="AD332" s="37">
        <v>10</v>
      </c>
      <c r="AE332" s="37">
        <v>10</v>
      </c>
      <c r="AF332" s="167">
        <v>45974</v>
      </c>
    </row>
    <row r="333" spans="1:32" s="28" customFormat="1" x14ac:dyDescent="0.25">
      <c r="A333" s="35">
        <v>45975</v>
      </c>
      <c r="B333" s="36" t="s">
        <v>621</v>
      </c>
      <c r="C333" s="37" t="s">
        <v>32</v>
      </c>
      <c r="D333" s="37">
        <v>43</v>
      </c>
      <c r="E333" s="65">
        <v>0.22916666666666666</v>
      </c>
      <c r="F333" s="65">
        <v>0.21111111111111111</v>
      </c>
      <c r="G333" s="65">
        <v>0.2986111111111111</v>
      </c>
      <c r="H333" s="65">
        <v>0.27361111111111114</v>
      </c>
      <c r="I333" s="38">
        <f t="shared" si="9"/>
        <v>6.2500000000000028E-2</v>
      </c>
      <c r="J333" s="37">
        <v>0</v>
      </c>
      <c r="K333" s="37">
        <v>0</v>
      </c>
      <c r="L333" s="37" t="s">
        <v>33</v>
      </c>
      <c r="M333" s="37">
        <v>11</v>
      </c>
      <c r="N333" s="37">
        <v>0</v>
      </c>
      <c r="O333" s="37">
        <v>0</v>
      </c>
      <c r="P333" s="37">
        <v>0</v>
      </c>
      <c r="Q333" s="37">
        <v>0</v>
      </c>
      <c r="R333" s="65">
        <v>0.21249999999999999</v>
      </c>
      <c r="S333" s="65">
        <v>0.25277777777777777</v>
      </c>
      <c r="T333" s="65">
        <v>0.21388888888888888</v>
      </c>
      <c r="U333" s="65">
        <v>0.23055555555555557</v>
      </c>
      <c r="V333" s="65">
        <v>0.23125000000000001</v>
      </c>
      <c r="W333" s="65">
        <v>0.25277777777777777</v>
      </c>
      <c r="X333" s="65">
        <v>0.23194444444444445</v>
      </c>
      <c r="Y333" s="65">
        <v>0.26874999999999999</v>
      </c>
      <c r="Z333" s="37" t="s">
        <v>34</v>
      </c>
      <c r="AA333" s="37"/>
      <c r="AB333" s="37">
        <v>17</v>
      </c>
      <c r="AC333" s="37">
        <v>4</v>
      </c>
      <c r="AD333" s="37">
        <v>24</v>
      </c>
      <c r="AE333" s="37">
        <v>4</v>
      </c>
      <c r="AF333" s="167">
        <v>45975</v>
      </c>
    </row>
    <row r="334" spans="1:32" s="28" customFormat="1" x14ac:dyDescent="0.25">
      <c r="A334" s="35">
        <v>45976</v>
      </c>
      <c r="B334" s="36" t="s">
        <v>621</v>
      </c>
      <c r="C334" s="37" t="s">
        <v>39</v>
      </c>
      <c r="D334" s="37">
        <v>44</v>
      </c>
      <c r="E334" s="65">
        <v>0.27083333333333331</v>
      </c>
      <c r="F334" s="65">
        <v>0.36319444444444443</v>
      </c>
      <c r="G334" s="65">
        <v>0.33333333333333331</v>
      </c>
      <c r="H334" s="65">
        <v>0.42291666666666666</v>
      </c>
      <c r="I334" s="38">
        <f t="shared" si="9"/>
        <v>5.9722222222222232E-2</v>
      </c>
      <c r="J334" s="65">
        <v>8.9583333333333334E-2</v>
      </c>
      <c r="K334" s="36" t="s">
        <v>50</v>
      </c>
      <c r="L334" s="37" t="s">
        <v>750</v>
      </c>
      <c r="M334" s="37">
        <v>11</v>
      </c>
      <c r="N334" s="37">
        <v>0</v>
      </c>
      <c r="O334" s="37">
        <v>0</v>
      </c>
      <c r="P334" s="37">
        <v>0</v>
      </c>
      <c r="Q334" s="37">
        <v>0</v>
      </c>
      <c r="R334" s="65">
        <v>0.36666666666666664</v>
      </c>
      <c r="S334" s="65">
        <v>0.40416666666666667</v>
      </c>
      <c r="T334" s="65">
        <v>0.36805555555555558</v>
      </c>
      <c r="U334" s="65">
        <v>0.38194444444444442</v>
      </c>
      <c r="V334" s="65">
        <v>0.375</v>
      </c>
      <c r="W334" s="65">
        <v>0.40416666666666667</v>
      </c>
      <c r="X334" s="65">
        <v>0.38333333333333336</v>
      </c>
      <c r="Y334" s="65">
        <v>0.4201388888888889</v>
      </c>
      <c r="Z334" s="37" t="s">
        <v>72</v>
      </c>
      <c r="AA334" s="37"/>
      <c r="AB334" s="37">
        <v>19</v>
      </c>
      <c r="AC334" s="37">
        <v>7</v>
      </c>
      <c r="AD334" s="37">
        <v>18</v>
      </c>
      <c r="AE334" s="37">
        <v>3</v>
      </c>
      <c r="AF334" s="167">
        <v>45976</v>
      </c>
    </row>
    <row r="335" spans="1:32" s="28" customFormat="1" x14ac:dyDescent="0.25">
      <c r="A335" s="35">
        <v>45976</v>
      </c>
      <c r="B335" s="36" t="s">
        <v>36</v>
      </c>
      <c r="C335" s="37" t="s">
        <v>109</v>
      </c>
      <c r="D335" s="37">
        <v>44</v>
      </c>
      <c r="E335" s="65">
        <v>0.46527777777777779</v>
      </c>
      <c r="F335" s="65">
        <v>0.42986111111111114</v>
      </c>
      <c r="G335" s="65">
        <v>0.54861111111111116</v>
      </c>
      <c r="H335" s="65">
        <v>0.54166666666666663</v>
      </c>
      <c r="I335" s="38">
        <f t="shared" si="9"/>
        <v>0.11180555555555549</v>
      </c>
      <c r="J335" s="39"/>
      <c r="K335" s="36"/>
      <c r="L335" s="37"/>
      <c r="M335" s="37"/>
      <c r="N335" s="37"/>
      <c r="O335" s="37"/>
      <c r="P335" s="37"/>
      <c r="Q335" s="37"/>
      <c r="R335" s="65"/>
      <c r="S335" s="65"/>
      <c r="T335" s="65"/>
      <c r="U335" s="65"/>
      <c r="V335" s="65"/>
      <c r="W335" s="65"/>
      <c r="X335" s="65"/>
      <c r="Y335" s="65"/>
      <c r="Z335" s="37"/>
      <c r="AA335" s="37"/>
      <c r="AB335" s="37"/>
      <c r="AC335" s="37"/>
      <c r="AD335" s="37"/>
      <c r="AE335" s="37"/>
      <c r="AF335" s="167">
        <v>45969</v>
      </c>
    </row>
    <row r="336" spans="1:32" s="28" customFormat="1" x14ac:dyDescent="0.25">
      <c r="A336" s="35">
        <v>45977</v>
      </c>
      <c r="B336" s="36" t="s">
        <v>790</v>
      </c>
      <c r="C336" s="37" t="s">
        <v>48</v>
      </c>
      <c r="D336" s="37">
        <v>43</v>
      </c>
      <c r="E336" s="65">
        <v>0.22916666666666666</v>
      </c>
      <c r="F336" s="65">
        <v>0.21527777777777779</v>
      </c>
      <c r="G336" s="65">
        <v>0.2986111111111111</v>
      </c>
      <c r="H336" s="65">
        <v>0.30138888888888887</v>
      </c>
      <c r="I336" s="38">
        <f t="shared" si="9"/>
        <v>8.6111111111111083E-2</v>
      </c>
      <c r="J336" s="65">
        <v>6.2500000000000003E-3</v>
      </c>
      <c r="K336" s="37">
        <v>89</v>
      </c>
      <c r="L336" s="37" t="s">
        <v>810</v>
      </c>
      <c r="M336" s="37">
        <v>11</v>
      </c>
      <c r="N336" s="65">
        <v>0.21388888888888888</v>
      </c>
      <c r="O336" s="65">
        <v>0.30416666666666664</v>
      </c>
      <c r="P336" s="65">
        <v>0.2986111111111111</v>
      </c>
      <c r="Q336" s="65">
        <v>0.30416666666666664</v>
      </c>
      <c r="R336" s="65">
        <v>0.21666666666666667</v>
      </c>
      <c r="S336" s="65">
        <v>0.26458333333333334</v>
      </c>
      <c r="T336" s="65">
        <v>0.21944444444444444</v>
      </c>
      <c r="U336" s="65">
        <v>0.23402777777777778</v>
      </c>
      <c r="V336" s="65">
        <v>0.23402777777777778</v>
      </c>
      <c r="W336" s="65">
        <v>0.26458333333333334</v>
      </c>
      <c r="X336" s="65">
        <v>0.22916666666666666</v>
      </c>
      <c r="Y336" s="65">
        <v>0.29375000000000001</v>
      </c>
      <c r="Z336" s="37" t="s">
        <v>72</v>
      </c>
      <c r="AA336" s="37"/>
      <c r="AB336" s="37">
        <v>20</v>
      </c>
      <c r="AC336" s="37">
        <v>5</v>
      </c>
      <c r="AD336" s="37">
        <v>14</v>
      </c>
      <c r="AE336" s="37">
        <v>8</v>
      </c>
      <c r="AF336" s="167">
        <v>45977</v>
      </c>
    </row>
    <row r="337" spans="1:32" s="28" customFormat="1" x14ac:dyDescent="0.25">
      <c r="A337" s="35">
        <v>45978</v>
      </c>
      <c r="B337" s="36" t="s">
        <v>621</v>
      </c>
      <c r="C337" s="37" t="s">
        <v>39</v>
      </c>
      <c r="D337" s="37">
        <v>44</v>
      </c>
      <c r="E337" s="65">
        <v>0.18055555555555555</v>
      </c>
      <c r="F337" s="65">
        <v>0.19375000000000001</v>
      </c>
      <c r="G337" s="65">
        <v>0.24305555555555555</v>
      </c>
      <c r="H337" s="65">
        <v>0.21180555555555555</v>
      </c>
      <c r="I337" s="38">
        <f t="shared" si="9"/>
        <v>1.8055555555555547E-2</v>
      </c>
      <c r="J337" s="37">
        <v>0</v>
      </c>
      <c r="K337" s="37">
        <v>0</v>
      </c>
      <c r="L337" s="37" t="s">
        <v>33</v>
      </c>
      <c r="M337" s="37">
        <v>11</v>
      </c>
      <c r="N337" s="37">
        <v>0</v>
      </c>
      <c r="O337" s="37">
        <v>0</v>
      </c>
      <c r="P337" s="37">
        <v>0</v>
      </c>
      <c r="Q337" s="37">
        <v>0</v>
      </c>
      <c r="R337" s="65">
        <v>0.15277777777777779</v>
      </c>
      <c r="S337" s="65">
        <v>0.2048611111111111</v>
      </c>
      <c r="T337" s="65">
        <v>0.15833333333333333</v>
      </c>
      <c r="U337" s="65">
        <v>0.17430555555555555</v>
      </c>
      <c r="V337" s="65">
        <v>0.17569444444444443</v>
      </c>
      <c r="W337" s="65">
        <v>0.2048611111111111</v>
      </c>
      <c r="X337" s="65">
        <v>0.17708333333333334</v>
      </c>
      <c r="Y337" s="65">
        <v>0.21041666666666667</v>
      </c>
      <c r="Z337" s="37" t="s">
        <v>34</v>
      </c>
      <c r="AA337" s="37"/>
      <c r="AB337" s="37">
        <v>17</v>
      </c>
      <c r="AC337" s="37">
        <v>4</v>
      </c>
      <c r="AD337" s="37">
        <v>12</v>
      </c>
      <c r="AE337" s="37">
        <v>3</v>
      </c>
      <c r="AF337" s="167">
        <v>45978</v>
      </c>
    </row>
    <row r="338" spans="1:32" s="28" customFormat="1" x14ac:dyDescent="0.25">
      <c r="A338" s="35">
        <v>45979</v>
      </c>
      <c r="B338" s="36" t="s">
        <v>621</v>
      </c>
      <c r="C338" s="37" t="s">
        <v>38</v>
      </c>
      <c r="D338" s="37">
        <v>44</v>
      </c>
      <c r="E338" s="65">
        <v>0.22916666666666666</v>
      </c>
      <c r="F338" s="65">
        <v>0.22222222222222221</v>
      </c>
      <c r="G338" s="65">
        <v>0.2986111111111111</v>
      </c>
      <c r="H338" s="65">
        <v>0.2986111111111111</v>
      </c>
      <c r="I338" s="38">
        <f t="shared" si="9"/>
        <v>7.6388888888888895E-2</v>
      </c>
      <c r="J338" s="37">
        <v>0</v>
      </c>
      <c r="K338" s="37">
        <v>0</v>
      </c>
      <c r="L338" s="37" t="s">
        <v>33</v>
      </c>
      <c r="M338" s="37">
        <v>11</v>
      </c>
      <c r="N338" s="37">
        <v>0</v>
      </c>
      <c r="O338" s="37">
        <v>0</v>
      </c>
      <c r="P338" s="37">
        <v>0</v>
      </c>
      <c r="Q338" s="37">
        <v>0</v>
      </c>
      <c r="R338" s="65">
        <v>0.22638888888888889</v>
      </c>
      <c r="S338" s="65">
        <v>0.2986111111111111</v>
      </c>
      <c r="T338" s="65">
        <v>0.22777777777777777</v>
      </c>
      <c r="U338" s="130">
        <v>2.3270833333333334</v>
      </c>
      <c r="V338" s="65">
        <v>0.23472222222222222</v>
      </c>
      <c r="W338" s="65">
        <v>0.28611111111111109</v>
      </c>
      <c r="X338" s="65">
        <v>0.24097222222222223</v>
      </c>
      <c r="Y338" s="37"/>
      <c r="Z338" s="37" t="s">
        <v>90</v>
      </c>
      <c r="AA338" s="37"/>
      <c r="AB338" s="37">
        <v>30</v>
      </c>
      <c r="AC338" s="37">
        <v>4</v>
      </c>
      <c r="AD338" s="37">
        <v>20</v>
      </c>
      <c r="AE338" s="37">
        <v>10</v>
      </c>
      <c r="AF338" s="167">
        <v>45979</v>
      </c>
    </row>
    <row r="339" spans="1:32" s="28" customFormat="1" x14ac:dyDescent="0.25">
      <c r="A339" s="35">
        <v>45980</v>
      </c>
      <c r="B339" s="36" t="s">
        <v>621</v>
      </c>
      <c r="C339" s="37" t="s">
        <v>39</v>
      </c>
      <c r="D339" s="37">
        <v>44</v>
      </c>
      <c r="E339" s="65">
        <v>0.22916666666666666</v>
      </c>
      <c r="F339" s="65">
        <v>0.35138888888888886</v>
      </c>
      <c r="G339" s="65">
        <v>0.2986111111111111</v>
      </c>
      <c r="H339" s="65">
        <v>0.40277777777777779</v>
      </c>
      <c r="I339" s="38">
        <f t="shared" si="9"/>
        <v>5.1388888888888928E-2</v>
      </c>
      <c r="J339" s="37"/>
      <c r="K339" s="36" t="s">
        <v>50</v>
      </c>
      <c r="L339" s="37" t="s">
        <v>811</v>
      </c>
      <c r="M339" s="37">
        <v>11</v>
      </c>
      <c r="N339" s="37">
        <v>0</v>
      </c>
      <c r="O339" s="37">
        <v>0</v>
      </c>
      <c r="P339" s="37">
        <v>0</v>
      </c>
      <c r="Q339" s="37">
        <v>0</v>
      </c>
      <c r="R339" s="65">
        <v>0.35347222222222224</v>
      </c>
      <c r="S339" s="65">
        <v>0.39652777777777776</v>
      </c>
      <c r="T339" s="65">
        <v>0.35416666666666669</v>
      </c>
      <c r="U339" s="65">
        <v>0.37361111111111112</v>
      </c>
      <c r="V339" s="65">
        <v>0.37430555555555556</v>
      </c>
      <c r="W339" s="65">
        <v>0.35208333333333336</v>
      </c>
      <c r="X339" s="65">
        <v>0.36944444444444446</v>
      </c>
      <c r="Y339" s="65">
        <v>0.36041666666666666</v>
      </c>
      <c r="Z339" s="37" t="s">
        <v>90</v>
      </c>
      <c r="AA339" s="37"/>
      <c r="AB339" s="37">
        <v>23</v>
      </c>
      <c r="AC339" s="37">
        <v>7</v>
      </c>
      <c r="AD339" s="37">
        <v>15</v>
      </c>
      <c r="AE339" s="37">
        <v>6</v>
      </c>
      <c r="AF339" s="167">
        <v>45980</v>
      </c>
    </row>
    <row r="340" spans="1:32" s="28" customFormat="1" x14ac:dyDescent="0.25">
      <c r="A340" s="35">
        <v>45981</v>
      </c>
      <c r="B340" s="36" t="s">
        <v>621</v>
      </c>
      <c r="C340" s="37" t="s">
        <v>48</v>
      </c>
      <c r="D340" s="37">
        <v>42</v>
      </c>
      <c r="E340" s="65">
        <v>0.22916666666666666</v>
      </c>
      <c r="F340" s="65">
        <v>0.29097222222222224</v>
      </c>
      <c r="G340" s="65">
        <v>0.2986111111111111</v>
      </c>
      <c r="H340" s="65">
        <v>0.35555555555555557</v>
      </c>
      <c r="I340" s="38">
        <f t="shared" si="9"/>
        <v>6.4583333333333326E-2</v>
      </c>
      <c r="J340" s="65">
        <v>5.9722222222222225E-2</v>
      </c>
      <c r="K340" s="37" t="s">
        <v>812</v>
      </c>
      <c r="L340" s="37" t="s">
        <v>813</v>
      </c>
      <c r="M340" s="37">
        <v>11</v>
      </c>
      <c r="N340" s="37">
        <v>0</v>
      </c>
      <c r="O340" s="37">
        <v>0</v>
      </c>
      <c r="P340" s="37">
        <v>0</v>
      </c>
      <c r="Q340" s="37">
        <v>0</v>
      </c>
      <c r="R340" s="65">
        <v>0.29166666666666669</v>
      </c>
      <c r="S340" s="65">
        <v>0.34722222222222221</v>
      </c>
      <c r="T340" s="65">
        <v>0.30069444444444443</v>
      </c>
      <c r="U340" s="65">
        <v>0.31666666666666665</v>
      </c>
      <c r="V340" s="65">
        <v>0.31805555555555554</v>
      </c>
      <c r="W340" s="65">
        <v>0.34722222222222221</v>
      </c>
      <c r="X340" s="65">
        <v>0.31736111111111109</v>
      </c>
      <c r="Y340" s="65">
        <v>0.3527777777777778</v>
      </c>
      <c r="Z340" s="37" t="s">
        <v>40</v>
      </c>
      <c r="AA340" s="37"/>
      <c r="AB340" s="37">
        <v>22</v>
      </c>
      <c r="AC340" s="37">
        <v>8</v>
      </c>
      <c r="AD340" s="37">
        <v>15</v>
      </c>
      <c r="AE340" s="37">
        <v>2</v>
      </c>
      <c r="AF340" s="167">
        <v>45981</v>
      </c>
    </row>
    <row r="341" spans="1:32" s="28" customFormat="1" x14ac:dyDescent="0.25">
      <c r="A341" s="35">
        <v>45982</v>
      </c>
      <c r="B341" s="36" t="s">
        <v>621</v>
      </c>
      <c r="C341" s="37" t="s">
        <v>32</v>
      </c>
      <c r="D341" s="37">
        <v>43</v>
      </c>
      <c r="E341" s="65">
        <v>0.22916666666666666</v>
      </c>
      <c r="F341" s="65">
        <v>0.22430555555555556</v>
      </c>
      <c r="G341" s="65">
        <v>0.2986111111111111</v>
      </c>
      <c r="H341" s="65">
        <v>0.28125</v>
      </c>
      <c r="I341" s="38">
        <f t="shared" si="9"/>
        <v>5.6944444444444436E-2</v>
      </c>
      <c r="J341" s="37">
        <v>0</v>
      </c>
      <c r="K341" s="37">
        <v>0</v>
      </c>
      <c r="L341" s="37" t="s">
        <v>33</v>
      </c>
      <c r="M341" s="37">
        <v>11</v>
      </c>
      <c r="N341" s="37">
        <v>0</v>
      </c>
      <c r="O341" s="37">
        <v>0</v>
      </c>
      <c r="P341" s="37">
        <v>0</v>
      </c>
      <c r="Q341" s="37">
        <v>0</v>
      </c>
      <c r="R341" s="65">
        <v>0.22569444444444445</v>
      </c>
      <c r="S341" s="65">
        <v>0.26250000000000001</v>
      </c>
      <c r="T341" s="65">
        <v>0.22916666666666666</v>
      </c>
      <c r="U341" s="65">
        <v>0.24444444444444444</v>
      </c>
      <c r="V341" s="65">
        <v>0.24583333333333332</v>
      </c>
      <c r="W341" s="65">
        <v>0.26250000000000001</v>
      </c>
      <c r="X341" s="65">
        <v>0.25069444444444444</v>
      </c>
      <c r="Y341" s="65">
        <v>0.2722222222222222</v>
      </c>
      <c r="Z341" s="37" t="s">
        <v>40</v>
      </c>
      <c r="AA341" s="37"/>
      <c r="AB341" s="37">
        <v>22</v>
      </c>
      <c r="AC341" s="37">
        <v>8</v>
      </c>
      <c r="AD341" s="37">
        <v>15</v>
      </c>
      <c r="AE341" s="37">
        <v>2</v>
      </c>
      <c r="AF341" s="167">
        <v>45982</v>
      </c>
    </row>
    <row r="342" spans="1:32" s="28" customFormat="1" x14ac:dyDescent="0.25">
      <c r="A342" s="35">
        <v>45983</v>
      </c>
      <c r="B342" s="36" t="s">
        <v>621</v>
      </c>
      <c r="C342" s="37" t="s">
        <v>38</v>
      </c>
      <c r="D342" s="37">
        <v>44</v>
      </c>
      <c r="E342" s="65">
        <v>0.34513888888888888</v>
      </c>
      <c r="F342" s="65">
        <v>0.36805555555555558</v>
      </c>
      <c r="G342" s="65">
        <v>0.43402777777777779</v>
      </c>
      <c r="H342" s="65">
        <v>0.43055555555555558</v>
      </c>
      <c r="I342" s="38">
        <f t="shared" si="9"/>
        <v>6.25E-2</v>
      </c>
      <c r="J342" s="65">
        <v>0.10069444444444445</v>
      </c>
      <c r="K342" s="37" t="s">
        <v>814</v>
      </c>
      <c r="L342" s="37" t="s">
        <v>815</v>
      </c>
      <c r="M342" s="37">
        <v>11</v>
      </c>
      <c r="N342" s="37">
        <v>0</v>
      </c>
      <c r="O342" s="37">
        <v>0</v>
      </c>
      <c r="P342" s="37">
        <v>0</v>
      </c>
      <c r="Q342" s="37">
        <v>0</v>
      </c>
      <c r="R342" s="65">
        <v>0.36875000000000002</v>
      </c>
      <c r="S342" s="65">
        <v>0.42916666666666664</v>
      </c>
      <c r="T342" s="65">
        <v>0.35069444444444442</v>
      </c>
      <c r="U342" s="65">
        <v>0.40138888888888891</v>
      </c>
      <c r="V342" s="65">
        <v>0.40347222222222223</v>
      </c>
      <c r="W342" s="65">
        <v>0.42916666666666664</v>
      </c>
      <c r="X342" s="65">
        <v>0.36527777777777776</v>
      </c>
      <c r="Y342" s="65">
        <v>0.43333333333333335</v>
      </c>
      <c r="Z342" s="37" t="s">
        <v>72</v>
      </c>
      <c r="AA342" s="37"/>
      <c r="AB342" s="37">
        <v>24</v>
      </c>
      <c r="AC342" s="37">
        <v>0</v>
      </c>
      <c r="AD342" s="37">
        <v>15</v>
      </c>
      <c r="AE342" s="37">
        <v>5</v>
      </c>
      <c r="AF342" s="167">
        <v>45983</v>
      </c>
    </row>
    <row r="343" spans="1:32" s="28" customFormat="1" x14ac:dyDescent="0.25">
      <c r="A343" s="35">
        <v>45983</v>
      </c>
      <c r="B343" s="36" t="s">
        <v>36</v>
      </c>
      <c r="C343" s="37" t="s">
        <v>57</v>
      </c>
      <c r="D343" s="37">
        <v>44</v>
      </c>
      <c r="E343" s="65">
        <v>0.46527777777777779</v>
      </c>
      <c r="F343" s="65">
        <v>0.46111111111111114</v>
      </c>
      <c r="G343" s="65">
        <v>0.54861111111111116</v>
      </c>
      <c r="H343" s="65">
        <v>0.6166666666666667</v>
      </c>
      <c r="I343" s="38">
        <f t="shared" ref="I343" si="12">H343-F343</f>
        <v>0.15555555555555556</v>
      </c>
      <c r="J343" s="39">
        <v>5.0694444444444445E-2</v>
      </c>
      <c r="K343" s="36">
        <v>32</v>
      </c>
      <c r="L343" s="37" t="s">
        <v>816</v>
      </c>
      <c r="M343" s="37"/>
      <c r="N343" s="37"/>
      <c r="O343" s="37"/>
      <c r="P343" s="37"/>
      <c r="Q343" s="37"/>
      <c r="R343" s="65"/>
      <c r="S343" s="65"/>
      <c r="T343" s="65"/>
      <c r="U343" s="65"/>
      <c r="V343" s="65"/>
      <c r="W343" s="65"/>
      <c r="X343" s="65"/>
      <c r="Y343" s="65"/>
      <c r="Z343" s="37"/>
      <c r="AA343" s="37"/>
      <c r="AB343" s="37"/>
      <c r="AC343" s="37"/>
      <c r="AD343" s="37"/>
      <c r="AE343" s="37"/>
      <c r="AF343" s="167">
        <v>45969</v>
      </c>
    </row>
    <row r="344" spans="1:32" s="28" customFormat="1" x14ac:dyDescent="0.25">
      <c r="A344" s="35">
        <v>45984</v>
      </c>
      <c r="B344" s="36" t="s">
        <v>621</v>
      </c>
      <c r="C344" s="37" t="s">
        <v>32</v>
      </c>
      <c r="D344" s="37">
        <v>41</v>
      </c>
      <c r="E344" s="65">
        <v>0.22916666666666666</v>
      </c>
      <c r="F344" s="65">
        <v>0.26180555555555557</v>
      </c>
      <c r="G344" s="65">
        <v>0.2986111111111111</v>
      </c>
      <c r="H344" s="65">
        <v>0.32222222222222224</v>
      </c>
      <c r="I344" s="38">
        <f t="shared" si="9"/>
        <v>6.0416666666666674E-2</v>
      </c>
      <c r="J344" s="65">
        <v>2.361111111111111E-2</v>
      </c>
      <c r="K344" s="37">
        <v>93</v>
      </c>
      <c r="L344" s="37" t="s">
        <v>817</v>
      </c>
      <c r="M344" s="37">
        <v>11</v>
      </c>
      <c r="N344" s="37">
        <v>0</v>
      </c>
      <c r="O344" s="37">
        <v>0</v>
      </c>
      <c r="P344" s="37">
        <v>0</v>
      </c>
      <c r="Q344" s="37">
        <v>0</v>
      </c>
      <c r="R344" s="65">
        <v>0.2638888888888889</v>
      </c>
      <c r="S344" s="65">
        <v>0.30486111111111114</v>
      </c>
      <c r="T344" s="65">
        <v>0.26944444444444443</v>
      </c>
      <c r="U344" s="65">
        <v>0.29166666666666669</v>
      </c>
      <c r="V344" s="65">
        <v>0.29166666666666669</v>
      </c>
      <c r="W344" s="65">
        <v>0.30486111111111114</v>
      </c>
      <c r="X344" s="65">
        <v>0.28888888888888886</v>
      </c>
      <c r="Y344" s="65">
        <v>0.3263888888888889</v>
      </c>
      <c r="Z344" s="37" t="s">
        <v>72</v>
      </c>
      <c r="AA344" s="37"/>
      <c r="AB344" s="37">
        <v>10</v>
      </c>
      <c r="AC344" s="37">
        <v>10</v>
      </c>
      <c r="AD344" s="37">
        <v>22</v>
      </c>
      <c r="AE344" s="37">
        <v>2</v>
      </c>
      <c r="AF344" s="167">
        <v>45984</v>
      </c>
    </row>
    <row r="345" spans="1:32" s="28" customFormat="1" x14ac:dyDescent="0.25">
      <c r="A345" s="35">
        <v>45985</v>
      </c>
      <c r="B345" s="36" t="s">
        <v>621</v>
      </c>
      <c r="C345" s="37" t="s">
        <v>46</v>
      </c>
      <c r="D345" s="37">
        <v>44</v>
      </c>
      <c r="E345" s="65">
        <v>0.18055555555555555</v>
      </c>
      <c r="F345" s="65">
        <v>0.17222222222222222</v>
      </c>
      <c r="G345" s="65">
        <v>0.24305555555555555</v>
      </c>
      <c r="H345" s="65">
        <v>0.22222222222222221</v>
      </c>
      <c r="I345" s="38">
        <f t="shared" si="9"/>
        <v>4.9999999999999989E-2</v>
      </c>
      <c r="J345" s="37">
        <v>0</v>
      </c>
      <c r="K345" s="37">
        <v>0</v>
      </c>
      <c r="L345" s="37" t="s">
        <v>33</v>
      </c>
      <c r="M345" s="37">
        <v>11</v>
      </c>
      <c r="N345" s="37">
        <v>0</v>
      </c>
      <c r="O345" s="37">
        <v>0</v>
      </c>
      <c r="P345" s="37">
        <v>0</v>
      </c>
      <c r="Q345" s="37">
        <v>0</v>
      </c>
      <c r="R345" s="65">
        <v>0.17430555555555555</v>
      </c>
      <c r="S345" s="65">
        <v>0.20833333333333334</v>
      </c>
      <c r="T345" s="65">
        <v>0.17499999999999999</v>
      </c>
      <c r="U345" s="65">
        <v>0.1875</v>
      </c>
      <c r="V345" s="65">
        <v>0.1875</v>
      </c>
      <c r="W345" s="65">
        <v>0.20833333333333334</v>
      </c>
      <c r="X345" s="65">
        <v>0.22847222222222222</v>
      </c>
      <c r="Y345" s="65">
        <v>0.22152777777777777</v>
      </c>
      <c r="Z345" s="37" t="s">
        <v>72</v>
      </c>
      <c r="AA345" s="37"/>
      <c r="AB345" s="37">
        <v>20</v>
      </c>
      <c r="AC345" s="37">
        <v>11</v>
      </c>
      <c r="AD345" s="37">
        <v>7</v>
      </c>
      <c r="AE345" s="37">
        <v>3</v>
      </c>
      <c r="AF345" s="167">
        <v>45985</v>
      </c>
    </row>
    <row r="346" spans="1:32" s="28" customFormat="1" x14ac:dyDescent="0.25">
      <c r="A346" s="35">
        <v>45986</v>
      </c>
      <c r="B346" s="36" t="s">
        <v>621</v>
      </c>
      <c r="C346" s="37" t="s">
        <v>39</v>
      </c>
      <c r="D346" s="37">
        <v>46</v>
      </c>
      <c r="E346" s="65">
        <v>0.22916666666666666</v>
      </c>
      <c r="F346" s="65">
        <v>0.35694444444444445</v>
      </c>
      <c r="G346" s="65">
        <v>0.2986111111111111</v>
      </c>
      <c r="H346" s="65">
        <v>0.41319444444444442</v>
      </c>
      <c r="I346" s="38">
        <v>5.6250000000000001E-2</v>
      </c>
      <c r="J346" s="65">
        <v>0.11458333333333333</v>
      </c>
      <c r="K346" s="36" t="s">
        <v>50</v>
      </c>
      <c r="L346" s="37" t="s">
        <v>750</v>
      </c>
      <c r="M346" s="37">
        <v>11</v>
      </c>
      <c r="N346" s="37">
        <v>0</v>
      </c>
      <c r="O346" s="37">
        <v>0</v>
      </c>
      <c r="P346" s="37">
        <v>0</v>
      </c>
      <c r="Q346" s="37">
        <v>0</v>
      </c>
      <c r="R346" s="65">
        <v>0.35833333333333334</v>
      </c>
      <c r="S346" s="65">
        <v>0.39930555555555558</v>
      </c>
      <c r="T346" s="65">
        <v>0.35972222222222222</v>
      </c>
      <c r="U346" s="65">
        <v>0.36944444444444446</v>
      </c>
      <c r="V346" s="65">
        <v>0.38194444444444442</v>
      </c>
      <c r="W346" s="65">
        <v>0.39930555555555558</v>
      </c>
      <c r="X346" s="65">
        <v>0.37013888888888891</v>
      </c>
      <c r="Y346" s="65">
        <v>0.40902777777777777</v>
      </c>
      <c r="Z346" s="37" t="s">
        <v>90</v>
      </c>
      <c r="AA346" s="37"/>
      <c r="AB346" s="37">
        <v>20</v>
      </c>
      <c r="AC346" s="37">
        <v>4</v>
      </c>
      <c r="AD346" s="37">
        <v>10</v>
      </c>
      <c r="AE346" s="37">
        <v>10</v>
      </c>
      <c r="AF346" s="167">
        <v>45986</v>
      </c>
    </row>
    <row r="347" spans="1:32" s="28" customFormat="1" x14ac:dyDescent="0.25">
      <c r="A347" s="35">
        <v>45987</v>
      </c>
      <c r="B347" s="36" t="s">
        <v>621</v>
      </c>
      <c r="C347" s="37" t="s">
        <v>38</v>
      </c>
      <c r="D347" s="37">
        <v>44</v>
      </c>
      <c r="E347" s="65">
        <v>0.22916666666666666</v>
      </c>
      <c r="F347" s="65">
        <v>0.2048611111111111</v>
      </c>
      <c r="G347" s="65">
        <v>0.2986111111111111</v>
      </c>
      <c r="H347" s="65">
        <v>0.29652777777777778</v>
      </c>
      <c r="I347" s="38">
        <f t="shared" si="9"/>
        <v>9.1666666666666674E-2</v>
      </c>
      <c r="J347" s="37">
        <v>0</v>
      </c>
      <c r="K347" s="37">
        <v>0</v>
      </c>
      <c r="L347" s="37" t="s">
        <v>33</v>
      </c>
      <c r="M347" s="37">
        <v>11</v>
      </c>
      <c r="N347" s="37">
        <v>0</v>
      </c>
      <c r="O347" s="37">
        <v>0</v>
      </c>
      <c r="P347" s="37">
        <v>0</v>
      </c>
      <c r="Q347" s="37">
        <v>0</v>
      </c>
      <c r="R347" s="65">
        <v>0.20902777777777778</v>
      </c>
      <c r="S347" s="65">
        <v>0.25486111111111109</v>
      </c>
      <c r="T347" s="65">
        <v>0.21111111111111111</v>
      </c>
      <c r="U347" s="65">
        <v>0.23472222222222222</v>
      </c>
      <c r="V347" s="65">
        <v>0.23680555555555555</v>
      </c>
      <c r="W347" s="65">
        <v>0.25486111111111109</v>
      </c>
      <c r="X347" s="65">
        <v>0.23819444444444443</v>
      </c>
      <c r="Y347" s="65">
        <v>0.29166666666666669</v>
      </c>
      <c r="Z347" s="37" t="s">
        <v>34</v>
      </c>
      <c r="AA347" s="37"/>
      <c r="AB347" s="37">
        <v>14</v>
      </c>
      <c r="AC347" s="37">
        <v>18</v>
      </c>
      <c r="AD347" s="37">
        <v>16</v>
      </c>
      <c r="AE347" s="37">
        <v>4</v>
      </c>
      <c r="AF347" s="167">
        <v>45987</v>
      </c>
    </row>
    <row r="348" spans="1:32" s="28" customFormat="1" x14ac:dyDescent="0.25">
      <c r="A348" s="35">
        <v>45988</v>
      </c>
      <c r="B348" s="36" t="s">
        <v>621</v>
      </c>
      <c r="C348" s="37" t="s">
        <v>32</v>
      </c>
      <c r="D348" s="37">
        <v>44</v>
      </c>
      <c r="E348" s="65">
        <v>0.22916666666666666</v>
      </c>
      <c r="F348" s="65">
        <v>0.21736111111111112</v>
      </c>
      <c r="G348" s="65">
        <v>0.2986111111111111</v>
      </c>
      <c r="H348" s="65">
        <v>0.28194444444444444</v>
      </c>
      <c r="I348" s="38">
        <f t="shared" si="9"/>
        <v>6.4583333333333326E-2</v>
      </c>
      <c r="J348" s="37">
        <v>0</v>
      </c>
      <c r="K348" s="37">
        <v>0</v>
      </c>
      <c r="L348" s="37" t="s">
        <v>33</v>
      </c>
      <c r="M348" s="37">
        <v>11</v>
      </c>
      <c r="N348" s="37">
        <v>0</v>
      </c>
      <c r="O348" s="37">
        <v>0</v>
      </c>
      <c r="P348" s="37">
        <v>0</v>
      </c>
      <c r="Q348" s="37">
        <v>0</v>
      </c>
      <c r="R348" s="65">
        <v>0.22013888888888888</v>
      </c>
      <c r="S348" s="65">
        <v>0.25555555555555554</v>
      </c>
      <c r="T348" s="65">
        <v>0.22291666666666668</v>
      </c>
      <c r="U348" s="65">
        <v>0.2388888888888889</v>
      </c>
      <c r="V348" s="65">
        <v>0.24236111111111111</v>
      </c>
      <c r="W348" s="65">
        <v>0.25555555555555554</v>
      </c>
      <c r="X348" s="65">
        <v>0.24374999999999999</v>
      </c>
      <c r="Y348" s="65">
        <v>0.2722222222222222</v>
      </c>
      <c r="Z348" s="37" t="s">
        <v>40</v>
      </c>
      <c r="AA348" s="37"/>
      <c r="AB348" s="37">
        <v>26</v>
      </c>
      <c r="AC348" s="37">
        <v>13</v>
      </c>
      <c r="AD348" s="37">
        <v>7</v>
      </c>
      <c r="AE348" s="37">
        <v>8</v>
      </c>
      <c r="AF348" s="167">
        <v>45988</v>
      </c>
    </row>
    <row r="349" spans="1:32" s="28" customFormat="1" x14ac:dyDescent="0.25">
      <c r="A349" s="35">
        <v>45989</v>
      </c>
      <c r="B349" s="36" t="s">
        <v>621</v>
      </c>
      <c r="C349" s="37" t="s">
        <v>46</v>
      </c>
      <c r="D349" s="37">
        <v>42</v>
      </c>
      <c r="E349" s="65">
        <v>0.22916666666666666</v>
      </c>
      <c r="F349" s="65">
        <v>0.36944444444444446</v>
      </c>
      <c r="G349" s="65">
        <v>0.2986111111111111</v>
      </c>
      <c r="H349" s="65">
        <v>0.41736111111111113</v>
      </c>
      <c r="I349" s="38">
        <f t="shared" si="9"/>
        <v>4.7916666666666663E-2</v>
      </c>
      <c r="J349" s="65">
        <v>0.11874999999999999</v>
      </c>
      <c r="K349" s="37" t="s">
        <v>50</v>
      </c>
      <c r="L349" s="37" t="s">
        <v>750</v>
      </c>
      <c r="M349" s="37">
        <v>11</v>
      </c>
      <c r="N349" s="37">
        <v>0</v>
      </c>
      <c r="O349" s="37">
        <v>0</v>
      </c>
      <c r="P349" s="37">
        <v>0</v>
      </c>
      <c r="Q349" s="37">
        <v>0</v>
      </c>
      <c r="R349" s="65">
        <v>0.24861111111111112</v>
      </c>
      <c r="S349" s="65">
        <v>0.40833333333333333</v>
      </c>
      <c r="T349" s="65">
        <v>0.37430555555555556</v>
      </c>
      <c r="U349" s="65">
        <v>0.35416666666666669</v>
      </c>
      <c r="V349" s="65">
        <v>0.38194444444444442</v>
      </c>
      <c r="W349" s="65">
        <v>0.41388888888888886</v>
      </c>
      <c r="X349" s="65">
        <v>0.38124999999999998</v>
      </c>
      <c r="Y349" s="65">
        <v>0.41736111111111113</v>
      </c>
      <c r="Z349" s="37" t="s">
        <v>72</v>
      </c>
      <c r="AA349" s="37"/>
      <c r="AB349" s="37">
        <v>20</v>
      </c>
      <c r="AC349" s="37">
        <v>4</v>
      </c>
      <c r="AD349" s="37">
        <v>14</v>
      </c>
      <c r="AE349" s="37">
        <v>10</v>
      </c>
      <c r="AF349" s="167">
        <v>45989</v>
      </c>
    </row>
    <row r="350" spans="1:32" s="28" customFormat="1" x14ac:dyDescent="0.25">
      <c r="A350" s="35">
        <v>45990</v>
      </c>
      <c r="B350" s="36" t="s">
        <v>621</v>
      </c>
      <c r="C350" s="37" t="s">
        <v>39</v>
      </c>
      <c r="D350" s="37">
        <v>44</v>
      </c>
      <c r="E350" s="65">
        <v>0.27430555555555558</v>
      </c>
      <c r="F350" s="65">
        <v>0.27291666666666664</v>
      </c>
      <c r="G350" s="65">
        <v>0.33333333333333331</v>
      </c>
      <c r="H350" s="65">
        <v>0.32083333333333336</v>
      </c>
      <c r="I350" s="38">
        <f t="shared" si="9"/>
        <v>4.7916666666666718E-2</v>
      </c>
      <c r="J350" s="65">
        <v>0</v>
      </c>
      <c r="K350" s="37">
        <v>0</v>
      </c>
      <c r="L350" s="37" t="s">
        <v>33</v>
      </c>
      <c r="M350" s="37">
        <v>11</v>
      </c>
      <c r="N350" s="37">
        <v>0</v>
      </c>
      <c r="O350" s="37">
        <v>0</v>
      </c>
      <c r="P350" s="37">
        <v>0</v>
      </c>
      <c r="Q350" s="37">
        <v>0</v>
      </c>
      <c r="R350" s="65">
        <v>0.27430555555555558</v>
      </c>
      <c r="S350" s="65">
        <v>0.31319444444444444</v>
      </c>
      <c r="T350" s="65">
        <v>0.27500000000000002</v>
      </c>
      <c r="U350" s="65">
        <v>0.2902777777777778</v>
      </c>
      <c r="V350" s="65">
        <v>0.29097222222222224</v>
      </c>
      <c r="W350" s="65">
        <v>0.31111111111111112</v>
      </c>
      <c r="X350" s="65">
        <v>0.29166666666666669</v>
      </c>
      <c r="Y350" s="65">
        <v>0.32083333333333336</v>
      </c>
      <c r="Z350" s="37" t="s">
        <v>101</v>
      </c>
      <c r="AA350" s="37"/>
      <c r="AB350" s="37">
        <v>21</v>
      </c>
      <c r="AC350" s="37">
        <v>5</v>
      </c>
      <c r="AD350" s="37">
        <v>6</v>
      </c>
      <c r="AE350" s="37">
        <v>9</v>
      </c>
      <c r="AF350" s="167">
        <v>45990</v>
      </c>
    </row>
    <row r="351" spans="1:32" s="28" customFormat="1" x14ac:dyDescent="0.25">
      <c r="A351" s="35">
        <v>45990</v>
      </c>
      <c r="B351" s="36" t="s">
        <v>36</v>
      </c>
      <c r="C351" s="37" t="s">
        <v>795</v>
      </c>
      <c r="D351" s="37">
        <v>43</v>
      </c>
      <c r="E351" s="65">
        <v>0.46527777777777779</v>
      </c>
      <c r="F351" s="65">
        <v>0.49722222222222223</v>
      </c>
      <c r="G351" s="65">
        <v>0.54861111111111116</v>
      </c>
      <c r="H351" s="65">
        <v>0.60624999999999996</v>
      </c>
      <c r="I351" s="38">
        <f t="shared" ref="I351" si="13">H351-F351</f>
        <v>0.10902777777777772</v>
      </c>
      <c r="J351" s="39" t="s">
        <v>818</v>
      </c>
      <c r="K351" s="36" t="s">
        <v>819</v>
      </c>
      <c r="L351" s="37" t="s">
        <v>820</v>
      </c>
      <c r="M351" s="37"/>
      <c r="N351" s="37"/>
      <c r="O351" s="37"/>
      <c r="P351" s="37"/>
      <c r="Q351" s="37"/>
      <c r="R351" s="65"/>
      <c r="S351" s="65"/>
      <c r="T351" s="65"/>
      <c r="U351" s="65"/>
      <c r="V351" s="65"/>
      <c r="W351" s="65"/>
      <c r="X351" s="65"/>
      <c r="Y351" s="65"/>
      <c r="Z351" s="37"/>
      <c r="AA351" s="37"/>
      <c r="AB351" s="37"/>
      <c r="AC351" s="37"/>
      <c r="AD351" s="37"/>
      <c r="AE351" s="37"/>
      <c r="AF351" s="167">
        <v>45969</v>
      </c>
    </row>
    <row r="352" spans="1:32" s="28" customFormat="1" x14ac:dyDescent="0.25">
      <c r="A352" s="35">
        <v>45991</v>
      </c>
      <c r="B352" s="36" t="s">
        <v>790</v>
      </c>
      <c r="C352" s="37" t="s">
        <v>32</v>
      </c>
      <c r="D352" s="37">
        <v>42</v>
      </c>
      <c r="E352" s="65">
        <v>0.22569444444444445</v>
      </c>
      <c r="F352" s="65">
        <v>0.22777777777777777</v>
      </c>
      <c r="G352" s="65">
        <v>0.2951388888888889</v>
      </c>
      <c r="H352" s="65">
        <v>0.28749999999999998</v>
      </c>
      <c r="I352" s="38">
        <f t="shared" si="9"/>
        <v>5.9722222222222204E-2</v>
      </c>
      <c r="J352" s="65">
        <v>0</v>
      </c>
      <c r="K352" s="37">
        <v>0</v>
      </c>
      <c r="L352" s="37" t="s">
        <v>33</v>
      </c>
      <c r="M352" s="37">
        <v>11</v>
      </c>
      <c r="N352" s="37">
        <v>0</v>
      </c>
      <c r="O352" s="37">
        <v>0</v>
      </c>
      <c r="P352" s="37">
        <v>0</v>
      </c>
      <c r="Q352" s="37">
        <v>0</v>
      </c>
      <c r="R352" s="65">
        <v>0.2298611111111111</v>
      </c>
      <c r="S352" s="65">
        <v>0.27986111111111112</v>
      </c>
      <c r="T352" s="65">
        <v>0.23055555555555557</v>
      </c>
      <c r="U352" s="65">
        <v>0.24861111111111112</v>
      </c>
      <c r="V352" s="65">
        <v>0.24930555555555556</v>
      </c>
      <c r="W352" s="65">
        <v>0.27708333333333335</v>
      </c>
      <c r="X352" s="65">
        <v>0.26041666666666669</v>
      </c>
      <c r="Y352" s="65">
        <v>0.28472222222222221</v>
      </c>
      <c r="Z352" s="37" t="s">
        <v>101</v>
      </c>
      <c r="AA352" s="37"/>
      <c r="AB352" s="37">
        <v>20</v>
      </c>
      <c r="AC352" s="37">
        <v>11</v>
      </c>
      <c r="AD352" s="37">
        <v>9</v>
      </c>
      <c r="AE352" s="37">
        <v>8</v>
      </c>
      <c r="AF352" s="167">
        <v>45991</v>
      </c>
    </row>
    <row r="353" spans="1:32" s="28" customFormat="1" x14ac:dyDescent="0.25">
      <c r="A353" s="35">
        <v>45992</v>
      </c>
      <c r="B353" s="36" t="s">
        <v>621</v>
      </c>
      <c r="C353" s="37" t="s">
        <v>35</v>
      </c>
      <c r="D353" s="37">
        <v>43</v>
      </c>
      <c r="E353" s="65">
        <v>0.18055555555555555</v>
      </c>
      <c r="F353" s="65">
        <v>0.37569444444444444</v>
      </c>
      <c r="G353" s="65">
        <v>0.24305555555555555</v>
      </c>
      <c r="H353" s="65">
        <v>0.43055555555555558</v>
      </c>
      <c r="I353" s="38">
        <f t="shared" si="9"/>
        <v>5.4861111111111138E-2</v>
      </c>
      <c r="J353" s="65">
        <v>0</v>
      </c>
      <c r="K353" s="37" t="s">
        <v>82</v>
      </c>
      <c r="L353" s="37" t="s">
        <v>809</v>
      </c>
      <c r="M353" s="37">
        <v>12</v>
      </c>
      <c r="N353" s="37">
        <v>0</v>
      </c>
      <c r="O353" s="37">
        <v>0</v>
      </c>
      <c r="P353" s="37">
        <v>0</v>
      </c>
      <c r="Q353" s="37">
        <v>0</v>
      </c>
      <c r="R353" s="65">
        <v>0.38055555555555554</v>
      </c>
      <c r="S353" s="65">
        <v>0.42083333333333334</v>
      </c>
      <c r="T353" s="65">
        <v>0.38055555555555554</v>
      </c>
      <c r="U353" s="65">
        <v>0.40138888888888891</v>
      </c>
      <c r="V353" s="65">
        <v>0.40208333333333335</v>
      </c>
      <c r="W353" s="65">
        <v>0.42083333333333334</v>
      </c>
      <c r="X353" s="65">
        <v>0.39583333333333331</v>
      </c>
      <c r="Y353" s="65">
        <v>0.42499999999999999</v>
      </c>
      <c r="Z353" s="37" t="s">
        <v>34</v>
      </c>
      <c r="AA353" s="37"/>
      <c r="AB353" s="37">
        <v>28</v>
      </c>
      <c r="AC353" s="37">
        <v>0</v>
      </c>
      <c r="AD353" s="37">
        <v>18</v>
      </c>
      <c r="AE353" s="37">
        <v>2</v>
      </c>
      <c r="AF353" s="167">
        <v>45992</v>
      </c>
    </row>
    <row r="354" spans="1:32" s="28" customFormat="1" x14ac:dyDescent="0.25">
      <c r="A354" s="35">
        <v>45993</v>
      </c>
      <c r="B354" s="36" t="s">
        <v>621</v>
      </c>
      <c r="C354" s="37" t="s">
        <v>32</v>
      </c>
      <c r="D354" s="37">
        <v>43</v>
      </c>
      <c r="E354" s="65">
        <v>0.22916666666666666</v>
      </c>
      <c r="F354" s="65">
        <v>0.20902777777777778</v>
      </c>
      <c r="G354" s="65">
        <v>0.2986111111111111</v>
      </c>
      <c r="H354" s="65">
        <v>0.26527777777777778</v>
      </c>
      <c r="I354" s="38">
        <f t="shared" si="9"/>
        <v>5.6249999999999994E-2</v>
      </c>
      <c r="J354" s="37">
        <v>0</v>
      </c>
      <c r="K354" s="37">
        <v>0</v>
      </c>
      <c r="L354" s="37" t="s">
        <v>33</v>
      </c>
      <c r="M354" s="37">
        <v>11</v>
      </c>
      <c r="N354" s="37">
        <v>0</v>
      </c>
      <c r="O354" s="37">
        <v>0</v>
      </c>
      <c r="P354" s="37">
        <v>0</v>
      </c>
      <c r="Q354" s="37">
        <v>0</v>
      </c>
      <c r="R354" s="65">
        <v>0.21111111111111111</v>
      </c>
      <c r="S354" s="65">
        <v>0.25138888888888888</v>
      </c>
      <c r="T354" s="65">
        <v>0.21527777777777779</v>
      </c>
      <c r="U354" s="65">
        <v>0.23402777777777778</v>
      </c>
      <c r="V354" s="65">
        <v>0.23472222222222222</v>
      </c>
      <c r="W354" s="65">
        <v>0.25138888888888888</v>
      </c>
      <c r="X354" s="37"/>
      <c r="Y354" s="65">
        <v>0.26250000000000001</v>
      </c>
      <c r="Z354" s="37" t="s">
        <v>72</v>
      </c>
      <c r="AA354" s="37"/>
      <c r="AB354" s="37">
        <v>26</v>
      </c>
      <c r="AC354" s="37">
        <v>0</v>
      </c>
      <c r="AD354" s="37">
        <v>17</v>
      </c>
      <c r="AE354" s="37">
        <v>6</v>
      </c>
      <c r="AF354" s="167">
        <v>45993</v>
      </c>
    </row>
    <row r="355" spans="1:32" s="28" customFormat="1" x14ac:dyDescent="0.25">
      <c r="A355" s="35">
        <v>45994</v>
      </c>
      <c r="B355" s="36" t="s">
        <v>621</v>
      </c>
      <c r="C355" s="37" t="s">
        <v>46</v>
      </c>
      <c r="D355" s="37">
        <v>43</v>
      </c>
      <c r="E355" s="65">
        <v>0.22916666666666666</v>
      </c>
      <c r="F355" s="65">
        <v>0.21319444444444444</v>
      </c>
      <c r="G355" s="65">
        <v>0.2986111111111111</v>
      </c>
      <c r="H355" s="65">
        <v>0.27430555555555558</v>
      </c>
      <c r="I355" s="38">
        <f t="shared" si="9"/>
        <v>6.1111111111111144E-2</v>
      </c>
      <c r="J355" s="37">
        <v>0</v>
      </c>
      <c r="K355" s="37">
        <v>0</v>
      </c>
      <c r="L355" s="37" t="s">
        <v>33</v>
      </c>
      <c r="M355" s="37">
        <v>12</v>
      </c>
      <c r="N355" s="37">
        <v>0</v>
      </c>
      <c r="O355" s="37">
        <v>0</v>
      </c>
      <c r="P355" s="37">
        <v>0</v>
      </c>
      <c r="Q355" s="37">
        <v>0</v>
      </c>
      <c r="R355" s="65">
        <v>0.21388888888888888</v>
      </c>
      <c r="S355" s="65">
        <v>0.25347222222222221</v>
      </c>
      <c r="T355" s="65">
        <v>0.21597222222222223</v>
      </c>
      <c r="U355" s="65">
        <v>0.22916666666666666</v>
      </c>
      <c r="V355" s="65">
        <v>0.22222222222222221</v>
      </c>
      <c r="W355" s="65">
        <v>0.25347222222222221</v>
      </c>
      <c r="X355" s="65">
        <v>0.23819444444444443</v>
      </c>
      <c r="Y355" s="65">
        <v>0.2722222222222222</v>
      </c>
      <c r="Z355" s="37" t="s">
        <v>90</v>
      </c>
      <c r="AA355" s="37"/>
      <c r="AB355" s="37"/>
      <c r="AC355" s="37"/>
      <c r="AD355" s="37"/>
      <c r="AE355" s="37"/>
      <c r="AF355" s="167">
        <v>45994</v>
      </c>
    </row>
    <row r="356" spans="1:32" s="28" customFormat="1" x14ac:dyDescent="0.25">
      <c r="A356" s="35">
        <v>45995</v>
      </c>
      <c r="B356" s="36" t="s">
        <v>621</v>
      </c>
      <c r="C356" s="37" t="s">
        <v>38</v>
      </c>
      <c r="D356" s="37">
        <v>43</v>
      </c>
      <c r="E356" s="65">
        <v>0.22916666666666666</v>
      </c>
      <c r="F356" s="65">
        <v>0.22777777777777777</v>
      </c>
      <c r="G356" s="65">
        <v>0.2986111111111111</v>
      </c>
      <c r="H356" s="65">
        <v>0.27916666666666667</v>
      </c>
      <c r="I356" s="38">
        <f t="shared" si="9"/>
        <v>5.1388888888888901E-2</v>
      </c>
      <c r="J356" s="37">
        <v>0</v>
      </c>
      <c r="K356" s="37">
        <v>0</v>
      </c>
      <c r="L356" s="37" t="s">
        <v>33</v>
      </c>
      <c r="M356" s="37">
        <v>12</v>
      </c>
      <c r="N356" s="37">
        <v>0</v>
      </c>
      <c r="O356" s="37">
        <v>0</v>
      </c>
      <c r="P356" s="37">
        <v>0</v>
      </c>
      <c r="Q356" s="37">
        <v>0</v>
      </c>
      <c r="R356" s="65">
        <v>0.23194444444444445</v>
      </c>
      <c r="S356" s="65">
        <v>0.27430555555555558</v>
      </c>
      <c r="T356" s="65">
        <v>0.23402777777777778</v>
      </c>
      <c r="U356" s="65">
        <v>0.25</v>
      </c>
      <c r="V356" s="65">
        <v>0.25</v>
      </c>
      <c r="W356" s="65">
        <v>0.2673611111111111</v>
      </c>
      <c r="X356" s="65">
        <v>0.25</v>
      </c>
      <c r="Y356" s="65">
        <v>0.27916666666666667</v>
      </c>
      <c r="Z356" s="37" t="s">
        <v>90</v>
      </c>
      <c r="AA356" s="37"/>
      <c r="AB356" s="37"/>
      <c r="AC356" s="37"/>
      <c r="AD356" s="37"/>
      <c r="AE356" s="37"/>
      <c r="AF356" s="167">
        <v>45995</v>
      </c>
    </row>
    <row r="357" spans="1:32" s="28" customFormat="1" x14ac:dyDescent="0.25">
      <c r="A357" s="35">
        <v>45996</v>
      </c>
      <c r="B357" s="36" t="s">
        <v>621</v>
      </c>
      <c r="C357" s="37" t="s">
        <v>39</v>
      </c>
      <c r="D357" s="37">
        <v>44</v>
      </c>
      <c r="E357" s="65">
        <v>0.22916666666666666</v>
      </c>
      <c r="F357" s="65">
        <v>0.21041666666666667</v>
      </c>
      <c r="G357" s="65">
        <v>0.2986111111111111</v>
      </c>
      <c r="H357" s="65">
        <v>0.26597222222222222</v>
      </c>
      <c r="I357" s="38">
        <f t="shared" si="9"/>
        <v>5.5555555555555552E-2</v>
      </c>
      <c r="J357" s="37">
        <v>0</v>
      </c>
      <c r="K357" s="37">
        <v>0</v>
      </c>
      <c r="L357" s="37" t="s">
        <v>33</v>
      </c>
      <c r="M357" s="37">
        <v>12</v>
      </c>
      <c r="N357" s="37">
        <v>0</v>
      </c>
      <c r="O357" s="37">
        <v>0</v>
      </c>
      <c r="P357" s="37">
        <v>0</v>
      </c>
      <c r="Q357" s="37">
        <v>0</v>
      </c>
      <c r="R357" s="65">
        <v>0.21180555555555555</v>
      </c>
      <c r="S357" s="65">
        <v>0.24374999999999999</v>
      </c>
      <c r="T357" s="65">
        <v>0.21319444444444444</v>
      </c>
      <c r="U357" s="65">
        <v>0.22152777777777777</v>
      </c>
      <c r="V357" s="65">
        <v>0.22152777777777777</v>
      </c>
      <c r="W357" s="65">
        <v>0.24374999999999999</v>
      </c>
      <c r="X357" s="65">
        <v>0.24097222222222223</v>
      </c>
      <c r="Y357" s="65">
        <v>0.26597222222222222</v>
      </c>
      <c r="Z357" s="37" t="s">
        <v>821</v>
      </c>
      <c r="AA357" s="37"/>
      <c r="AB357" s="37"/>
      <c r="AC357" s="37"/>
      <c r="AD357" s="37"/>
      <c r="AE357" s="37"/>
      <c r="AF357" s="167">
        <v>45996</v>
      </c>
    </row>
    <row r="358" spans="1:32" s="28" customFormat="1" x14ac:dyDescent="0.25">
      <c r="A358" s="35">
        <v>45997</v>
      </c>
      <c r="B358" s="36" t="s">
        <v>621</v>
      </c>
      <c r="C358" s="37" t="s">
        <v>38</v>
      </c>
      <c r="D358" s="37">
        <v>43</v>
      </c>
      <c r="E358" s="65">
        <v>0.27083333333333331</v>
      </c>
      <c r="F358" s="65">
        <v>0.26666666666666666</v>
      </c>
      <c r="G358" s="65">
        <v>0.33333333333333331</v>
      </c>
      <c r="H358" s="65">
        <v>0.32222222222222224</v>
      </c>
      <c r="I358" s="38">
        <f t="shared" si="9"/>
        <v>5.555555555555558E-2</v>
      </c>
      <c r="J358" s="37">
        <v>0</v>
      </c>
      <c r="K358" s="37">
        <v>0</v>
      </c>
      <c r="L358" s="37" t="s">
        <v>33</v>
      </c>
      <c r="M358" s="37">
        <v>12</v>
      </c>
      <c r="N358" s="37">
        <v>0</v>
      </c>
      <c r="O358" s="37">
        <v>0</v>
      </c>
      <c r="P358" s="37">
        <v>0</v>
      </c>
      <c r="Q358" s="37">
        <v>0</v>
      </c>
      <c r="R358" s="65">
        <v>0.27986111111111112</v>
      </c>
      <c r="S358" s="65">
        <v>0.31111111111111112</v>
      </c>
      <c r="T358" s="65">
        <v>0.27986111111111112</v>
      </c>
      <c r="U358" s="65">
        <v>0.29444444444444445</v>
      </c>
      <c r="V358" s="65">
        <v>0.2951388888888889</v>
      </c>
      <c r="W358" s="65">
        <v>0.31111111111111112</v>
      </c>
      <c r="X358" s="65">
        <v>0.30763888888888891</v>
      </c>
      <c r="Y358" s="65">
        <v>0.32222222222222224</v>
      </c>
      <c r="Z358" s="37" t="s">
        <v>72</v>
      </c>
      <c r="AA358" s="37"/>
      <c r="AB358" s="37"/>
      <c r="AC358" s="37"/>
      <c r="AD358" s="37"/>
      <c r="AE358" s="37"/>
      <c r="AF358" s="167">
        <v>45997</v>
      </c>
    </row>
    <row r="359" spans="1:32" s="28" customFormat="1" x14ac:dyDescent="0.25">
      <c r="A359" s="35">
        <v>45997</v>
      </c>
      <c r="B359" s="36" t="s">
        <v>36</v>
      </c>
      <c r="C359" s="37" t="s">
        <v>57</v>
      </c>
      <c r="D359" s="37">
        <v>45</v>
      </c>
      <c r="E359" s="65">
        <v>0.46527777777777779</v>
      </c>
      <c r="F359" s="65">
        <v>0.43055555555555558</v>
      </c>
      <c r="G359" s="65">
        <v>0.54861111111111116</v>
      </c>
      <c r="H359" s="65">
        <v>0.55277777777777781</v>
      </c>
      <c r="I359" s="38">
        <f t="shared" si="9"/>
        <v>0.12222222222222223</v>
      </c>
      <c r="J359" s="39">
        <v>4.1666666666666666E-3</v>
      </c>
      <c r="K359" s="36">
        <v>89</v>
      </c>
      <c r="L359" s="37" t="s">
        <v>822</v>
      </c>
      <c r="M359" s="37"/>
      <c r="N359" s="37"/>
      <c r="O359" s="37"/>
      <c r="P359" s="37"/>
      <c r="Q359" s="37"/>
      <c r="R359" s="65"/>
      <c r="S359" s="65"/>
      <c r="T359" s="65"/>
      <c r="U359" s="65"/>
      <c r="V359" s="65"/>
      <c r="W359" s="65"/>
      <c r="X359" s="65"/>
      <c r="Y359" s="65"/>
      <c r="Z359" s="37"/>
      <c r="AA359" s="37"/>
      <c r="AB359" s="37"/>
      <c r="AC359" s="37"/>
      <c r="AD359" s="37"/>
      <c r="AE359" s="37"/>
      <c r="AF359" s="167">
        <v>45998</v>
      </c>
    </row>
    <row r="360" spans="1:32" s="28" customFormat="1" x14ac:dyDescent="0.25">
      <c r="A360" s="35">
        <v>45998</v>
      </c>
      <c r="B360" s="36" t="s">
        <v>790</v>
      </c>
      <c r="C360" s="37" t="s">
        <v>46</v>
      </c>
      <c r="D360" s="37">
        <v>43</v>
      </c>
      <c r="E360" s="65">
        <v>0.22916666666666666</v>
      </c>
      <c r="F360" s="65">
        <v>0.23402777777777778</v>
      </c>
      <c r="G360" s="65">
        <v>0.2986111111111111</v>
      </c>
      <c r="H360" s="65">
        <v>0.28958333333333336</v>
      </c>
      <c r="I360" s="38">
        <f>H360-F360</f>
        <v>5.555555555555558E-2</v>
      </c>
      <c r="J360" s="39">
        <v>0</v>
      </c>
      <c r="K360" s="36">
        <v>0</v>
      </c>
      <c r="L360" s="37" t="s">
        <v>33</v>
      </c>
      <c r="M360" s="37">
        <v>12</v>
      </c>
      <c r="N360" s="37">
        <v>0</v>
      </c>
      <c r="O360" s="37">
        <v>0</v>
      </c>
      <c r="P360" s="37">
        <v>0</v>
      </c>
      <c r="Q360" s="37">
        <v>0</v>
      </c>
      <c r="R360" s="65">
        <v>0.23541666666666666</v>
      </c>
      <c r="S360" s="65"/>
      <c r="T360" s="65">
        <v>0.2361111111111111</v>
      </c>
      <c r="U360" s="65">
        <v>0.25416666666666665</v>
      </c>
      <c r="V360" s="65">
        <v>0.25486111111111109</v>
      </c>
      <c r="W360" s="65">
        <v>0.27500000000000002</v>
      </c>
      <c r="X360" s="65"/>
      <c r="Y360" s="65">
        <v>0.28680555555555554</v>
      </c>
      <c r="Z360" s="37" t="s">
        <v>34</v>
      </c>
      <c r="AA360" s="37"/>
      <c r="AB360" s="37"/>
      <c r="AC360" s="37"/>
      <c r="AD360" s="37"/>
      <c r="AE360" s="37"/>
      <c r="AF360" s="167">
        <v>45998</v>
      </c>
    </row>
    <row r="361" spans="1:32" s="28" customFormat="1" x14ac:dyDescent="0.25">
      <c r="A361" s="35">
        <v>45999</v>
      </c>
      <c r="B361" s="36" t="s">
        <v>621</v>
      </c>
      <c r="C361" s="37" t="s">
        <v>48</v>
      </c>
      <c r="D361" s="37">
        <v>44</v>
      </c>
      <c r="E361" s="65">
        <v>0.1736111111111111</v>
      </c>
      <c r="F361" s="65">
        <v>0.18194444444444444</v>
      </c>
      <c r="G361" s="65">
        <v>0.24305555555555555</v>
      </c>
      <c r="H361" s="65">
        <v>0.24513888888888888</v>
      </c>
      <c r="I361" s="38">
        <f t="shared" si="9"/>
        <v>6.3194444444444442E-2</v>
      </c>
      <c r="J361" s="65">
        <v>2.0833333333333333E-3</v>
      </c>
      <c r="K361" s="37" t="s">
        <v>50</v>
      </c>
      <c r="L361" s="37" t="s">
        <v>750</v>
      </c>
      <c r="M361" s="37">
        <v>12</v>
      </c>
      <c r="N361" s="37">
        <v>0</v>
      </c>
      <c r="O361" s="37">
        <v>0</v>
      </c>
      <c r="P361" s="37">
        <v>0</v>
      </c>
      <c r="Q361" s="37">
        <v>0</v>
      </c>
      <c r="R361" s="65">
        <v>0.18680555555555556</v>
      </c>
      <c r="S361" s="65">
        <v>0.23472222222222222</v>
      </c>
      <c r="T361" s="65">
        <v>0.18819444444444444</v>
      </c>
      <c r="U361" s="65">
        <v>0.2076388888888889</v>
      </c>
      <c r="V361" s="65">
        <v>0.20902777777777778</v>
      </c>
      <c r="W361" s="65">
        <v>0.23125000000000001</v>
      </c>
      <c r="X361" s="37"/>
      <c r="Y361" s="65">
        <v>0.23819444444444443</v>
      </c>
      <c r="Z361" s="37" t="s">
        <v>34</v>
      </c>
      <c r="AA361" s="37"/>
      <c r="AB361" s="37"/>
      <c r="AC361" s="37"/>
      <c r="AD361" s="37"/>
      <c r="AE361" s="37"/>
      <c r="AF361" s="167">
        <v>45999</v>
      </c>
    </row>
    <row r="362" spans="1:32" s="28" customFormat="1" x14ac:dyDescent="0.25">
      <c r="A362" s="35">
        <v>46000</v>
      </c>
      <c r="B362" s="36" t="s">
        <v>621</v>
      </c>
      <c r="C362" s="36" t="s">
        <v>621</v>
      </c>
      <c r="D362" s="37">
        <v>43</v>
      </c>
      <c r="E362" s="65">
        <v>0.22916666666666666</v>
      </c>
      <c r="F362" s="65">
        <v>0.31319444444444444</v>
      </c>
      <c r="G362" s="65">
        <v>0.2986111111111111</v>
      </c>
      <c r="H362" s="65">
        <v>0.35972222222222222</v>
      </c>
      <c r="I362" s="38">
        <f t="shared" si="9"/>
        <v>4.6527777777777779E-2</v>
      </c>
      <c r="J362" s="65">
        <v>6.1111111111111109E-2</v>
      </c>
      <c r="K362" s="37" t="s">
        <v>50</v>
      </c>
      <c r="L362" s="37" t="s">
        <v>750</v>
      </c>
      <c r="M362" s="37">
        <v>12</v>
      </c>
      <c r="N362" s="37">
        <v>0</v>
      </c>
      <c r="O362" s="37">
        <v>0</v>
      </c>
      <c r="P362" s="37">
        <v>0</v>
      </c>
      <c r="Q362" s="37">
        <v>0</v>
      </c>
      <c r="R362" s="65">
        <v>0.31388888888888888</v>
      </c>
      <c r="S362" s="65">
        <v>0.34861111111111109</v>
      </c>
      <c r="T362" s="65">
        <v>0.31666666666666665</v>
      </c>
      <c r="U362" s="65">
        <v>0.32777777777777778</v>
      </c>
      <c r="V362" s="65">
        <v>0.33194444444444443</v>
      </c>
      <c r="W362" s="65">
        <v>0.34861111111111109</v>
      </c>
      <c r="X362" s="65">
        <v>0.34097222222222223</v>
      </c>
      <c r="Y362" s="65">
        <v>0.35416666666666669</v>
      </c>
      <c r="Z362" s="37" t="s">
        <v>72</v>
      </c>
      <c r="AA362" s="37"/>
      <c r="AB362" s="37"/>
      <c r="AC362" s="37"/>
      <c r="AD362" s="37"/>
      <c r="AE362" s="37"/>
      <c r="AF362" s="167">
        <v>46000</v>
      </c>
    </row>
    <row r="363" spans="1:32" s="28" customFormat="1" x14ac:dyDescent="0.25">
      <c r="A363" s="35">
        <v>46001</v>
      </c>
      <c r="B363" s="36" t="s">
        <v>621</v>
      </c>
      <c r="C363" s="37" t="s">
        <v>32</v>
      </c>
      <c r="D363" s="37">
        <v>44</v>
      </c>
      <c r="E363" s="65">
        <v>0.22916666666666666</v>
      </c>
      <c r="F363" s="65">
        <v>0.25277777777777777</v>
      </c>
      <c r="G363" s="65">
        <v>0.2986111111111111</v>
      </c>
      <c r="H363" s="65">
        <v>0.30416666666666664</v>
      </c>
      <c r="I363" s="38">
        <f t="shared" si="9"/>
        <v>5.1388888888888873E-2</v>
      </c>
      <c r="J363" s="65">
        <v>5.5555555555555558E-3</v>
      </c>
      <c r="K363" s="37" t="s">
        <v>50</v>
      </c>
      <c r="L363" s="37" t="s">
        <v>750</v>
      </c>
      <c r="M363" s="37">
        <v>12</v>
      </c>
      <c r="N363" s="37">
        <v>0</v>
      </c>
      <c r="O363" s="37">
        <v>0</v>
      </c>
      <c r="P363" s="37">
        <v>0</v>
      </c>
      <c r="Q363" s="37">
        <v>0</v>
      </c>
      <c r="R363" s="65">
        <v>0.25486111111111109</v>
      </c>
      <c r="S363" s="65">
        <v>0.29652777777777778</v>
      </c>
      <c r="T363" s="65">
        <v>0.25555555555555554</v>
      </c>
      <c r="U363" s="65">
        <v>0.27013888888888887</v>
      </c>
      <c r="V363" s="65">
        <v>0.27083333333333331</v>
      </c>
      <c r="W363" s="65">
        <v>0.29444444444444445</v>
      </c>
      <c r="X363" s="65">
        <v>0.26527777777777778</v>
      </c>
      <c r="Y363" s="65">
        <v>0.30208333333333331</v>
      </c>
      <c r="Z363" s="37" t="s">
        <v>90</v>
      </c>
      <c r="AA363" s="37"/>
      <c r="AB363" s="37"/>
      <c r="AC363" s="37"/>
      <c r="AD363" s="37"/>
      <c r="AE363" s="37"/>
      <c r="AF363" s="167">
        <v>46001</v>
      </c>
    </row>
    <row r="364" spans="1:32" s="28" customFormat="1" x14ac:dyDescent="0.25">
      <c r="A364" s="35">
        <v>46002</v>
      </c>
      <c r="B364" s="36" t="s">
        <v>621</v>
      </c>
      <c r="C364" s="37" t="s">
        <v>46</v>
      </c>
      <c r="D364" s="37">
        <v>44</v>
      </c>
      <c r="E364" s="65">
        <v>0.22916666666666666</v>
      </c>
      <c r="F364" s="65">
        <v>0.33958333333333335</v>
      </c>
      <c r="G364" s="65">
        <v>0.2986111111111111</v>
      </c>
      <c r="H364" s="65">
        <v>0.39305555555555555</v>
      </c>
      <c r="I364" s="38">
        <f t="shared" si="9"/>
        <v>5.3472222222222199E-2</v>
      </c>
      <c r="J364" s="65">
        <v>9.4444444444444442E-2</v>
      </c>
      <c r="K364" s="37" t="s">
        <v>50</v>
      </c>
      <c r="L364" s="37" t="s">
        <v>750</v>
      </c>
      <c r="M364" s="37">
        <v>12</v>
      </c>
      <c r="N364" s="37">
        <v>0</v>
      </c>
      <c r="O364" s="37">
        <v>0</v>
      </c>
      <c r="P364" s="37">
        <v>0</v>
      </c>
      <c r="Q364" s="37">
        <v>0</v>
      </c>
      <c r="R364" s="65">
        <v>0.34097222222222223</v>
      </c>
      <c r="S364" s="65">
        <v>0.38472222222222224</v>
      </c>
      <c r="T364" s="65">
        <v>0.34166666666666667</v>
      </c>
      <c r="U364" s="65">
        <v>0.36527777777777776</v>
      </c>
      <c r="V364" s="65">
        <v>0.3659722222222222</v>
      </c>
      <c r="W364" s="65">
        <v>0.38333333333333336</v>
      </c>
      <c r="X364" s="65">
        <v>0.36388888888888887</v>
      </c>
      <c r="Y364" s="65">
        <v>0.38750000000000001</v>
      </c>
      <c r="Z364" s="37" t="s">
        <v>90</v>
      </c>
      <c r="AA364" s="37"/>
      <c r="AB364" s="37"/>
      <c r="AC364" s="37"/>
      <c r="AD364" s="37"/>
      <c r="AE364" s="37"/>
      <c r="AF364" s="167">
        <v>46002</v>
      </c>
    </row>
    <row r="365" spans="1:32" s="28" customFormat="1" x14ac:dyDescent="0.25">
      <c r="A365" s="35">
        <v>46003</v>
      </c>
      <c r="B365" s="36" t="s">
        <v>621</v>
      </c>
      <c r="C365" s="37" t="s">
        <v>39</v>
      </c>
      <c r="D365" s="37">
        <v>43</v>
      </c>
      <c r="E365" s="65">
        <v>0.22916666666666666</v>
      </c>
      <c r="F365" s="65">
        <v>0.20902777777777778</v>
      </c>
      <c r="G365" s="65">
        <v>0.2986111111111111</v>
      </c>
      <c r="H365" s="65">
        <v>0.27777777777777779</v>
      </c>
      <c r="I365" s="38">
        <f t="shared" si="9"/>
        <v>6.8750000000000006E-2</v>
      </c>
      <c r="J365" s="37">
        <v>0</v>
      </c>
      <c r="K365" s="37">
        <v>0</v>
      </c>
      <c r="L365" s="37" t="s">
        <v>33</v>
      </c>
      <c r="M365" s="37">
        <v>12</v>
      </c>
      <c r="N365" s="37">
        <v>0</v>
      </c>
      <c r="O365" s="37">
        <v>0</v>
      </c>
      <c r="P365" s="37">
        <v>0</v>
      </c>
      <c r="Q365" s="37">
        <v>0</v>
      </c>
      <c r="R365" s="65">
        <v>0.21180555555555555</v>
      </c>
      <c r="S365" s="65">
        <v>0.25</v>
      </c>
      <c r="T365" s="65">
        <v>0.21180555555555555</v>
      </c>
      <c r="U365" s="65">
        <v>0.22777777777777777</v>
      </c>
      <c r="V365" s="65">
        <v>0.22847222222222222</v>
      </c>
      <c r="W365" s="65">
        <v>0.25</v>
      </c>
      <c r="X365" s="65">
        <v>0.23749999999999999</v>
      </c>
      <c r="Y365" s="65">
        <v>0.27152777777777776</v>
      </c>
      <c r="Z365" s="37" t="s">
        <v>40</v>
      </c>
      <c r="AA365" s="37"/>
      <c r="AB365" s="37"/>
      <c r="AC365" s="37"/>
      <c r="AD365" s="37"/>
      <c r="AE365" s="37"/>
      <c r="AF365" s="167">
        <v>46003</v>
      </c>
    </row>
    <row r="366" spans="1:32" s="28" customFormat="1" x14ac:dyDescent="0.25">
      <c r="A366" s="35">
        <v>46004</v>
      </c>
      <c r="B366" s="36" t="s">
        <v>621</v>
      </c>
      <c r="C366" s="37" t="s">
        <v>38</v>
      </c>
      <c r="D366" s="37">
        <v>43</v>
      </c>
      <c r="E366" s="65">
        <v>0.27083333333333331</v>
      </c>
      <c r="F366" s="65">
        <v>0.2590277777777778</v>
      </c>
      <c r="G366" s="65">
        <v>0.33333333333333331</v>
      </c>
      <c r="H366" s="65">
        <v>0.31180555555555556</v>
      </c>
      <c r="I366" s="38">
        <f t="shared" si="9"/>
        <v>5.2777777777777757E-2</v>
      </c>
      <c r="J366" s="37">
        <v>0</v>
      </c>
      <c r="K366" s="37">
        <v>0</v>
      </c>
      <c r="L366" s="37" t="s">
        <v>33</v>
      </c>
      <c r="M366" s="37">
        <v>12</v>
      </c>
      <c r="N366" s="37">
        <v>0</v>
      </c>
      <c r="O366" s="37">
        <v>0</v>
      </c>
      <c r="P366" s="37">
        <v>0</v>
      </c>
      <c r="Q366" s="37">
        <v>0</v>
      </c>
      <c r="R366" s="65">
        <v>0.2590277777777778</v>
      </c>
      <c r="S366" s="65">
        <v>0.30486111111111114</v>
      </c>
      <c r="T366" s="65">
        <v>0.26041666666666669</v>
      </c>
      <c r="U366" s="65">
        <v>0.27500000000000002</v>
      </c>
      <c r="V366" s="65">
        <v>0.2638888888888889</v>
      </c>
      <c r="W366" s="65">
        <v>0.30486111111111114</v>
      </c>
      <c r="X366" s="65">
        <v>0.28125</v>
      </c>
      <c r="Y366" s="65">
        <v>0.30694444444444446</v>
      </c>
      <c r="Z366" s="37" t="s">
        <v>72</v>
      </c>
      <c r="AA366" s="37"/>
      <c r="AB366" s="37"/>
      <c r="AC366" s="37"/>
      <c r="AD366" s="37"/>
      <c r="AE366" s="37"/>
      <c r="AF366" s="167">
        <v>46004</v>
      </c>
    </row>
    <row r="367" spans="1:32" s="28" customFormat="1" x14ac:dyDescent="0.25">
      <c r="A367" s="35">
        <v>46004</v>
      </c>
      <c r="B367" s="36" t="s">
        <v>36</v>
      </c>
      <c r="C367" s="37" t="s">
        <v>795</v>
      </c>
      <c r="D367" s="37">
        <v>45</v>
      </c>
      <c r="E367" s="65">
        <v>0.46527777777777779</v>
      </c>
      <c r="F367" s="65">
        <v>0.44722222222222224</v>
      </c>
      <c r="G367" s="65">
        <v>0.54861111111111116</v>
      </c>
      <c r="H367" s="65">
        <v>0.54374999999999996</v>
      </c>
      <c r="I367" s="38">
        <f t="shared" ref="I367" si="14">H367-F367</f>
        <v>9.6527777777777712E-2</v>
      </c>
      <c r="J367" s="39"/>
      <c r="K367" s="36"/>
      <c r="L367" s="37" t="s">
        <v>242</v>
      </c>
      <c r="M367" s="37"/>
      <c r="N367" s="37"/>
      <c r="O367" s="37"/>
      <c r="P367" s="37"/>
      <c r="Q367" s="37"/>
      <c r="R367" s="65"/>
      <c r="S367" s="65"/>
      <c r="T367" s="65"/>
      <c r="U367" s="65"/>
      <c r="V367" s="65"/>
      <c r="W367" s="65"/>
      <c r="X367" s="65"/>
      <c r="Y367" s="65"/>
      <c r="Z367" s="37"/>
      <c r="AA367" s="37"/>
      <c r="AB367" s="37"/>
      <c r="AC367" s="37"/>
      <c r="AD367" s="37"/>
      <c r="AE367" s="37"/>
      <c r="AF367" s="167">
        <v>45998</v>
      </c>
    </row>
    <row r="368" spans="1:32" s="28" customFormat="1" x14ac:dyDescent="0.25">
      <c r="A368" s="35">
        <v>46005</v>
      </c>
      <c r="B368" s="36" t="s">
        <v>790</v>
      </c>
      <c r="C368" s="37" t="s">
        <v>48</v>
      </c>
      <c r="D368" s="37">
        <v>41</v>
      </c>
      <c r="E368" s="65">
        <v>0.22916666666666666</v>
      </c>
      <c r="F368" s="65">
        <v>0.21944444444444444</v>
      </c>
      <c r="G368" s="65">
        <v>0.2986111111111111</v>
      </c>
      <c r="H368" s="65">
        <v>0.27638888888888891</v>
      </c>
      <c r="I368" s="38">
        <f t="shared" si="9"/>
        <v>5.6944444444444464E-2</v>
      </c>
      <c r="J368" s="37">
        <v>0</v>
      </c>
      <c r="K368" s="37">
        <v>0</v>
      </c>
      <c r="L368" s="37" t="s">
        <v>242</v>
      </c>
      <c r="M368" s="37">
        <v>12</v>
      </c>
      <c r="N368" s="37">
        <v>0</v>
      </c>
      <c r="O368" s="37">
        <v>0</v>
      </c>
      <c r="P368" s="37">
        <v>0</v>
      </c>
      <c r="Q368" s="37">
        <v>0</v>
      </c>
      <c r="R368" s="65">
        <v>0.22083333333333333</v>
      </c>
      <c r="S368" s="65">
        <v>0.26111111111111113</v>
      </c>
      <c r="T368" s="65">
        <v>0.22222222222222221</v>
      </c>
      <c r="U368" s="65">
        <v>0.24097222222222223</v>
      </c>
      <c r="V368" s="65">
        <v>0.2388888888888889</v>
      </c>
      <c r="W368" s="65">
        <v>0.2590277777777778</v>
      </c>
      <c r="X368" s="37"/>
      <c r="Y368" s="65">
        <v>0.27291666666666664</v>
      </c>
      <c r="Z368" s="37" t="s">
        <v>72</v>
      </c>
      <c r="AA368" s="37"/>
      <c r="AB368" s="37"/>
      <c r="AC368" s="37"/>
      <c r="AD368" s="37"/>
      <c r="AE368" s="37"/>
      <c r="AF368" s="167">
        <v>46005</v>
      </c>
    </row>
    <row r="369" spans="1:32" s="28" customFormat="1" x14ac:dyDescent="0.25">
      <c r="A369" s="35">
        <v>46006</v>
      </c>
      <c r="B369" s="36" t="s">
        <v>621</v>
      </c>
      <c r="C369" s="37" t="s">
        <v>39</v>
      </c>
      <c r="D369" s="37">
        <v>46</v>
      </c>
      <c r="E369" s="65">
        <v>0.18055555555555555</v>
      </c>
      <c r="F369" s="65">
        <v>0.18124999999999999</v>
      </c>
      <c r="G369" s="65">
        <v>0.24305555555555555</v>
      </c>
      <c r="H369" s="65">
        <v>0.23402777777777778</v>
      </c>
      <c r="I369" s="38">
        <f t="shared" si="9"/>
        <v>5.2777777777777785E-2</v>
      </c>
      <c r="J369" s="37">
        <v>0</v>
      </c>
      <c r="K369" s="37">
        <v>0</v>
      </c>
      <c r="L369" s="37" t="s">
        <v>242</v>
      </c>
      <c r="M369" s="37">
        <v>11</v>
      </c>
      <c r="N369" s="37">
        <v>0</v>
      </c>
      <c r="O369" s="37">
        <v>0</v>
      </c>
      <c r="P369" s="37">
        <v>0</v>
      </c>
      <c r="Q369" s="37">
        <v>0</v>
      </c>
      <c r="R369" s="65">
        <v>0.18263888888888888</v>
      </c>
      <c r="S369" s="65">
        <v>0.22777777777777777</v>
      </c>
      <c r="T369" s="65">
        <v>0.18333333333333332</v>
      </c>
      <c r="U369" s="65">
        <v>0.2048611111111111</v>
      </c>
      <c r="V369" s="65">
        <v>0.20555555555555555</v>
      </c>
      <c r="W369" s="65">
        <v>0.22638888888888889</v>
      </c>
      <c r="X369" s="37"/>
      <c r="Y369" s="65">
        <v>0.23194444444444445</v>
      </c>
      <c r="Z369" s="37" t="s">
        <v>90</v>
      </c>
      <c r="AA369" s="37"/>
      <c r="AB369" s="37"/>
      <c r="AC369" s="37"/>
      <c r="AD369" s="37"/>
      <c r="AE369" s="37"/>
      <c r="AF369" s="167">
        <v>46006</v>
      </c>
    </row>
    <row r="370" spans="1:32" s="28" customFormat="1" x14ac:dyDescent="0.25">
      <c r="A370" s="35">
        <v>46007</v>
      </c>
      <c r="B370" s="36" t="s">
        <v>621</v>
      </c>
      <c r="C370" s="37" t="s">
        <v>48</v>
      </c>
      <c r="D370" s="37">
        <v>43</v>
      </c>
      <c r="E370" s="65">
        <v>0.22916666666666666</v>
      </c>
      <c r="F370" s="65">
        <v>0.21319444444444444</v>
      </c>
      <c r="G370" s="65">
        <v>0.2986111111111111</v>
      </c>
      <c r="H370" s="65">
        <v>0.26458333333333334</v>
      </c>
      <c r="I370" s="38">
        <f t="shared" si="9"/>
        <v>5.1388888888888901E-2</v>
      </c>
      <c r="J370" s="37">
        <v>0</v>
      </c>
      <c r="K370" s="37">
        <v>0</v>
      </c>
      <c r="L370" s="37" t="s">
        <v>242</v>
      </c>
      <c r="M370" s="37">
        <v>12</v>
      </c>
      <c r="N370" s="37">
        <v>0</v>
      </c>
      <c r="O370" s="37">
        <v>0</v>
      </c>
      <c r="P370" s="37">
        <v>0</v>
      </c>
      <c r="Q370" s="37">
        <v>0</v>
      </c>
      <c r="R370" s="65">
        <v>0.21736111111111112</v>
      </c>
      <c r="S370" s="65">
        <v>0.25694444444444442</v>
      </c>
      <c r="T370" s="65">
        <v>0.21805555555555556</v>
      </c>
      <c r="U370" s="65">
        <v>0.23402777777777778</v>
      </c>
      <c r="V370" s="65">
        <v>0.22500000000000001</v>
      </c>
      <c r="W370" s="65">
        <v>0.25486111111111109</v>
      </c>
      <c r="X370" s="65">
        <v>0.24166666666666667</v>
      </c>
      <c r="Y370" s="65">
        <v>0.26180555555555557</v>
      </c>
      <c r="Z370" s="37" t="s">
        <v>90</v>
      </c>
      <c r="AA370" s="37"/>
      <c r="AB370" s="37"/>
      <c r="AC370" s="37"/>
      <c r="AD370" s="37"/>
      <c r="AE370" s="37"/>
      <c r="AF370" s="167">
        <v>46007</v>
      </c>
    </row>
    <row r="371" spans="1:32" s="28" customFormat="1" x14ac:dyDescent="0.25">
      <c r="A371" s="35">
        <v>46008</v>
      </c>
      <c r="B371" s="36" t="s">
        <v>621</v>
      </c>
      <c r="C371" s="37" t="s">
        <v>32</v>
      </c>
      <c r="D371" s="37">
        <v>43</v>
      </c>
      <c r="E371" s="65">
        <v>0.22916666666666666</v>
      </c>
      <c r="F371" s="65">
        <v>0.21111111111111111</v>
      </c>
      <c r="G371" s="65">
        <v>0.2986111111111111</v>
      </c>
      <c r="H371" s="65">
        <v>0.27916666666666667</v>
      </c>
      <c r="I371" s="38">
        <f t="shared" si="9"/>
        <v>6.8055555555555564E-2</v>
      </c>
      <c r="J371" s="37">
        <v>0</v>
      </c>
      <c r="K371" s="37">
        <v>0</v>
      </c>
      <c r="L371" s="37" t="s">
        <v>33</v>
      </c>
      <c r="M371" s="37">
        <v>12</v>
      </c>
      <c r="N371" s="37">
        <v>0</v>
      </c>
      <c r="O371" s="37">
        <v>0</v>
      </c>
      <c r="P371" s="37">
        <v>0</v>
      </c>
      <c r="Q371" s="37">
        <v>0</v>
      </c>
      <c r="R371" s="65">
        <v>0.21388888888888888</v>
      </c>
      <c r="S371" s="65">
        <v>0.2638888888888889</v>
      </c>
      <c r="T371" s="65">
        <v>0.21388888888888888</v>
      </c>
      <c r="U371" s="65">
        <v>0.23819444444444443</v>
      </c>
      <c r="V371" s="65">
        <v>0.23958333333333334</v>
      </c>
      <c r="W371" s="65">
        <v>0.2638888888888889</v>
      </c>
      <c r="X371" s="65">
        <v>0.23958333333333334</v>
      </c>
      <c r="Y371" s="65">
        <v>0.27916666666666667</v>
      </c>
      <c r="Z371" s="37" t="s">
        <v>40</v>
      </c>
      <c r="AA371" s="37"/>
      <c r="AB371" s="37"/>
      <c r="AC371" s="37"/>
      <c r="AD371" s="37"/>
      <c r="AE371" s="37"/>
      <c r="AF371" s="167">
        <v>46008</v>
      </c>
    </row>
    <row r="372" spans="1:32" s="28" customFormat="1" x14ac:dyDescent="0.25">
      <c r="A372" s="35">
        <v>46009</v>
      </c>
      <c r="B372" s="36" t="s">
        <v>621</v>
      </c>
      <c r="C372" s="37" t="s">
        <v>46</v>
      </c>
      <c r="D372" s="37">
        <v>44</v>
      </c>
      <c r="E372" s="65">
        <v>0.22916666666666666</v>
      </c>
      <c r="F372" s="65">
        <v>0.27777777777777779</v>
      </c>
      <c r="G372" s="65">
        <v>0.2986111111111111</v>
      </c>
      <c r="H372" s="65">
        <v>0.3263888888888889</v>
      </c>
      <c r="I372" s="38">
        <f t="shared" ref="I372:I390" si="15">H372-F372</f>
        <v>4.8611111111111105E-2</v>
      </c>
      <c r="J372" s="65">
        <v>2.7777777777777776E-2</v>
      </c>
      <c r="K372" s="37" t="s">
        <v>50</v>
      </c>
      <c r="L372" s="37" t="s">
        <v>33</v>
      </c>
      <c r="M372" s="37">
        <v>12</v>
      </c>
      <c r="N372" s="37">
        <v>0</v>
      </c>
      <c r="O372" s="37">
        <v>0</v>
      </c>
      <c r="P372" s="37">
        <v>0</v>
      </c>
      <c r="Q372" s="37">
        <v>0</v>
      </c>
      <c r="R372" s="65">
        <v>0.27986111111111112</v>
      </c>
      <c r="S372" s="65">
        <v>0.31944444444444442</v>
      </c>
      <c r="T372" s="65">
        <v>0.28055555555555556</v>
      </c>
      <c r="U372" s="65">
        <v>0.30069444444444443</v>
      </c>
      <c r="V372" s="65">
        <v>0.30138888888888887</v>
      </c>
      <c r="W372" s="65">
        <v>0.31944444444444442</v>
      </c>
      <c r="X372" s="65">
        <v>0.29236111111111113</v>
      </c>
      <c r="Y372" s="65">
        <v>0.32569444444444445</v>
      </c>
      <c r="Z372" s="37" t="s">
        <v>72</v>
      </c>
      <c r="AA372" s="37"/>
      <c r="AB372" s="37"/>
      <c r="AC372" s="37"/>
      <c r="AD372" s="37"/>
      <c r="AE372" s="37"/>
      <c r="AF372" s="167">
        <v>46009</v>
      </c>
    </row>
    <row r="373" spans="1:32" s="28" customFormat="1" x14ac:dyDescent="0.25">
      <c r="A373" s="35">
        <v>46010</v>
      </c>
      <c r="B373" s="36" t="s">
        <v>621</v>
      </c>
      <c r="C373" s="37" t="s">
        <v>38</v>
      </c>
      <c r="D373" s="37">
        <v>43</v>
      </c>
      <c r="E373" s="65">
        <v>0.22916666666666666</v>
      </c>
      <c r="F373" s="65">
        <v>0.21597222222222223</v>
      </c>
      <c r="G373" s="65">
        <v>0.2986111111111111</v>
      </c>
      <c r="H373" s="65">
        <v>0.27152777777777776</v>
      </c>
      <c r="I373" s="38">
        <f t="shared" si="15"/>
        <v>5.5555555555555525E-2</v>
      </c>
      <c r="J373" s="37">
        <v>0</v>
      </c>
      <c r="K373" s="37">
        <v>0</v>
      </c>
      <c r="L373" s="37" t="s">
        <v>33</v>
      </c>
      <c r="M373" s="37">
        <v>12</v>
      </c>
      <c r="N373" s="37">
        <v>0</v>
      </c>
      <c r="O373" s="37">
        <v>0</v>
      </c>
      <c r="P373" s="37">
        <v>0</v>
      </c>
      <c r="Q373" s="37">
        <v>0</v>
      </c>
      <c r="R373" s="65">
        <v>0.21805555555555556</v>
      </c>
      <c r="S373" s="65">
        <v>0.2638888888888889</v>
      </c>
      <c r="T373" s="65">
        <v>0.22013888888888888</v>
      </c>
      <c r="U373" s="65">
        <v>0.24652777777777779</v>
      </c>
      <c r="V373" s="65">
        <v>0.25</v>
      </c>
      <c r="W373" s="65">
        <v>0.26319444444444445</v>
      </c>
      <c r="X373" s="65">
        <v>0.23541666666666666</v>
      </c>
      <c r="Y373" s="65">
        <v>0.27083333333333331</v>
      </c>
      <c r="Z373" s="37" t="s">
        <v>34</v>
      </c>
      <c r="AA373" s="37"/>
      <c r="AB373" s="37"/>
      <c r="AC373" s="37"/>
      <c r="AD373" s="37"/>
      <c r="AE373" s="37"/>
      <c r="AF373" s="167">
        <v>46010</v>
      </c>
    </row>
    <row r="374" spans="1:32" s="28" customFormat="1" x14ac:dyDescent="0.25">
      <c r="A374" s="35">
        <v>46011</v>
      </c>
      <c r="B374" s="36" t="s">
        <v>621</v>
      </c>
      <c r="C374" s="37" t="s">
        <v>48</v>
      </c>
      <c r="D374" s="37">
        <v>42</v>
      </c>
      <c r="E374" s="65">
        <v>0.27083333333333331</v>
      </c>
      <c r="F374" s="65">
        <v>0.27638888888888891</v>
      </c>
      <c r="G374" s="65">
        <v>0.33333333333333331</v>
      </c>
      <c r="H374" s="65">
        <v>0.33124999999999999</v>
      </c>
      <c r="I374" s="38">
        <f t="shared" si="15"/>
        <v>5.4861111111111083E-2</v>
      </c>
      <c r="J374" s="37">
        <v>0</v>
      </c>
      <c r="K374" s="37">
        <v>0</v>
      </c>
      <c r="L374" s="37" t="s">
        <v>823</v>
      </c>
      <c r="M374" s="37">
        <v>12</v>
      </c>
      <c r="N374" s="37">
        <v>0</v>
      </c>
      <c r="O374" s="37">
        <v>0</v>
      </c>
      <c r="P374" s="37">
        <v>0</v>
      </c>
      <c r="Q374" s="37">
        <v>0</v>
      </c>
      <c r="R374" s="65">
        <v>0.27708333333333335</v>
      </c>
      <c r="S374" s="65">
        <v>0.32291666666666669</v>
      </c>
      <c r="T374" s="65">
        <v>0.27777777777777779</v>
      </c>
      <c r="U374" s="65">
        <v>0.29791666666666666</v>
      </c>
      <c r="V374" s="65">
        <v>0.3</v>
      </c>
      <c r="W374" s="65">
        <v>0.3215277777777778</v>
      </c>
      <c r="X374" s="37"/>
      <c r="Y374" s="65">
        <v>0.32569444444444445</v>
      </c>
      <c r="Z374" s="37" t="s">
        <v>40</v>
      </c>
      <c r="AA374" s="37"/>
      <c r="AB374" s="37"/>
      <c r="AC374" s="37"/>
      <c r="AD374" s="37"/>
      <c r="AE374" s="37"/>
      <c r="AF374" s="167">
        <v>46011</v>
      </c>
    </row>
    <row r="375" spans="1:32" s="28" customFormat="1" x14ac:dyDescent="0.25">
      <c r="A375" s="35">
        <v>46011</v>
      </c>
      <c r="B375" s="36" t="s">
        <v>36</v>
      </c>
      <c r="C375" s="37" t="s">
        <v>109</v>
      </c>
      <c r="D375" s="37">
        <v>45</v>
      </c>
      <c r="E375" s="65">
        <v>0.46527777777777779</v>
      </c>
      <c r="F375" s="65">
        <v>0.4236111111111111</v>
      </c>
      <c r="G375" s="65">
        <v>0.54861111111111116</v>
      </c>
      <c r="H375" s="65">
        <v>0.54374999999999996</v>
      </c>
      <c r="I375" s="38">
        <f>H375-F375</f>
        <v>0.12013888888888885</v>
      </c>
      <c r="J375" s="39"/>
      <c r="K375" s="36"/>
      <c r="L375" s="37" t="s">
        <v>242</v>
      </c>
      <c r="M375" s="37"/>
      <c r="N375" s="37"/>
      <c r="O375" s="37"/>
      <c r="P375" s="37"/>
      <c r="Q375" s="37"/>
      <c r="R375" s="65"/>
      <c r="S375" s="65"/>
      <c r="T375" s="65"/>
      <c r="U375" s="65"/>
      <c r="V375" s="65"/>
      <c r="W375" s="65"/>
      <c r="X375" s="65"/>
      <c r="Y375" s="65"/>
      <c r="Z375" s="37"/>
      <c r="AA375" s="37"/>
      <c r="AB375" s="37"/>
      <c r="AC375" s="37"/>
      <c r="AD375" s="37"/>
      <c r="AE375" s="37"/>
      <c r="AF375" s="167">
        <v>45998</v>
      </c>
    </row>
    <row r="376" spans="1:32" s="28" customFormat="1" x14ac:dyDescent="0.25">
      <c r="A376" s="35">
        <v>46012</v>
      </c>
      <c r="B376" s="36" t="s">
        <v>790</v>
      </c>
      <c r="C376" s="37" t="s">
        <v>32</v>
      </c>
      <c r="D376" s="37">
        <v>43</v>
      </c>
      <c r="E376" s="65">
        <v>0.22569444444444445</v>
      </c>
      <c r="F376" s="65">
        <v>0.22083333333333333</v>
      </c>
      <c r="G376" s="65">
        <v>0.2986111111111111</v>
      </c>
      <c r="H376" s="65">
        <v>0.29097222222222224</v>
      </c>
      <c r="I376" s="38">
        <f t="shared" si="15"/>
        <v>7.0138888888888917E-2</v>
      </c>
      <c r="J376" s="37">
        <v>0</v>
      </c>
      <c r="K376" s="37">
        <v>0</v>
      </c>
      <c r="L376" s="37" t="s">
        <v>33</v>
      </c>
      <c r="M376" s="37">
        <v>12</v>
      </c>
      <c r="N376" s="37">
        <v>0</v>
      </c>
      <c r="O376" s="37">
        <v>0</v>
      </c>
      <c r="P376" s="37">
        <v>0</v>
      </c>
      <c r="Q376" s="37">
        <v>0</v>
      </c>
      <c r="R376" s="65">
        <v>0.22430555555555556</v>
      </c>
      <c r="S376" s="65">
        <v>0.26041666666666669</v>
      </c>
      <c r="T376" s="65">
        <v>0.22708333333333333</v>
      </c>
      <c r="U376" s="65">
        <v>0.24097222222222223</v>
      </c>
      <c r="V376" s="65">
        <v>0.24861111111111112</v>
      </c>
      <c r="W376" s="65">
        <v>0.26041666666666669</v>
      </c>
      <c r="X376" s="37"/>
      <c r="Y376" s="65">
        <v>0.28888888888888886</v>
      </c>
      <c r="Z376" s="37" t="s">
        <v>34</v>
      </c>
      <c r="AA376" s="37"/>
      <c r="AB376" s="37"/>
      <c r="AC376" s="37"/>
      <c r="AD376" s="37"/>
      <c r="AE376" s="37"/>
      <c r="AF376" s="167">
        <v>46012</v>
      </c>
    </row>
    <row r="377" spans="1:32" s="28" customFormat="1" x14ac:dyDescent="0.25">
      <c r="A377" s="35">
        <v>46013</v>
      </c>
      <c r="B377" s="36" t="s">
        <v>621</v>
      </c>
      <c r="C377" s="37" t="s">
        <v>35</v>
      </c>
      <c r="D377" s="37">
        <v>43</v>
      </c>
      <c r="E377" s="65">
        <v>0.18055555555555555</v>
      </c>
      <c r="F377" s="65">
        <v>0.17291666666666666</v>
      </c>
      <c r="G377" s="65">
        <v>0.24305555555555555</v>
      </c>
      <c r="H377" s="65">
        <v>0.22916666666666666</v>
      </c>
      <c r="I377" s="38">
        <f t="shared" si="15"/>
        <v>5.6249999999999994E-2</v>
      </c>
      <c r="J377" s="37">
        <v>0</v>
      </c>
      <c r="K377" s="37">
        <v>0</v>
      </c>
      <c r="L377" s="37" t="s">
        <v>33</v>
      </c>
      <c r="M377" s="37">
        <v>12</v>
      </c>
      <c r="N377" s="37">
        <v>0</v>
      </c>
      <c r="O377" s="37">
        <v>0</v>
      </c>
      <c r="P377" s="37">
        <v>0</v>
      </c>
      <c r="Q377" s="37">
        <v>0</v>
      </c>
      <c r="R377" s="65">
        <v>0.17499999999999999</v>
      </c>
      <c r="S377" s="65">
        <v>0.22222222222222221</v>
      </c>
      <c r="T377" s="65">
        <v>0.1763888888888889</v>
      </c>
      <c r="U377" s="65">
        <v>0.18819444444444444</v>
      </c>
      <c r="V377" s="65">
        <v>0.1763888888888889</v>
      </c>
      <c r="W377" s="65">
        <v>0.22222222222222221</v>
      </c>
      <c r="X377" s="37"/>
      <c r="Y377" s="65">
        <v>0.22361111111111112</v>
      </c>
      <c r="Z377" s="37" t="s">
        <v>90</v>
      </c>
      <c r="AA377" s="37"/>
      <c r="AB377" s="37"/>
      <c r="AC377" s="37"/>
      <c r="AD377" s="37"/>
      <c r="AE377" s="37"/>
      <c r="AF377" s="167">
        <v>46013</v>
      </c>
    </row>
    <row r="378" spans="1:32" s="28" customFormat="1" x14ac:dyDescent="0.25">
      <c r="A378" s="35">
        <v>46014</v>
      </c>
      <c r="B378" s="36" t="s">
        <v>621</v>
      </c>
      <c r="C378" s="37" t="s">
        <v>38</v>
      </c>
      <c r="D378" s="37">
        <v>43</v>
      </c>
      <c r="E378" s="65">
        <v>0.22916666666666666</v>
      </c>
      <c r="F378" s="65">
        <v>0.22222222222222221</v>
      </c>
      <c r="G378" s="65">
        <v>0.2986111111111111</v>
      </c>
      <c r="H378" s="65">
        <v>0.29305555555555557</v>
      </c>
      <c r="I378" s="38">
        <f t="shared" si="15"/>
        <v>7.0833333333333359E-2</v>
      </c>
      <c r="J378" s="37">
        <v>0</v>
      </c>
      <c r="K378" s="37">
        <v>0</v>
      </c>
      <c r="L378" s="37" t="s">
        <v>33</v>
      </c>
      <c r="M378" s="37">
        <v>12</v>
      </c>
      <c r="N378" s="37">
        <v>0</v>
      </c>
      <c r="O378" s="37">
        <v>0</v>
      </c>
      <c r="P378" s="37">
        <v>0</v>
      </c>
      <c r="Q378" s="37">
        <v>0</v>
      </c>
      <c r="R378" s="65">
        <v>0.22500000000000001</v>
      </c>
      <c r="S378" s="65">
        <v>0.26041666666666669</v>
      </c>
      <c r="T378" s="65">
        <v>0.22847222222222222</v>
      </c>
      <c r="U378" s="65">
        <v>0.24305555555555555</v>
      </c>
      <c r="V378" s="65">
        <v>0.24374999999999999</v>
      </c>
      <c r="W378" s="65">
        <v>0.26041666666666669</v>
      </c>
      <c r="X378" s="65">
        <v>0.26597222222222222</v>
      </c>
      <c r="Y378" s="65">
        <v>0.29097222222222224</v>
      </c>
      <c r="Z378" s="37" t="s">
        <v>34</v>
      </c>
      <c r="AA378" s="37"/>
      <c r="AB378" s="37"/>
      <c r="AC378" s="37"/>
      <c r="AD378" s="37"/>
      <c r="AE378" s="37"/>
      <c r="AF378" s="167">
        <v>46014</v>
      </c>
    </row>
    <row r="379" spans="1:32" s="28" customFormat="1" x14ac:dyDescent="0.25">
      <c r="A379" s="35">
        <v>46015</v>
      </c>
      <c r="B379" s="36" t="s">
        <v>621</v>
      </c>
      <c r="C379" s="37" t="s">
        <v>46</v>
      </c>
      <c r="D379" s="37">
        <v>43</v>
      </c>
      <c r="E379" s="65">
        <v>0.22916666666666666</v>
      </c>
      <c r="F379" s="65">
        <v>0.22430555555555556</v>
      </c>
      <c r="G379" s="65">
        <v>0.2986111111111111</v>
      </c>
      <c r="H379" s="65">
        <v>0.27152777777777776</v>
      </c>
      <c r="I379" s="38">
        <f t="shared" si="15"/>
        <v>4.7222222222222193E-2</v>
      </c>
      <c r="J379" s="37">
        <v>0</v>
      </c>
      <c r="K379" s="37">
        <v>0</v>
      </c>
      <c r="L379" s="37" t="s">
        <v>33</v>
      </c>
      <c r="M379" s="37">
        <v>12</v>
      </c>
      <c r="N379" s="37">
        <v>0</v>
      </c>
      <c r="O379" s="37">
        <v>0</v>
      </c>
      <c r="P379" s="37">
        <v>0</v>
      </c>
      <c r="Q379" s="37">
        <v>0</v>
      </c>
      <c r="R379" s="65">
        <v>0.22500000000000001</v>
      </c>
      <c r="S379" s="65">
        <v>0.26527777777777778</v>
      </c>
      <c r="T379" s="65">
        <v>0.22569444444444445</v>
      </c>
      <c r="U379" s="65">
        <v>0.24305555555555555</v>
      </c>
      <c r="V379" s="65">
        <v>0.24305555555555555</v>
      </c>
      <c r="W379" s="65">
        <v>0.26527777777777778</v>
      </c>
      <c r="X379" s="65">
        <v>0.25138888888888888</v>
      </c>
      <c r="Y379" s="65">
        <v>0.27152777777777776</v>
      </c>
      <c r="Z379" s="37" t="s">
        <v>72</v>
      </c>
      <c r="AA379" s="37"/>
      <c r="AB379" s="37"/>
      <c r="AC379" s="37"/>
      <c r="AD379" s="37"/>
      <c r="AE379" s="37"/>
      <c r="AF379" s="167">
        <v>46015</v>
      </c>
    </row>
    <row r="380" spans="1:32" s="28" customFormat="1" x14ac:dyDescent="0.25">
      <c r="A380" s="35">
        <v>46016</v>
      </c>
      <c r="B380" s="36" t="s">
        <v>621</v>
      </c>
      <c r="C380" s="37" t="s">
        <v>30</v>
      </c>
      <c r="D380" s="37"/>
      <c r="E380" s="37"/>
      <c r="F380" s="37"/>
      <c r="G380" s="65"/>
      <c r="H380" s="37"/>
      <c r="I380" s="38">
        <f t="shared" si="15"/>
        <v>0</v>
      </c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167">
        <v>46016</v>
      </c>
    </row>
    <row r="381" spans="1:32" s="28" customFormat="1" x14ac:dyDescent="0.25">
      <c r="A381" s="35">
        <v>46017</v>
      </c>
      <c r="B381" s="36" t="s">
        <v>621</v>
      </c>
      <c r="C381" s="37" t="s">
        <v>38</v>
      </c>
      <c r="D381" s="37">
        <v>42</v>
      </c>
      <c r="E381" s="65">
        <v>0.22916666666666666</v>
      </c>
      <c r="F381" s="65">
        <v>0.22777777777777777</v>
      </c>
      <c r="G381" s="65">
        <v>0.2986111111111111</v>
      </c>
      <c r="H381" s="65">
        <v>0.29375000000000001</v>
      </c>
      <c r="I381" s="38">
        <f t="shared" si="15"/>
        <v>6.5972222222222238E-2</v>
      </c>
      <c r="J381" s="37">
        <v>0</v>
      </c>
      <c r="K381" s="37">
        <v>0</v>
      </c>
      <c r="L381" s="37" t="s">
        <v>33</v>
      </c>
      <c r="M381" s="37">
        <v>11</v>
      </c>
      <c r="N381" s="37">
        <v>0</v>
      </c>
      <c r="O381" s="37">
        <v>0</v>
      </c>
      <c r="P381" s="37">
        <v>0</v>
      </c>
      <c r="Q381" s="37">
        <v>0</v>
      </c>
      <c r="R381" s="65">
        <v>0.22916666666666666</v>
      </c>
      <c r="S381" s="65">
        <v>0.28472222222222221</v>
      </c>
      <c r="T381" s="65">
        <v>0.2298611111111111</v>
      </c>
      <c r="U381" s="65">
        <v>0.2638888888888889</v>
      </c>
      <c r="V381" s="65">
        <v>0.26527777777777778</v>
      </c>
      <c r="W381" s="65">
        <v>0.28472222222222221</v>
      </c>
      <c r="X381" s="37"/>
      <c r="Y381" s="65">
        <v>0.29236111111111113</v>
      </c>
      <c r="Z381" s="37" t="s">
        <v>34</v>
      </c>
      <c r="AA381" s="37"/>
      <c r="AB381" s="37"/>
      <c r="AC381" s="37"/>
      <c r="AD381" s="37"/>
      <c r="AE381" s="37"/>
      <c r="AF381" s="167">
        <v>46017</v>
      </c>
    </row>
    <row r="382" spans="1:32" s="28" customFormat="1" x14ac:dyDescent="0.25">
      <c r="A382" s="35">
        <v>46018</v>
      </c>
      <c r="B382" s="36" t="s">
        <v>621</v>
      </c>
      <c r="C382" s="37" t="s">
        <v>46</v>
      </c>
      <c r="D382" s="37">
        <v>43</v>
      </c>
      <c r="E382" s="65">
        <v>0.27083333333333331</v>
      </c>
      <c r="F382" s="65">
        <v>0.27916666666666667</v>
      </c>
      <c r="G382" s="65">
        <v>0.33333333333333331</v>
      </c>
      <c r="H382" s="65">
        <v>0.33263888888888887</v>
      </c>
      <c r="I382" s="38">
        <f t="shared" si="15"/>
        <v>5.3472222222222199E-2</v>
      </c>
      <c r="J382" s="37">
        <v>0</v>
      </c>
      <c r="K382" s="37">
        <v>0</v>
      </c>
      <c r="L382" s="37" t="s">
        <v>33</v>
      </c>
      <c r="M382" s="37">
        <v>11</v>
      </c>
      <c r="N382" s="37">
        <v>0</v>
      </c>
      <c r="O382" s="37">
        <v>0</v>
      </c>
      <c r="P382" s="37">
        <v>0</v>
      </c>
      <c r="Q382" s="37">
        <v>0</v>
      </c>
      <c r="R382" s="65">
        <v>0.28125</v>
      </c>
      <c r="S382" s="65">
        <v>0.3215277777777778</v>
      </c>
      <c r="T382" s="65">
        <v>0.28263888888888888</v>
      </c>
      <c r="U382" s="65">
        <v>0.29722222222222222</v>
      </c>
      <c r="V382" s="65">
        <v>0.28819444444444442</v>
      </c>
      <c r="W382" s="65">
        <v>0.3215277777777778</v>
      </c>
      <c r="X382" s="65">
        <v>0.31388888888888888</v>
      </c>
      <c r="Y382" s="65">
        <v>0.33263888888888887</v>
      </c>
      <c r="Z382" s="37" t="s">
        <v>90</v>
      </c>
      <c r="AA382" s="37"/>
      <c r="AB382" s="37"/>
      <c r="AC382" s="37"/>
      <c r="AD382" s="37"/>
      <c r="AE382" s="37"/>
      <c r="AF382" s="167">
        <v>46018</v>
      </c>
    </row>
    <row r="383" spans="1:32" s="28" customFormat="1" x14ac:dyDescent="0.25">
      <c r="A383" s="35">
        <v>46018</v>
      </c>
      <c r="B383" s="36" t="s">
        <v>36</v>
      </c>
      <c r="C383" s="37" t="s">
        <v>30</v>
      </c>
      <c r="D383" s="37"/>
      <c r="E383" s="65"/>
      <c r="F383" s="65"/>
      <c r="G383" s="65"/>
      <c r="H383" s="65"/>
      <c r="I383" s="38"/>
      <c r="J383" s="37"/>
      <c r="K383" s="37"/>
      <c r="L383" s="37"/>
      <c r="M383" s="37"/>
      <c r="N383" s="37"/>
      <c r="O383" s="37"/>
      <c r="P383" s="37"/>
      <c r="Q383" s="37"/>
      <c r="R383" s="65"/>
      <c r="S383" s="65"/>
      <c r="T383" s="65"/>
      <c r="U383" s="65"/>
      <c r="V383" s="65"/>
      <c r="W383" s="65"/>
      <c r="X383" s="65"/>
      <c r="Y383" s="65"/>
      <c r="Z383" s="37"/>
      <c r="AA383" s="37"/>
      <c r="AB383" s="37"/>
      <c r="AC383" s="37"/>
      <c r="AD383" s="37"/>
      <c r="AE383" s="37"/>
      <c r="AF383" s="167"/>
    </row>
    <row r="384" spans="1:32" s="28" customFormat="1" x14ac:dyDescent="0.25">
      <c r="A384" s="35">
        <v>46019</v>
      </c>
      <c r="B384" s="36" t="s">
        <v>824</v>
      </c>
      <c r="C384" s="37" t="s">
        <v>32</v>
      </c>
      <c r="D384" s="37">
        <v>43</v>
      </c>
      <c r="E384" s="65">
        <v>0.22916666666666666</v>
      </c>
      <c r="F384" s="65">
        <v>0.22430555555555556</v>
      </c>
      <c r="G384" s="65">
        <v>0.2986111111111111</v>
      </c>
      <c r="H384" s="65">
        <v>0.29444444444444445</v>
      </c>
      <c r="I384" s="38">
        <f t="shared" si="15"/>
        <v>7.013888888888889E-2</v>
      </c>
      <c r="J384" s="37">
        <v>0</v>
      </c>
      <c r="K384" s="37">
        <v>0</v>
      </c>
      <c r="L384" s="37" t="s">
        <v>33</v>
      </c>
      <c r="M384" s="37">
        <v>12</v>
      </c>
      <c r="N384" s="37">
        <v>0</v>
      </c>
      <c r="O384" s="37">
        <v>0</v>
      </c>
      <c r="P384" s="37">
        <v>0</v>
      </c>
      <c r="Q384" s="37">
        <v>0</v>
      </c>
      <c r="R384" s="65">
        <v>0.22569444444444445</v>
      </c>
      <c r="S384" s="65">
        <v>0.2722222222222222</v>
      </c>
      <c r="T384" s="65">
        <v>0.22638888888888889</v>
      </c>
      <c r="U384" s="65">
        <v>0.25069444444444444</v>
      </c>
      <c r="V384" s="65">
        <v>0.25138888888888888</v>
      </c>
      <c r="W384" s="65">
        <v>0.27013888888888887</v>
      </c>
      <c r="X384" s="37"/>
      <c r="Y384" s="65">
        <v>0.28125</v>
      </c>
      <c r="Z384" s="37" t="s">
        <v>90</v>
      </c>
      <c r="AA384" s="37"/>
      <c r="AB384" s="37"/>
      <c r="AC384" s="37"/>
      <c r="AD384" s="37"/>
      <c r="AE384" s="37"/>
      <c r="AF384" s="167">
        <v>46019</v>
      </c>
    </row>
    <row r="385" spans="1:32" s="28" customFormat="1" x14ac:dyDescent="0.25">
      <c r="A385" s="35">
        <v>46020</v>
      </c>
      <c r="B385" s="36" t="s">
        <v>621</v>
      </c>
      <c r="C385" s="37" t="s">
        <v>39</v>
      </c>
      <c r="D385" s="37">
        <v>44</v>
      </c>
      <c r="E385" s="65">
        <v>0.18055555555555555</v>
      </c>
      <c r="F385" s="65">
        <v>0.17222222222222222</v>
      </c>
      <c r="G385" s="65">
        <v>0.24305555555555555</v>
      </c>
      <c r="H385" s="65">
        <v>0.22916666666666666</v>
      </c>
      <c r="I385" s="38">
        <f t="shared" si="15"/>
        <v>5.6944444444444436E-2</v>
      </c>
      <c r="J385" s="37">
        <v>0</v>
      </c>
      <c r="K385" s="37">
        <v>0</v>
      </c>
      <c r="L385" s="37" t="s">
        <v>33</v>
      </c>
      <c r="M385" s="37">
        <v>12</v>
      </c>
      <c r="N385" s="37">
        <v>0</v>
      </c>
      <c r="O385" s="37">
        <v>0</v>
      </c>
      <c r="P385" s="37">
        <v>0</v>
      </c>
      <c r="Q385" s="37">
        <v>0</v>
      </c>
      <c r="R385" s="65">
        <v>0.1736111111111111</v>
      </c>
      <c r="S385" s="65">
        <v>0.21111111111111111</v>
      </c>
      <c r="T385" s="65">
        <v>0.1763888888888889</v>
      </c>
      <c r="U385" s="65">
        <v>0.18402777777777779</v>
      </c>
      <c r="V385" s="65">
        <v>0.18402777777777779</v>
      </c>
      <c r="W385" s="65">
        <v>0.20972222222222223</v>
      </c>
      <c r="X385" s="37"/>
      <c r="Y385" s="65">
        <v>0.22222222222222221</v>
      </c>
      <c r="Z385" s="37" t="s">
        <v>72</v>
      </c>
      <c r="AA385" s="37"/>
      <c r="AB385" s="37"/>
      <c r="AC385" s="37"/>
      <c r="AD385" s="37"/>
      <c r="AE385" s="37"/>
      <c r="AF385" s="167">
        <v>46020</v>
      </c>
    </row>
    <row r="386" spans="1:32" s="28" customFormat="1" x14ac:dyDescent="0.25">
      <c r="A386" s="35">
        <v>46021</v>
      </c>
      <c r="B386" s="36" t="s">
        <v>621</v>
      </c>
      <c r="C386" s="37" t="s">
        <v>48</v>
      </c>
      <c r="D386" s="37">
        <v>44</v>
      </c>
      <c r="E386" s="65">
        <v>0.22916666666666666</v>
      </c>
      <c r="F386" s="65">
        <v>0.21875</v>
      </c>
      <c r="G386" s="65">
        <v>0.2986111111111111</v>
      </c>
      <c r="H386" s="65">
        <v>0.28125</v>
      </c>
      <c r="I386" s="38">
        <f t="shared" si="15"/>
        <v>6.25E-2</v>
      </c>
      <c r="J386" s="37">
        <v>0</v>
      </c>
      <c r="K386" s="37">
        <v>0</v>
      </c>
      <c r="L386" s="37" t="s">
        <v>33</v>
      </c>
      <c r="M386" s="37">
        <v>11</v>
      </c>
      <c r="N386" s="37">
        <v>0</v>
      </c>
      <c r="O386" s="37">
        <v>0</v>
      </c>
      <c r="P386" s="37">
        <v>0</v>
      </c>
      <c r="Q386" s="37">
        <v>0</v>
      </c>
      <c r="R386" s="65">
        <v>0.22013888888888888</v>
      </c>
      <c r="S386" s="65">
        <v>0.25347222222222221</v>
      </c>
      <c r="T386" s="65">
        <v>0.22083333333333333</v>
      </c>
      <c r="U386" s="65">
        <v>0.2326388888888889</v>
      </c>
      <c r="V386" s="65">
        <v>0.2326388888888889</v>
      </c>
      <c r="W386" s="65">
        <v>0.25347222222222221</v>
      </c>
      <c r="X386" s="65">
        <v>0.23402777777777778</v>
      </c>
      <c r="Y386" s="65">
        <v>0.28125</v>
      </c>
      <c r="Z386" s="37" t="s">
        <v>72</v>
      </c>
      <c r="AA386" s="37"/>
      <c r="AB386" s="37"/>
      <c r="AC386" s="37"/>
      <c r="AD386" s="37"/>
      <c r="AE386" s="37"/>
      <c r="AF386" s="167">
        <v>46021</v>
      </c>
    </row>
    <row r="387" spans="1:32" s="28" customFormat="1" x14ac:dyDescent="0.25">
      <c r="A387" s="35">
        <v>46022</v>
      </c>
      <c r="B387" s="36" t="s">
        <v>621</v>
      </c>
      <c r="C387" s="37" t="s">
        <v>39</v>
      </c>
      <c r="D387" s="37">
        <v>44</v>
      </c>
      <c r="E387" s="65">
        <v>0.22916666666666666</v>
      </c>
      <c r="F387" s="65">
        <v>0.21944444444444444</v>
      </c>
      <c r="G387" s="65">
        <v>0.2986111111111111</v>
      </c>
      <c r="H387" s="65">
        <v>0.28819444444444442</v>
      </c>
      <c r="I387" s="38">
        <f t="shared" si="15"/>
        <v>6.8749999999999978E-2</v>
      </c>
      <c r="J387" s="37">
        <v>0</v>
      </c>
      <c r="K387" s="37">
        <v>0</v>
      </c>
      <c r="L387" s="37" t="s">
        <v>33</v>
      </c>
      <c r="M387" s="37">
        <v>12</v>
      </c>
      <c r="N387" s="37">
        <v>0</v>
      </c>
      <c r="O387" s="37">
        <v>0</v>
      </c>
      <c r="P387" s="37">
        <v>0</v>
      </c>
      <c r="Q387" s="37">
        <v>0</v>
      </c>
      <c r="R387" s="65">
        <v>0.22083333333333333</v>
      </c>
      <c r="S387" s="65">
        <v>0.27708333333333335</v>
      </c>
      <c r="T387" s="65">
        <v>0.22152777777777777</v>
      </c>
      <c r="U387" s="65">
        <v>0.24722222222222223</v>
      </c>
      <c r="V387" s="65">
        <v>0.22847222222222222</v>
      </c>
      <c r="W387" s="65">
        <v>0.27708333333333335</v>
      </c>
      <c r="X387" s="65">
        <v>0.25138888888888888</v>
      </c>
      <c r="Y387" s="65">
        <v>0.28611111111111109</v>
      </c>
      <c r="Z387" s="37" t="s">
        <v>90</v>
      </c>
      <c r="AA387" s="37"/>
      <c r="AB387" s="37"/>
      <c r="AC387" s="37"/>
      <c r="AD387" s="37"/>
      <c r="AE387" s="37"/>
      <c r="AF387" s="167">
        <v>46022</v>
      </c>
    </row>
    <row r="388" spans="1:32" s="28" customFormat="1" x14ac:dyDescent="0.25">
      <c r="A388" s="35"/>
      <c r="B388" s="36"/>
      <c r="C388" s="37"/>
      <c r="D388" s="37"/>
      <c r="E388" s="37"/>
      <c r="F388" s="37"/>
      <c r="G388" s="65"/>
      <c r="H388" s="37"/>
      <c r="I388" s="38">
        <f t="shared" si="15"/>
        <v>0</v>
      </c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</row>
    <row r="389" spans="1:32" s="28" customFormat="1" x14ac:dyDescent="0.25">
      <c r="A389" s="35"/>
      <c r="B389" s="36"/>
      <c r="C389" s="37"/>
      <c r="D389" s="37"/>
      <c r="E389" s="37"/>
      <c r="F389" s="37"/>
      <c r="G389" s="65"/>
      <c r="H389" s="37"/>
      <c r="I389" s="38">
        <f t="shared" si="15"/>
        <v>0</v>
      </c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</row>
    <row r="390" spans="1:32" s="28" customFormat="1" ht="15.75" customHeight="1" x14ac:dyDescent="0.25">
      <c r="A390" s="35"/>
      <c r="B390" s="241"/>
      <c r="C390" s="242"/>
      <c r="D390" s="242"/>
      <c r="E390" s="242"/>
      <c r="F390" s="242"/>
      <c r="G390" s="243"/>
      <c r="H390" s="242"/>
      <c r="I390" s="244">
        <f t="shared" si="15"/>
        <v>0</v>
      </c>
      <c r="J390" s="242"/>
      <c r="K390" s="242"/>
      <c r="L390" s="242"/>
      <c r="M390" s="242"/>
      <c r="N390" s="242"/>
      <c r="O390" s="242"/>
      <c r="P390" s="242"/>
      <c r="Q390" s="242"/>
      <c r="R390" s="242"/>
      <c r="S390" s="242"/>
      <c r="T390" s="242"/>
      <c r="U390" s="242"/>
      <c r="V390" s="242"/>
      <c r="W390" s="242"/>
      <c r="X390" s="242"/>
      <c r="Y390" s="242"/>
      <c r="Z390" s="242"/>
      <c r="AA390" s="242"/>
      <c r="AB390" s="242"/>
      <c r="AC390" s="242"/>
      <c r="AD390" s="242"/>
      <c r="AE390" s="242"/>
      <c r="AF390" s="121"/>
    </row>
    <row r="391" spans="1:32" ht="15.75" customHeight="1" x14ac:dyDescent="0.25">
      <c r="A391" s="240"/>
      <c r="B391" s="48"/>
      <c r="C391" s="28"/>
      <c r="D391" s="28"/>
      <c r="E391" s="28"/>
      <c r="F391" s="28"/>
      <c r="G391" s="28"/>
      <c r="H391" s="28"/>
      <c r="I391" s="239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</row>
    <row r="392" spans="1:32" x14ac:dyDescent="0.25">
      <c r="A392" s="240"/>
      <c r="B392" s="48"/>
      <c r="C392" s="28"/>
      <c r="D392" s="28"/>
      <c r="E392" s="28"/>
      <c r="F392" s="28"/>
      <c r="G392" s="28"/>
      <c r="H392" s="28"/>
      <c r="I392" s="239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</row>
    <row r="393" spans="1:32" x14ac:dyDescent="0.25">
      <c r="A393" s="240"/>
      <c r="B393" s="4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</row>
    <row r="394" spans="1:32" x14ac:dyDescent="0.25">
      <c r="A394" s="240"/>
      <c r="B394" s="4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</row>
    <row r="395" spans="1:32" x14ac:dyDescent="0.25">
      <c r="A395" s="240"/>
      <c r="B395" s="4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</row>
    <row r="396" spans="1:32" x14ac:dyDescent="0.25">
      <c r="A396" s="240"/>
      <c r="B396" s="4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</row>
    <row r="397" spans="1:32" x14ac:dyDescent="0.25">
      <c r="A397" s="240"/>
      <c r="B397" s="4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</row>
    <row r="398" spans="1:32" x14ac:dyDescent="0.25">
      <c r="A398" s="240"/>
      <c r="B398" s="4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</row>
    <row r="399" spans="1:32" x14ac:dyDescent="0.25">
      <c r="A399" s="240"/>
      <c r="B399" s="4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</row>
    <row r="400" spans="1:32" x14ac:dyDescent="0.25">
      <c r="A400" s="240"/>
      <c r="B400" s="4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</row>
    <row r="401" spans="1:36" x14ac:dyDescent="0.25">
      <c r="A401" s="240"/>
      <c r="B401" s="4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</row>
    <row r="402" spans="1:36" x14ac:dyDescent="0.25">
      <c r="A402" s="240"/>
      <c r="B402" s="4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</row>
    <row r="403" spans="1:36" x14ac:dyDescent="0.25">
      <c r="A403" s="240"/>
      <c r="B403" s="4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</row>
    <row r="404" spans="1:36" x14ac:dyDescent="0.25">
      <c r="A404" s="240"/>
      <c r="B404" s="4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</row>
    <row r="405" spans="1:36" x14ac:dyDescent="0.25">
      <c r="A405" s="240"/>
      <c r="B405" s="4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</row>
    <row r="406" spans="1:36" x14ac:dyDescent="0.25">
      <c r="A406" s="240"/>
      <c r="B406" s="4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</row>
    <row r="407" spans="1:36" x14ac:dyDescent="0.25">
      <c r="A407" s="240"/>
      <c r="B407" s="4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</row>
    <row r="408" spans="1:36" x14ac:dyDescent="0.25">
      <c r="A408" s="240"/>
      <c r="B408" s="4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</row>
    <row r="409" spans="1:36" x14ac:dyDescent="0.25">
      <c r="A409" s="240"/>
      <c r="B409" s="4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</row>
    <row r="410" spans="1:36" x14ac:dyDescent="0.25">
      <c r="A410" s="240"/>
      <c r="B410" s="4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</row>
    <row r="411" spans="1:36" x14ac:dyDescent="0.25">
      <c r="A411" s="240"/>
      <c r="B411" s="4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</row>
    <row r="412" spans="1:36" x14ac:dyDescent="0.25">
      <c r="A412" s="240"/>
      <c r="B412" s="4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</row>
    <row r="413" spans="1:36" x14ac:dyDescent="0.25">
      <c r="A413" s="240"/>
      <c r="B413" s="4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</row>
    <row r="414" spans="1:36" x14ac:dyDescent="0.25">
      <c r="A414" s="240"/>
      <c r="B414" s="4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</row>
    <row r="415" spans="1:36" x14ac:dyDescent="0.25">
      <c r="A415" s="240"/>
      <c r="B415" s="4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</row>
    <row r="416" spans="1:36" x14ac:dyDescent="0.25">
      <c r="A416" s="240"/>
      <c r="B416" s="4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J416">
        <v>20</v>
      </c>
    </row>
    <row r="417" spans="1:32" x14ac:dyDescent="0.25">
      <c r="A417" s="240"/>
      <c r="B417" s="4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</row>
    <row r="418" spans="1:32" x14ac:dyDescent="0.25">
      <c r="A418" s="240"/>
      <c r="B418" s="4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</row>
    <row r="419" spans="1:32" x14ac:dyDescent="0.25">
      <c r="B419" s="4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</row>
    <row r="420" spans="1:32" x14ac:dyDescent="0.25">
      <c r="B420" s="4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</row>
    <row r="421" spans="1:32" x14ac:dyDescent="0.25">
      <c r="B421" s="4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</row>
    <row r="422" spans="1:32" x14ac:dyDescent="0.25">
      <c r="B422" s="4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</row>
    <row r="423" spans="1:32" x14ac:dyDescent="0.25">
      <c r="B423" s="4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</row>
    <row r="424" spans="1:32" x14ac:dyDescent="0.25">
      <c r="B424" s="4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</row>
    <row r="425" spans="1:32" x14ac:dyDescent="0.25">
      <c r="B425" s="4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</row>
    <row r="426" spans="1:32" x14ac:dyDescent="0.25">
      <c r="B426" s="4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</row>
  </sheetData>
  <protectedRanges>
    <protectedRange algorithmName="SHA-512" hashValue="wWxBWRkv4BaWtI4kpwLHJmVHSs1G7m2xHw0+NMhRBy9FAEw3SFXZSfwwKmqh1Px4P2yXmQ48OKhCP1gffosyiw==" saltValue="ullz9aDsFVHzjLVslRM0+w==" spinCount="100000" sqref="AF4:AF73 B1:H84 A1:A294 B86:H294 A295:H1048576" name="Rango1"/>
    <protectedRange algorithmName="SHA-512" hashValue="lZBzFGXt3LxEbl4sN5g6fZtiP35iXNQ8wfy0JDXR/jSOXMRC2sb8okXz03IUNyOI1AtOkyrSdXjzPjC9gRyLqA==" saltValue="VNxa233dB5WVLvznLY6dMA==" spinCount="100000" sqref="AF4:AF73 AB128 B1:AE84 B86:AA129 AD86:AE129 AB86:AC127 AB129:AC129 A1:A227 B130:AE227 A228:AE375 AB376:AE392 A376:AA1048576" name="Rango2"/>
  </protectedRanges>
  <mergeCells count="38">
    <mergeCell ref="Y4:Y6"/>
    <mergeCell ref="Z4:Z6"/>
    <mergeCell ref="AA4:AA6"/>
    <mergeCell ref="AB4:AC4"/>
    <mergeCell ref="AD4:AE4"/>
    <mergeCell ref="AF4:AF6"/>
    <mergeCell ref="AB5:AB6"/>
    <mergeCell ref="AC5:AC6"/>
    <mergeCell ref="AD5:AD6"/>
    <mergeCell ref="AE5:AE6"/>
    <mergeCell ref="R4:S4"/>
    <mergeCell ref="T4:T6"/>
    <mergeCell ref="U4:U6"/>
    <mergeCell ref="V4:V6"/>
    <mergeCell ref="W4:W6"/>
    <mergeCell ref="M4:M6"/>
    <mergeCell ref="N4:O4"/>
    <mergeCell ref="P4:Q4"/>
    <mergeCell ref="N5:N6"/>
    <mergeCell ref="O5:O6"/>
    <mergeCell ref="P5:P6"/>
    <mergeCell ref="Q5:Q6"/>
    <mergeCell ref="A2:Z2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X4:X6"/>
    <mergeCell ref="R5:R6"/>
    <mergeCell ref="S5:S6"/>
    <mergeCell ref="J4:J6"/>
    <mergeCell ref="K4:K6"/>
    <mergeCell ref="L4:L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F0AA0-4B83-4169-BF81-FAED30D12DF4}">
  <sheetPr>
    <tabColor rgb="FFFF0000"/>
  </sheetPr>
  <dimension ref="A1:L32"/>
  <sheetViews>
    <sheetView topLeftCell="L1" workbookViewId="0">
      <selection activeCell="L4" sqref="L4"/>
    </sheetView>
  </sheetViews>
  <sheetFormatPr baseColWidth="10" defaultColWidth="8.7109375" defaultRowHeight="15" x14ac:dyDescent="0.25"/>
  <cols>
    <col min="1" max="1" width="9.42578125" bestFit="1" customWidth="1"/>
    <col min="2" max="2" width="13.85546875" bestFit="1" customWidth="1"/>
    <col min="9" max="9" width="13.28515625" customWidth="1"/>
    <col min="10" max="10" width="42.140625" customWidth="1"/>
  </cols>
  <sheetData>
    <row r="1" spans="1:10" x14ac:dyDescent="0.25">
      <c r="A1" t="s">
        <v>825</v>
      </c>
      <c r="B1" t="s">
        <v>826</v>
      </c>
      <c r="C1" t="s">
        <v>5</v>
      </c>
      <c r="D1" t="s">
        <v>6</v>
      </c>
      <c r="E1" t="s">
        <v>7</v>
      </c>
      <c r="F1" t="s">
        <v>8</v>
      </c>
      <c r="G1" t="s">
        <v>827</v>
      </c>
      <c r="H1" t="s">
        <v>828</v>
      </c>
      <c r="I1" t="s">
        <v>829</v>
      </c>
      <c r="J1" t="s">
        <v>830</v>
      </c>
    </row>
    <row r="2" spans="1:10" x14ac:dyDescent="0.25">
      <c r="A2" s="70">
        <v>45659</v>
      </c>
      <c r="B2" t="s">
        <v>598</v>
      </c>
    </row>
    <row r="3" spans="1:10" x14ac:dyDescent="0.25">
      <c r="A3" s="70">
        <v>45664</v>
      </c>
      <c r="B3" t="s">
        <v>598</v>
      </c>
    </row>
    <row r="4" spans="1:10" x14ac:dyDescent="0.25">
      <c r="A4" s="70">
        <v>45665</v>
      </c>
      <c r="B4" t="s">
        <v>598</v>
      </c>
    </row>
    <row r="5" spans="1:10" x14ac:dyDescent="0.25">
      <c r="A5" s="70">
        <v>45670</v>
      </c>
      <c r="B5" t="s">
        <v>598</v>
      </c>
    </row>
    <row r="6" spans="1:10" x14ac:dyDescent="0.25">
      <c r="A6" s="70">
        <v>45672</v>
      </c>
      <c r="B6" t="s">
        <v>598</v>
      </c>
    </row>
    <row r="7" spans="1:10" x14ac:dyDescent="0.25">
      <c r="A7" s="70">
        <v>45673</v>
      </c>
      <c r="B7" t="s">
        <v>598</v>
      </c>
    </row>
    <row r="8" spans="1:10" x14ac:dyDescent="0.25">
      <c r="A8" s="70">
        <v>45677</v>
      </c>
      <c r="B8" t="s">
        <v>598</v>
      </c>
    </row>
    <row r="9" spans="1:10" x14ac:dyDescent="0.25">
      <c r="A9" s="70">
        <v>45684</v>
      </c>
      <c r="B9" t="s">
        <v>598</v>
      </c>
    </row>
    <row r="10" spans="1:10" ht="15.75" thickBot="1" x14ac:dyDescent="0.3">
      <c r="A10" s="70">
        <v>45685</v>
      </c>
      <c r="B10" t="s">
        <v>598</v>
      </c>
    </row>
    <row r="11" spans="1:10" x14ac:dyDescent="0.25">
      <c r="A11" s="75" t="s">
        <v>825</v>
      </c>
      <c r="B11" s="76" t="s">
        <v>826</v>
      </c>
      <c r="C11" s="76" t="s">
        <v>5</v>
      </c>
      <c r="D11" s="76" t="s">
        <v>6</v>
      </c>
      <c r="E11" s="76" t="s">
        <v>7</v>
      </c>
      <c r="F11" s="76" t="s">
        <v>8</v>
      </c>
      <c r="G11" s="76" t="s">
        <v>827</v>
      </c>
      <c r="H11" s="76" t="s">
        <v>828</v>
      </c>
      <c r="I11" s="76" t="s">
        <v>829</v>
      </c>
      <c r="J11" s="77" t="s">
        <v>830</v>
      </c>
    </row>
    <row r="12" spans="1:10" x14ac:dyDescent="0.25">
      <c r="A12" s="78">
        <v>45693</v>
      </c>
      <c r="B12" s="79" t="s">
        <v>621</v>
      </c>
      <c r="C12" s="80">
        <v>0.21527777777777779</v>
      </c>
      <c r="D12" s="80">
        <v>0.2361111111111111</v>
      </c>
      <c r="E12" s="80">
        <v>0.27777777777777779</v>
      </c>
      <c r="F12" s="80">
        <v>0.29722222222222222</v>
      </c>
      <c r="G12" s="81">
        <f t="shared" ref="G12:G14" si="0">F12-D12</f>
        <v>6.1111111111111116E-2</v>
      </c>
      <c r="H12" s="80">
        <v>1.9444444444444445E-2</v>
      </c>
      <c r="I12" s="79" t="s">
        <v>50</v>
      </c>
      <c r="J12" s="82" t="s">
        <v>604</v>
      </c>
    </row>
    <row r="13" spans="1:10" ht="42" customHeight="1" x14ac:dyDescent="0.25">
      <c r="A13" s="83">
        <v>45694</v>
      </c>
      <c r="B13" s="84" t="s">
        <v>621</v>
      </c>
      <c r="C13" s="81">
        <v>0.21527777777777779</v>
      </c>
      <c r="D13" s="81">
        <v>0.31597222222222221</v>
      </c>
      <c r="E13" s="81">
        <v>0.25277777777777777</v>
      </c>
      <c r="F13" s="81">
        <v>0.39166666666666666</v>
      </c>
      <c r="G13" s="81">
        <f t="shared" si="0"/>
        <v>7.5694444444444453E-2</v>
      </c>
      <c r="H13" s="81">
        <v>0.10069444444444445</v>
      </c>
      <c r="I13" s="84" t="s">
        <v>634</v>
      </c>
      <c r="J13" s="85" t="s">
        <v>831</v>
      </c>
    </row>
    <row r="14" spans="1:10" ht="15.75" thickBot="1" x14ac:dyDescent="0.3">
      <c r="A14" s="86">
        <v>45699</v>
      </c>
      <c r="B14" s="87" t="s">
        <v>621</v>
      </c>
      <c r="C14" s="88">
        <v>0.21527777777777779</v>
      </c>
      <c r="D14" s="88">
        <v>0.23402777777777778</v>
      </c>
      <c r="E14" s="88">
        <v>0.27777777777777779</v>
      </c>
      <c r="F14" s="88">
        <v>0.28541666666666665</v>
      </c>
      <c r="G14" s="89">
        <f t="shared" si="0"/>
        <v>5.1388888888888873E-2</v>
      </c>
      <c r="H14" s="88">
        <v>1.3194444444444444E-2</v>
      </c>
      <c r="I14" s="87" t="s">
        <v>50</v>
      </c>
      <c r="J14" s="90" t="s">
        <v>832</v>
      </c>
    </row>
    <row r="18" spans="1:12" x14ac:dyDescent="0.25">
      <c r="A18" t="s">
        <v>833</v>
      </c>
    </row>
    <row r="20" spans="1:12" x14ac:dyDescent="0.25">
      <c r="A20" s="75" t="s">
        <v>825</v>
      </c>
      <c r="B20" s="76" t="s">
        <v>826</v>
      </c>
      <c r="C20" s="76" t="s">
        <v>5</v>
      </c>
      <c r="D20" s="76" t="s">
        <v>6</v>
      </c>
      <c r="E20" s="76" t="s">
        <v>7</v>
      </c>
      <c r="F20" s="76" t="s">
        <v>8</v>
      </c>
      <c r="G20" s="76" t="s">
        <v>827</v>
      </c>
      <c r="H20" s="76" t="s">
        <v>828</v>
      </c>
      <c r="I20" s="76" t="s">
        <v>829</v>
      </c>
      <c r="J20" s="76" t="s">
        <v>12</v>
      </c>
      <c r="K20" s="142" t="s">
        <v>834</v>
      </c>
      <c r="L20" s="143" t="s">
        <v>835</v>
      </c>
    </row>
    <row r="21" spans="1:12" x14ac:dyDescent="0.25">
      <c r="A21" s="83">
        <v>45694</v>
      </c>
      <c r="B21" s="84" t="s">
        <v>621</v>
      </c>
      <c r="C21" s="81">
        <v>0.21527777777777779</v>
      </c>
      <c r="D21" s="81">
        <v>0.31597222222222221</v>
      </c>
      <c r="E21" s="81">
        <v>0.25277777777777777</v>
      </c>
      <c r="F21" s="81">
        <v>0.39166666666666666</v>
      </c>
      <c r="G21" s="81">
        <f t="shared" ref="G21" si="1">F21-D21</f>
        <v>7.5694444444444453E-2</v>
      </c>
      <c r="H21" s="81">
        <v>1.3194444444444444E-2</v>
      </c>
      <c r="I21" s="84" t="s">
        <v>712</v>
      </c>
      <c r="J21" s="139" t="s">
        <v>836</v>
      </c>
      <c r="K21" s="144"/>
      <c r="L21" s="145"/>
    </row>
    <row r="22" spans="1:12" x14ac:dyDescent="0.25">
      <c r="A22" s="83">
        <v>45710</v>
      </c>
      <c r="B22" s="84" t="s">
        <v>621</v>
      </c>
      <c r="C22" s="81">
        <v>0.21527777777777779</v>
      </c>
      <c r="D22" s="81">
        <v>0.31597222222222221</v>
      </c>
      <c r="E22" s="81">
        <v>0.25277777777777777</v>
      </c>
      <c r="F22" s="81">
        <v>0.39166666666666666</v>
      </c>
      <c r="G22" s="81">
        <f t="shared" ref="G22:G23" si="2">F22-D22</f>
        <v>7.5694444444444453E-2</v>
      </c>
      <c r="H22" s="81">
        <v>2.1527777777777778E-2</v>
      </c>
      <c r="I22" s="84">
        <v>22</v>
      </c>
      <c r="J22" s="140" t="s">
        <v>837</v>
      </c>
      <c r="K22" s="144"/>
      <c r="L22" s="145"/>
    </row>
    <row r="23" spans="1:12" x14ac:dyDescent="0.25">
      <c r="A23" s="86">
        <v>45712</v>
      </c>
      <c r="B23" s="87" t="s">
        <v>621</v>
      </c>
      <c r="C23" s="88">
        <v>0.21527777777777779</v>
      </c>
      <c r="D23" s="88">
        <v>0.23402777777777778</v>
      </c>
      <c r="E23" s="88">
        <v>0.27777777777777779</v>
      </c>
      <c r="F23" s="88">
        <v>0.28541666666666665</v>
      </c>
      <c r="G23" s="89">
        <f t="shared" si="2"/>
        <v>5.1388888888888873E-2</v>
      </c>
      <c r="H23" s="88">
        <v>4.8611111111111112E-3</v>
      </c>
      <c r="I23" s="87" t="s">
        <v>567</v>
      </c>
      <c r="J23" s="141" t="s">
        <v>838</v>
      </c>
      <c r="K23" s="146"/>
      <c r="L23" s="147"/>
    </row>
    <row r="25" spans="1:12" x14ac:dyDescent="0.25">
      <c r="A25" s="75" t="s">
        <v>825</v>
      </c>
      <c r="B25" s="76" t="s">
        <v>826</v>
      </c>
      <c r="C25" s="76" t="s">
        <v>5</v>
      </c>
      <c r="D25" s="76" t="s">
        <v>6</v>
      </c>
      <c r="E25" s="76" t="s">
        <v>7</v>
      </c>
      <c r="F25" s="76" t="s">
        <v>8</v>
      </c>
      <c r="G25" s="76" t="s">
        <v>827</v>
      </c>
      <c r="H25" s="76" t="s">
        <v>828</v>
      </c>
      <c r="I25" s="76" t="s">
        <v>829</v>
      </c>
      <c r="J25" s="76" t="s">
        <v>12</v>
      </c>
      <c r="K25" s="142" t="s">
        <v>834</v>
      </c>
      <c r="L25" s="143" t="s">
        <v>835</v>
      </c>
    </row>
    <row r="26" spans="1:12" x14ac:dyDescent="0.25">
      <c r="A26" s="83">
        <v>45723</v>
      </c>
      <c r="B26" s="84" t="s">
        <v>621</v>
      </c>
      <c r="C26" s="81">
        <v>0.21527777777777779</v>
      </c>
      <c r="D26" s="81">
        <v>0.24305555555555555</v>
      </c>
      <c r="E26" s="81">
        <v>0.27777777777777779</v>
      </c>
      <c r="F26" s="81">
        <v>0.31666666666666665</v>
      </c>
      <c r="G26" s="81">
        <f t="shared" ref="G26:G27" si="3">F26-D26</f>
        <v>7.3611111111111099E-2</v>
      </c>
      <c r="H26" s="81">
        <v>1.1111111111111112E-2</v>
      </c>
      <c r="I26" s="84" t="s">
        <v>839</v>
      </c>
      <c r="J26" s="139" t="s">
        <v>840</v>
      </c>
      <c r="K26" s="144"/>
      <c r="L26" s="145"/>
    </row>
    <row r="27" spans="1:12" x14ac:dyDescent="0.25">
      <c r="A27" s="83">
        <v>45744</v>
      </c>
      <c r="B27" s="84" t="s">
        <v>621</v>
      </c>
      <c r="C27" s="81">
        <v>0.21527777777777779</v>
      </c>
      <c r="D27" s="81">
        <v>0.21944444444444444</v>
      </c>
      <c r="E27" s="81">
        <v>0.27777777777777779</v>
      </c>
      <c r="F27" s="81">
        <v>0.30416666666666664</v>
      </c>
      <c r="G27" s="81">
        <f t="shared" si="3"/>
        <v>8.4722222222222199E-2</v>
      </c>
      <c r="H27" s="81">
        <v>2.6388888888888889E-2</v>
      </c>
      <c r="I27" s="84" t="s">
        <v>712</v>
      </c>
      <c r="J27" s="139" t="s">
        <v>836</v>
      </c>
      <c r="K27" s="144"/>
      <c r="L27" s="145"/>
    </row>
    <row r="29" spans="1:12" x14ac:dyDescent="0.25">
      <c r="A29" s="75" t="s">
        <v>825</v>
      </c>
      <c r="B29" s="76" t="s">
        <v>826</v>
      </c>
      <c r="C29" s="76" t="s">
        <v>5</v>
      </c>
      <c r="D29" s="76" t="s">
        <v>6</v>
      </c>
      <c r="E29" s="76" t="s">
        <v>7</v>
      </c>
      <c r="F29" s="76" t="s">
        <v>8</v>
      </c>
      <c r="G29" s="76" t="s">
        <v>827</v>
      </c>
      <c r="H29" s="76" t="s">
        <v>828</v>
      </c>
      <c r="I29" s="76" t="s">
        <v>829</v>
      </c>
      <c r="J29" s="76" t="s">
        <v>12</v>
      </c>
    </row>
    <row r="30" spans="1:12" x14ac:dyDescent="0.25">
      <c r="A30" s="83" t="s">
        <v>213</v>
      </c>
      <c r="B30" s="84" t="s">
        <v>621</v>
      </c>
      <c r="C30" s="81" t="s">
        <v>213</v>
      </c>
      <c r="D30" s="81" t="s">
        <v>213</v>
      </c>
      <c r="E30" s="81" t="s">
        <v>213</v>
      </c>
      <c r="F30" s="81" t="s">
        <v>213</v>
      </c>
      <c r="G30" s="81" t="s">
        <v>213</v>
      </c>
      <c r="H30" s="81" t="s">
        <v>213</v>
      </c>
      <c r="I30" s="81" t="s">
        <v>213</v>
      </c>
      <c r="J30" s="81" t="s">
        <v>213</v>
      </c>
    </row>
    <row r="32" spans="1:12" x14ac:dyDescent="0.25">
      <c r="J32" t="s">
        <v>841</v>
      </c>
    </row>
  </sheetData>
  <protectedRanges>
    <protectedRange algorithmName="SHA-512" hashValue="wWxBWRkv4BaWtI4kpwLHJmVHSs1G7m2xHw0+NMhRBy9FAEw3SFXZSfwwKmqh1Px4P2yXmQ48OKhCP1gffosyiw==" saltValue="ullz9aDsFVHzjLVslRM0+w==" spinCount="100000" sqref="A12:B12" name="Rango1"/>
    <protectedRange algorithmName="SHA-512" hashValue="lZBzFGXt3LxEbl4sN5g6fZtiP35iXNQ8wfy0JDXR/jSOXMRC2sb8okXz03IUNyOI1AtOkyrSdXjzPjC9gRyLqA==" saltValue="VNxa233dB5WVLvznLY6dMA==" spinCount="100000" sqref="A12:B12" name="Rango2"/>
    <protectedRange algorithmName="SHA-512" hashValue="wWxBWRkv4BaWtI4kpwLHJmVHSs1G7m2xHw0+NMhRBy9FAEw3SFXZSfwwKmqh1Px4P2yXmQ48OKhCP1gffosyiw==" saltValue="ullz9aDsFVHzjLVslRM0+w==" spinCount="100000" sqref="C12:F12" name="Rango1_1"/>
    <protectedRange algorithmName="SHA-512" hashValue="lZBzFGXt3LxEbl4sN5g6fZtiP35iXNQ8wfy0JDXR/jSOXMRC2sb8okXz03IUNyOI1AtOkyrSdXjzPjC9gRyLqA==" saltValue="VNxa233dB5WVLvznLY6dMA==" spinCount="100000" sqref="C12:I12" name="Rango2_1"/>
    <protectedRange algorithmName="SHA-512" hashValue="lZBzFGXt3LxEbl4sN5g6fZtiP35iXNQ8wfy0JDXR/jSOXMRC2sb8okXz03IUNyOI1AtOkyrSdXjzPjC9gRyLqA==" saltValue="VNxa233dB5WVLvznLY6dMA==" spinCount="100000" sqref="J12" name="Rango2_2"/>
    <protectedRange algorithmName="SHA-512" hashValue="wWxBWRkv4BaWtI4kpwLHJmVHSs1G7m2xHw0+NMhRBy9FAEw3SFXZSfwwKmqh1Px4P2yXmQ48OKhCP1gffosyiw==" saltValue="ullz9aDsFVHzjLVslRM0+w==" spinCount="100000" sqref="A13:B13 A21:B22 A26:B27 A30:B30" name="Rango1_2"/>
    <protectedRange algorithmName="SHA-512" hashValue="lZBzFGXt3LxEbl4sN5g6fZtiP35iXNQ8wfy0JDXR/jSOXMRC2sb8okXz03IUNyOI1AtOkyrSdXjzPjC9gRyLqA==" saltValue="VNxa233dB5WVLvznLY6dMA==" spinCount="100000" sqref="A13:B13 A21:B22 A26:B27 A30:B30" name="Rango2_3"/>
    <protectedRange algorithmName="SHA-512" hashValue="wWxBWRkv4BaWtI4kpwLHJmVHSs1G7m2xHw0+NMhRBy9FAEw3SFXZSfwwKmqh1Px4P2yXmQ48OKhCP1gffosyiw==" saltValue="ullz9aDsFVHzjLVslRM0+w==" spinCount="100000" sqref="C13:F13 C21:F22 C26:F27 C30:J30" name="Rango1_3"/>
    <protectedRange algorithmName="SHA-512" hashValue="lZBzFGXt3LxEbl4sN5g6fZtiP35iXNQ8wfy0JDXR/jSOXMRC2sb8okXz03IUNyOI1AtOkyrSdXjzPjC9gRyLqA==" saltValue="VNxa233dB5WVLvznLY6dMA==" spinCount="100000" sqref="C13:I13 C21:I22 C26:I27 C30:J30" name="Rango2_4"/>
    <protectedRange algorithmName="SHA-512" hashValue="lZBzFGXt3LxEbl4sN5g6fZtiP35iXNQ8wfy0JDXR/jSOXMRC2sb8okXz03IUNyOI1AtOkyrSdXjzPjC9gRyLqA==" saltValue="VNxa233dB5WVLvznLY6dMA==" spinCount="100000" sqref="J13 J21 J26:J27" name="Rango2_5"/>
    <protectedRange algorithmName="SHA-512" hashValue="wWxBWRkv4BaWtI4kpwLHJmVHSs1G7m2xHw0+NMhRBy9FAEw3SFXZSfwwKmqh1Px4P2yXmQ48OKhCP1gffosyiw==" saltValue="ullz9aDsFVHzjLVslRM0+w==" spinCount="100000" sqref="A14:B14 A23:B23" name="Rango1_4"/>
    <protectedRange algorithmName="SHA-512" hashValue="lZBzFGXt3LxEbl4sN5g6fZtiP35iXNQ8wfy0JDXR/jSOXMRC2sb8okXz03IUNyOI1AtOkyrSdXjzPjC9gRyLqA==" saltValue="VNxa233dB5WVLvznLY6dMA==" spinCount="100000" sqref="A14:B14 A23:B23" name="Rango2_6"/>
    <protectedRange algorithmName="SHA-512" hashValue="wWxBWRkv4BaWtI4kpwLHJmVHSs1G7m2xHw0+NMhRBy9FAEw3SFXZSfwwKmqh1Px4P2yXmQ48OKhCP1gffosyiw==" saltValue="ullz9aDsFVHzjLVslRM0+w==" spinCount="100000" sqref="C14:F14 C23:F23" name="Rango1_5"/>
    <protectedRange algorithmName="SHA-512" hashValue="lZBzFGXt3LxEbl4sN5g6fZtiP35iXNQ8wfy0JDXR/jSOXMRC2sb8okXz03IUNyOI1AtOkyrSdXjzPjC9gRyLqA==" saltValue="VNxa233dB5WVLvznLY6dMA==" spinCount="100000" sqref="C14:I14 C23:I23" name="Rango2_7"/>
    <protectedRange algorithmName="SHA-512" hashValue="lZBzFGXt3LxEbl4sN5g6fZtiP35iXNQ8wfy0JDXR/jSOXMRC2sb8okXz03IUNyOI1AtOkyrSdXjzPjC9gRyLqA==" saltValue="VNxa233dB5WVLvznLY6dMA==" spinCount="100000" sqref="J14 J23" name="Rango2_8"/>
    <protectedRange algorithmName="SHA-512" hashValue="lZBzFGXt3LxEbl4sN5g6fZtiP35iXNQ8wfy0JDXR/jSOXMRC2sb8okXz03IUNyOI1AtOkyrSdXjzPjC9gRyLqA==" saltValue="VNxa233dB5WVLvznLY6dMA==" spinCount="100000" sqref="J22" name="Rango2_9"/>
  </protectedRange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E70E2-0EAF-41A7-B2A4-3E39CA5C1AA7}">
  <sheetPr>
    <tabColor rgb="FFFF0000"/>
  </sheetPr>
  <dimension ref="A1:FF53"/>
  <sheetViews>
    <sheetView topLeftCell="W49" workbookViewId="0">
      <selection activeCell="W49" sqref="W49"/>
    </sheetView>
  </sheetViews>
  <sheetFormatPr baseColWidth="10" defaultColWidth="8.7109375" defaultRowHeight="15" x14ac:dyDescent="0.25"/>
  <cols>
    <col min="1" max="1" width="28.7109375" customWidth="1"/>
    <col min="2" max="2" width="13.7109375" bestFit="1" customWidth="1"/>
    <col min="3" max="3" width="15.140625" bestFit="1" customWidth="1"/>
    <col min="4" max="4" width="18.85546875" customWidth="1"/>
    <col min="5" max="5" width="0.140625" customWidth="1"/>
    <col min="6" max="6" width="4.42578125" customWidth="1"/>
    <col min="15" max="15" width="9.28515625" bestFit="1" customWidth="1"/>
  </cols>
  <sheetData>
    <row r="1" spans="1:162" x14ac:dyDescent="0.25">
      <c r="A1" s="92" t="s">
        <v>120</v>
      </c>
      <c r="B1" s="93">
        <v>45688</v>
      </c>
      <c r="C1" s="93">
        <v>45689</v>
      </c>
      <c r="D1" s="93">
        <v>45690</v>
      </c>
      <c r="E1" s="93">
        <v>45691</v>
      </c>
      <c r="F1" s="93">
        <v>45692</v>
      </c>
      <c r="G1" s="93">
        <v>45693</v>
      </c>
      <c r="H1" s="93">
        <v>45694</v>
      </c>
      <c r="I1" s="93">
        <v>45695</v>
      </c>
      <c r="J1" s="93">
        <v>45696</v>
      </c>
      <c r="K1" s="93">
        <v>45697</v>
      </c>
      <c r="L1" s="93">
        <v>45698</v>
      </c>
      <c r="M1" s="93">
        <v>45699</v>
      </c>
      <c r="N1" s="93">
        <v>45700</v>
      </c>
      <c r="O1" s="94">
        <v>45701</v>
      </c>
      <c r="P1" s="46">
        <v>45702</v>
      </c>
      <c r="Q1" s="45">
        <v>45703</v>
      </c>
      <c r="R1" s="45">
        <v>45704</v>
      </c>
      <c r="S1" s="45">
        <v>45705</v>
      </c>
      <c r="T1" s="45">
        <v>45706</v>
      </c>
      <c r="U1" s="45">
        <v>45707</v>
      </c>
      <c r="V1" s="45">
        <v>45708</v>
      </c>
      <c r="W1" s="45">
        <v>45709</v>
      </c>
      <c r="X1" s="45">
        <v>45710</v>
      </c>
      <c r="Y1" s="45">
        <v>45711</v>
      </c>
      <c r="Z1" s="45">
        <v>45712</v>
      </c>
      <c r="AA1" s="45">
        <v>45713</v>
      </c>
      <c r="AB1" s="45">
        <v>45714</v>
      </c>
      <c r="AC1" s="45">
        <v>45715</v>
      </c>
      <c r="AD1" s="45">
        <v>45716</v>
      </c>
      <c r="AE1" s="45">
        <v>45717</v>
      </c>
      <c r="AF1" s="45">
        <v>45718</v>
      </c>
      <c r="AG1" s="45">
        <v>45719</v>
      </c>
      <c r="AH1" s="45">
        <v>45720</v>
      </c>
      <c r="AI1" s="45">
        <v>45721</v>
      </c>
      <c r="AJ1" s="45">
        <v>45722</v>
      </c>
      <c r="AK1" s="45">
        <v>45723</v>
      </c>
      <c r="AL1" s="45">
        <v>45724</v>
      </c>
      <c r="AM1" s="45">
        <v>45725</v>
      </c>
      <c r="AN1" s="45">
        <v>45726</v>
      </c>
      <c r="AO1" s="45">
        <v>45727</v>
      </c>
      <c r="AP1" s="45">
        <v>45728</v>
      </c>
      <c r="AQ1" s="45">
        <v>45729</v>
      </c>
      <c r="AR1" s="45">
        <v>45730</v>
      </c>
      <c r="AS1" s="45">
        <v>45731</v>
      </c>
      <c r="AT1" s="45">
        <v>45732</v>
      </c>
      <c r="AU1" s="45">
        <v>45733</v>
      </c>
      <c r="AV1" s="45">
        <v>45734</v>
      </c>
      <c r="AW1" s="45">
        <v>45735</v>
      </c>
      <c r="AX1" s="45">
        <v>45736</v>
      </c>
      <c r="AY1" s="45">
        <v>45737</v>
      </c>
      <c r="AZ1" s="45">
        <v>45738</v>
      </c>
      <c r="BA1" s="45">
        <v>45739</v>
      </c>
      <c r="BB1" s="45">
        <v>45740</v>
      </c>
      <c r="BC1" s="45">
        <v>45741</v>
      </c>
      <c r="BD1" s="45">
        <v>45742</v>
      </c>
      <c r="BE1" s="45">
        <v>45743</v>
      </c>
      <c r="BF1" s="45">
        <v>45744</v>
      </c>
      <c r="BG1" s="45">
        <v>45745</v>
      </c>
      <c r="BH1" s="45">
        <v>45746</v>
      </c>
      <c r="BI1" s="45">
        <v>45747</v>
      </c>
      <c r="BJ1" s="45">
        <v>45748</v>
      </c>
      <c r="BK1" s="45">
        <v>45749</v>
      </c>
      <c r="BL1" s="45">
        <v>45750</v>
      </c>
      <c r="BM1" s="45">
        <v>45751</v>
      </c>
      <c r="BN1" s="45">
        <v>45752</v>
      </c>
      <c r="BO1" s="45">
        <v>45753</v>
      </c>
      <c r="BP1" s="45">
        <v>45754</v>
      </c>
      <c r="BQ1" s="45">
        <v>45755</v>
      </c>
      <c r="BR1" s="45">
        <v>45756</v>
      </c>
      <c r="BS1" s="47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1"/>
    </row>
    <row r="2" spans="1:162" x14ac:dyDescent="0.25">
      <c r="A2" s="98">
        <v>1</v>
      </c>
      <c r="B2" s="99">
        <v>0.21666666666666667</v>
      </c>
      <c r="C2" s="99">
        <v>0.24791666666666667</v>
      </c>
      <c r="D2" s="100">
        <v>0</v>
      </c>
      <c r="E2" s="99">
        <v>0.19930555555555557</v>
      </c>
      <c r="F2" s="99">
        <v>0.22708333333333333</v>
      </c>
      <c r="G2" s="99">
        <v>0.24930555555555556</v>
      </c>
      <c r="H2" s="99">
        <v>0.33194444444444443</v>
      </c>
      <c r="I2" s="99">
        <v>0.21388888888888888</v>
      </c>
      <c r="J2" s="99">
        <v>0.26250000000000001</v>
      </c>
      <c r="K2" s="100">
        <v>0</v>
      </c>
      <c r="L2" s="99">
        <v>0.1736111111111111</v>
      </c>
      <c r="M2" s="99">
        <v>0.25277777777777777</v>
      </c>
      <c r="N2" s="99">
        <v>0.25555555555555554</v>
      </c>
      <c r="O2" s="101">
        <v>0.30416666666666664</v>
      </c>
      <c r="P2" s="112">
        <v>0.22708333333333333</v>
      </c>
      <c r="Q2" s="113">
        <v>0.28472222222222221</v>
      </c>
      <c r="R2" s="48">
        <v>0</v>
      </c>
      <c r="S2" s="113">
        <v>0.18055555555555555</v>
      </c>
      <c r="T2" s="48"/>
      <c r="U2" s="48"/>
      <c r="V2" s="48"/>
      <c r="W2" s="48"/>
      <c r="X2" s="48"/>
      <c r="Y2" s="48">
        <v>0</v>
      </c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42"/>
    </row>
    <row r="3" spans="1:162" x14ac:dyDescent="0.25">
      <c r="A3" s="102">
        <v>2</v>
      </c>
      <c r="B3" s="97">
        <v>0.22013888888888888</v>
      </c>
      <c r="C3" s="97">
        <v>0.25138888888888888</v>
      </c>
      <c r="D3" s="96">
        <v>0</v>
      </c>
      <c r="E3" s="97">
        <v>0.20208333333333334</v>
      </c>
      <c r="F3" s="97">
        <v>0.22916666666666666</v>
      </c>
      <c r="G3" s="97">
        <v>0.25624999999999998</v>
      </c>
      <c r="H3" s="97">
        <v>0.33402777777777776</v>
      </c>
      <c r="I3" s="97">
        <v>0.22500000000000001</v>
      </c>
      <c r="J3" s="97">
        <v>0.26597222222222222</v>
      </c>
      <c r="K3" s="96">
        <v>0</v>
      </c>
      <c r="L3" s="97">
        <v>0.17847222222222223</v>
      </c>
      <c r="M3" s="97">
        <v>0.25833333333333336</v>
      </c>
      <c r="N3" s="97">
        <v>0.25833333333333336</v>
      </c>
      <c r="O3" s="103">
        <v>0.30902777777777779</v>
      </c>
      <c r="P3" s="112">
        <v>0.23055555555555557</v>
      </c>
      <c r="Q3" s="113">
        <v>0.29097222222222224</v>
      </c>
      <c r="R3" s="48">
        <v>0</v>
      </c>
      <c r="S3" s="113">
        <v>0.18402777777777779</v>
      </c>
      <c r="T3" s="48"/>
      <c r="U3" s="48"/>
      <c r="V3" s="48"/>
      <c r="W3" s="48"/>
      <c r="X3" s="48"/>
      <c r="Y3" s="48">
        <v>0</v>
      </c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42"/>
    </row>
    <row r="4" spans="1:162" x14ac:dyDescent="0.25">
      <c r="A4" s="102">
        <v>3</v>
      </c>
      <c r="B4" s="97">
        <v>0.22847222222222222</v>
      </c>
      <c r="C4" s="97">
        <v>0.25555555555555554</v>
      </c>
      <c r="D4" s="96">
        <v>0</v>
      </c>
      <c r="E4" s="97">
        <v>0.2048611111111111</v>
      </c>
      <c r="F4" s="97">
        <v>0.24166666666666667</v>
      </c>
      <c r="G4" s="97">
        <v>0.26458333333333334</v>
      </c>
      <c r="H4" s="97">
        <v>0.34513888888888888</v>
      </c>
      <c r="I4" s="97">
        <v>0.2298611111111111</v>
      </c>
      <c r="J4" s="97">
        <v>0.27083333333333331</v>
      </c>
      <c r="K4" s="96">
        <v>0</v>
      </c>
      <c r="L4" s="97">
        <v>0.18541666666666667</v>
      </c>
      <c r="M4" s="97">
        <v>0.2638888888888889</v>
      </c>
      <c r="N4" s="97">
        <v>0.26180555555555557</v>
      </c>
      <c r="O4" s="103">
        <v>0.32847222222222222</v>
      </c>
      <c r="P4" s="112">
        <v>0.24236111111111111</v>
      </c>
      <c r="Q4" s="113">
        <v>0.29444444444444445</v>
      </c>
      <c r="R4" s="48">
        <v>0</v>
      </c>
      <c r="S4" s="113">
        <v>0.18888888888888888</v>
      </c>
      <c r="T4" s="48"/>
      <c r="U4" s="48"/>
      <c r="V4" s="48"/>
      <c r="W4" s="48"/>
      <c r="X4" s="48"/>
      <c r="Y4" s="48">
        <v>0</v>
      </c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42"/>
    </row>
    <row r="5" spans="1:162" x14ac:dyDescent="0.25">
      <c r="A5" s="102">
        <v>4</v>
      </c>
      <c r="B5" s="97">
        <v>0.25972222222222224</v>
      </c>
      <c r="C5" s="97">
        <v>0.25972222222222224</v>
      </c>
      <c r="D5" s="96">
        <v>0</v>
      </c>
      <c r="E5" s="97">
        <v>0.20902777777777778</v>
      </c>
      <c r="F5" s="97">
        <v>0.26527777777777778</v>
      </c>
      <c r="G5" s="97">
        <v>0.26805555555555555</v>
      </c>
      <c r="H5" s="97">
        <v>0.34722222222222221</v>
      </c>
      <c r="I5" s="97">
        <v>0.2326388888888889</v>
      </c>
      <c r="J5" s="97">
        <v>0.27430555555555558</v>
      </c>
      <c r="K5" s="96">
        <v>0</v>
      </c>
      <c r="L5" s="97">
        <v>0.1986111111111111</v>
      </c>
      <c r="M5" s="97">
        <v>0.26666666666666666</v>
      </c>
      <c r="N5" s="97">
        <v>0.26458333333333334</v>
      </c>
      <c r="O5" s="103">
        <v>0.33055555555555555</v>
      </c>
      <c r="P5" s="112">
        <v>0.24444444444444444</v>
      </c>
      <c r="Q5" s="113">
        <v>0.29791666666666666</v>
      </c>
      <c r="R5" s="48">
        <v>0</v>
      </c>
      <c r="S5" s="113">
        <v>0.1986111111111111</v>
      </c>
      <c r="T5" s="48"/>
      <c r="U5" s="48"/>
      <c r="V5" s="48"/>
      <c r="W5" s="48"/>
      <c r="X5" s="48"/>
      <c r="Y5" s="48">
        <v>0</v>
      </c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42"/>
    </row>
    <row r="6" spans="1:162" x14ac:dyDescent="0.25">
      <c r="A6" s="102">
        <v>5</v>
      </c>
      <c r="B6" s="97">
        <v>0.26250000000000001</v>
      </c>
      <c r="C6" s="97">
        <v>0.2638888888888889</v>
      </c>
      <c r="D6" s="96">
        <v>0</v>
      </c>
      <c r="E6" s="97">
        <v>0.21041666666666667</v>
      </c>
      <c r="F6" s="97">
        <v>0.26874999999999999</v>
      </c>
      <c r="G6" s="97">
        <v>0.27083333333333331</v>
      </c>
      <c r="H6" s="97">
        <v>0.34930555555555554</v>
      </c>
      <c r="I6" s="97">
        <v>0.23541666666666666</v>
      </c>
      <c r="J6" s="97">
        <v>0.27916666666666667</v>
      </c>
      <c r="K6" s="96">
        <v>0</v>
      </c>
      <c r="L6" s="97">
        <v>0.20208333333333334</v>
      </c>
      <c r="M6" s="97">
        <v>0.27013888888888887</v>
      </c>
      <c r="N6" s="97">
        <v>0.27152777777777776</v>
      </c>
      <c r="O6" s="103">
        <v>0.33611111111111114</v>
      </c>
      <c r="P6" s="112">
        <v>0.25486111111111109</v>
      </c>
      <c r="Q6" s="113">
        <v>0.30138888888888887</v>
      </c>
      <c r="R6" s="48">
        <v>0</v>
      </c>
      <c r="S6" s="113">
        <v>0.2048611111111111</v>
      </c>
      <c r="T6" s="48"/>
      <c r="U6" s="48"/>
      <c r="V6" s="48"/>
      <c r="W6" s="48"/>
      <c r="X6" s="48"/>
      <c r="Y6" s="48">
        <v>0</v>
      </c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42"/>
    </row>
    <row r="7" spans="1:162" x14ac:dyDescent="0.25">
      <c r="A7" s="102">
        <v>6</v>
      </c>
      <c r="B7" s="97">
        <v>0.26458333333333334</v>
      </c>
      <c r="C7" s="97">
        <v>0.27083333333333331</v>
      </c>
      <c r="D7" s="96">
        <v>0</v>
      </c>
      <c r="E7" s="97">
        <v>0.22361111111111112</v>
      </c>
      <c r="F7" s="96"/>
      <c r="G7" s="97">
        <v>0.27500000000000002</v>
      </c>
      <c r="H7" s="97">
        <v>0.35208333333333336</v>
      </c>
      <c r="I7" s="97">
        <v>0.2388888888888889</v>
      </c>
      <c r="J7" s="97">
        <v>0.28333333333333333</v>
      </c>
      <c r="K7" s="96">
        <v>0</v>
      </c>
      <c r="L7" s="97">
        <v>0.21041666666666667</v>
      </c>
      <c r="M7" s="97">
        <v>0.27291666666666664</v>
      </c>
      <c r="N7" s="97">
        <v>0.2722222222222222</v>
      </c>
      <c r="O7" s="103">
        <v>0.33958333333333335</v>
      </c>
      <c r="P7" s="112">
        <v>0.2590277777777778</v>
      </c>
      <c r="Q7" s="113">
        <v>0.29305555555555557</v>
      </c>
      <c r="R7" s="48">
        <v>0</v>
      </c>
      <c r="S7" s="113">
        <v>0.21875</v>
      </c>
      <c r="T7" s="48"/>
      <c r="U7" s="48"/>
      <c r="V7" s="48"/>
      <c r="W7" s="48"/>
      <c r="X7" s="48"/>
      <c r="Y7" s="48">
        <v>0</v>
      </c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42"/>
    </row>
    <row r="8" spans="1:162" x14ac:dyDescent="0.25">
      <c r="A8" s="102">
        <v>7</v>
      </c>
      <c r="B8" s="97">
        <v>0.27152777777777776</v>
      </c>
      <c r="C8" s="97">
        <v>0.27638888888888891</v>
      </c>
      <c r="D8" s="96">
        <v>0</v>
      </c>
      <c r="E8" s="96"/>
      <c r="F8" s="96"/>
      <c r="G8" s="96"/>
      <c r="H8" s="97">
        <v>0.35902777777777778</v>
      </c>
      <c r="I8" s="97">
        <v>0.24166666666666667</v>
      </c>
      <c r="J8" s="97">
        <v>0.28819444444444442</v>
      </c>
      <c r="K8" s="96">
        <v>0</v>
      </c>
      <c r="L8" s="97">
        <v>0.21736111111111112</v>
      </c>
      <c r="M8" s="97">
        <v>0.27569444444444446</v>
      </c>
      <c r="N8" s="97">
        <v>0.27569444444444446</v>
      </c>
      <c r="O8" s="103">
        <v>0.34166666666666667</v>
      </c>
      <c r="P8" s="112">
        <v>0.26458333333333334</v>
      </c>
      <c r="Q8" s="113">
        <v>0.31041666666666667</v>
      </c>
      <c r="R8" s="48">
        <v>0</v>
      </c>
      <c r="S8" s="113">
        <v>0.22083333333333333</v>
      </c>
      <c r="T8" s="48"/>
      <c r="U8" s="48"/>
      <c r="V8" s="48"/>
      <c r="W8" s="48"/>
      <c r="X8" s="48"/>
      <c r="Y8" s="48">
        <v>0</v>
      </c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42"/>
    </row>
    <row r="9" spans="1:162" x14ac:dyDescent="0.25">
      <c r="A9" s="102">
        <v>8</v>
      </c>
      <c r="B9" s="96"/>
      <c r="C9" s="96"/>
      <c r="D9" s="96">
        <v>0</v>
      </c>
      <c r="E9" s="96"/>
      <c r="F9" s="96"/>
      <c r="G9" s="96"/>
      <c r="H9" s="97">
        <v>0.36458333333333331</v>
      </c>
      <c r="I9" s="97">
        <v>0.24444444444444444</v>
      </c>
      <c r="J9" s="97">
        <v>0.2951388888888889</v>
      </c>
      <c r="K9" s="96">
        <v>0</v>
      </c>
      <c r="L9" s="97">
        <v>0.22083333333333333</v>
      </c>
      <c r="M9" s="97">
        <v>0.27847222222222223</v>
      </c>
      <c r="N9" s="96"/>
      <c r="O9" s="104"/>
      <c r="P9" s="112">
        <v>0.27083333333333331</v>
      </c>
      <c r="Q9" s="113">
        <v>0.31388888888888888</v>
      </c>
      <c r="R9" s="48">
        <v>0</v>
      </c>
      <c r="S9" s="113">
        <v>0.22638888888888889</v>
      </c>
      <c r="T9" s="48"/>
      <c r="U9" s="48"/>
      <c r="V9" s="48"/>
      <c r="W9" s="48"/>
      <c r="X9" s="48"/>
      <c r="Y9" s="48">
        <v>0</v>
      </c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42"/>
    </row>
    <row r="10" spans="1:162" x14ac:dyDescent="0.25">
      <c r="A10" s="102">
        <v>9</v>
      </c>
      <c r="B10" s="96"/>
      <c r="C10" s="96"/>
      <c r="D10" s="96">
        <v>0</v>
      </c>
      <c r="E10" s="96"/>
      <c r="F10" s="96"/>
      <c r="G10" s="96"/>
      <c r="H10" s="97">
        <v>0.38194444444444442</v>
      </c>
      <c r="I10" s="97">
        <v>0.25208333333333333</v>
      </c>
      <c r="J10" s="97">
        <v>0.30625000000000002</v>
      </c>
      <c r="K10" s="96">
        <v>0</v>
      </c>
      <c r="L10" s="96"/>
      <c r="M10" s="97">
        <v>0.28263888888888888</v>
      </c>
      <c r="N10" s="96"/>
      <c r="O10" s="104"/>
      <c r="P10" s="49">
        <v>0</v>
      </c>
      <c r="Q10" s="113">
        <v>0.31597222222222221</v>
      </c>
      <c r="R10" s="48">
        <v>0</v>
      </c>
      <c r="S10" s="48">
        <v>0</v>
      </c>
      <c r="T10" s="48"/>
      <c r="U10" s="48"/>
      <c r="V10" s="48"/>
      <c r="W10" s="48"/>
      <c r="X10" s="48"/>
      <c r="Y10" s="48">
        <v>0</v>
      </c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42"/>
    </row>
    <row r="11" spans="1:162" x14ac:dyDescent="0.25">
      <c r="A11" s="102">
        <v>10</v>
      </c>
      <c r="B11" s="96"/>
      <c r="C11" s="96"/>
      <c r="D11" s="96">
        <v>0</v>
      </c>
      <c r="E11" s="96"/>
      <c r="F11" s="96"/>
      <c r="G11" s="96"/>
      <c r="H11" s="96"/>
      <c r="I11" s="96"/>
      <c r="J11" s="96"/>
      <c r="K11" s="96">
        <v>0</v>
      </c>
      <c r="L11" s="96"/>
      <c r="M11" s="96"/>
      <c r="N11" s="96"/>
      <c r="O11" s="104"/>
      <c r="P11" s="49">
        <v>0</v>
      </c>
      <c r="Q11" s="108">
        <v>0.31874999999999998</v>
      </c>
      <c r="R11" s="48">
        <v>0</v>
      </c>
      <c r="S11" s="48">
        <v>0</v>
      </c>
      <c r="T11" s="68"/>
      <c r="U11" s="68"/>
      <c r="V11" s="68"/>
      <c r="W11" s="68"/>
      <c r="X11" s="68"/>
      <c r="Y11" s="48">
        <v>0</v>
      </c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4"/>
    </row>
    <row r="12" spans="1:162" x14ac:dyDescent="0.25">
      <c r="A12" s="102">
        <v>11</v>
      </c>
      <c r="B12" s="96"/>
      <c r="C12" s="13"/>
      <c r="D12" s="96">
        <v>0</v>
      </c>
      <c r="E12" s="13"/>
      <c r="F12" s="13"/>
      <c r="G12" s="13"/>
      <c r="H12" s="13"/>
      <c r="I12" s="13"/>
      <c r="J12" s="13"/>
      <c r="K12" s="96">
        <v>0</v>
      </c>
      <c r="L12" s="13"/>
      <c r="M12" s="13"/>
      <c r="N12" s="13"/>
      <c r="O12" s="105"/>
      <c r="P12" s="49">
        <v>0</v>
      </c>
      <c r="Q12" s="108">
        <v>0.32222222222222224</v>
      </c>
      <c r="R12" s="48">
        <v>0</v>
      </c>
      <c r="S12" s="48">
        <v>0</v>
      </c>
      <c r="T12" s="28"/>
      <c r="U12" s="28"/>
      <c r="V12" s="28"/>
      <c r="W12" s="28"/>
      <c r="X12" s="28"/>
      <c r="Y12" s="48">
        <v>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</row>
    <row r="13" spans="1:162" x14ac:dyDescent="0.25">
      <c r="A13" s="106" t="s">
        <v>842</v>
      </c>
      <c r="B13" s="107"/>
      <c r="C13" s="93">
        <v>45689</v>
      </c>
      <c r="D13" s="93">
        <v>45690</v>
      </c>
      <c r="E13" s="93">
        <v>45691</v>
      </c>
      <c r="F13" s="93">
        <v>45692</v>
      </c>
      <c r="G13" s="93">
        <v>45693</v>
      </c>
      <c r="H13" s="93">
        <v>45694</v>
      </c>
      <c r="I13" s="93">
        <v>45695</v>
      </c>
      <c r="J13" s="93">
        <v>45696</v>
      </c>
      <c r="K13" s="93">
        <v>45697</v>
      </c>
      <c r="L13" s="93">
        <v>45698</v>
      </c>
      <c r="M13" s="93">
        <v>45699</v>
      </c>
      <c r="N13" s="93">
        <v>45700</v>
      </c>
      <c r="O13" s="94">
        <v>45701</v>
      </c>
      <c r="P13" s="49">
        <v>0</v>
      </c>
      <c r="Q13" s="121">
        <v>0</v>
      </c>
      <c r="R13" s="48">
        <v>0</v>
      </c>
      <c r="S13" s="48">
        <v>0</v>
      </c>
      <c r="T13" s="121"/>
      <c r="U13" s="121"/>
      <c r="V13" s="121"/>
      <c r="W13" s="121"/>
      <c r="X13" s="121"/>
      <c r="Y13" s="68">
        <v>0</v>
      </c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</row>
    <row r="14" spans="1:162" x14ac:dyDescent="0.25">
      <c r="A14" s="92" t="s">
        <v>203</v>
      </c>
      <c r="B14" s="109"/>
      <c r="C14" s="109">
        <f>C8-C2</f>
        <v>2.8472222222222232E-2</v>
      </c>
      <c r="D14" s="109">
        <f t="shared" ref="D14:K14" si="0">D8-D2</f>
        <v>0</v>
      </c>
      <c r="E14" s="109">
        <f>E7-E2</f>
        <v>2.4305555555555552E-2</v>
      </c>
      <c r="F14" s="109">
        <f>F5-F2</f>
        <v>3.8194444444444448E-2</v>
      </c>
      <c r="G14" s="109">
        <f>G7-G2</f>
        <v>2.5694444444444464E-2</v>
      </c>
      <c r="H14" s="109">
        <f>H10-H2</f>
        <v>4.9999999999999989E-2</v>
      </c>
      <c r="I14" s="109">
        <f t="shared" ref="I14:J14" si="1">I10-I2</f>
        <v>3.8194444444444448E-2</v>
      </c>
      <c r="J14" s="109">
        <f t="shared" si="1"/>
        <v>4.3750000000000011E-2</v>
      </c>
      <c r="K14" s="109">
        <f t="shared" si="0"/>
        <v>0</v>
      </c>
      <c r="L14" s="109">
        <f>L9-L2</f>
        <v>4.7222222222222221E-2</v>
      </c>
      <c r="M14" s="109">
        <f>M10-M2</f>
        <v>2.9861111111111116E-2</v>
      </c>
      <c r="N14" s="109">
        <f>N8-N2</f>
        <v>2.0138888888888928E-2</v>
      </c>
      <c r="O14" s="110">
        <f>O8-O2</f>
        <v>3.7500000000000033E-2</v>
      </c>
      <c r="P14" s="122">
        <f>P9-P2</f>
        <v>4.3749999999999983E-2</v>
      </c>
      <c r="Q14" s="123">
        <f>Q12-Q2</f>
        <v>3.7500000000000033E-2</v>
      </c>
      <c r="R14" s="120">
        <v>0</v>
      </c>
      <c r="S14" s="123">
        <f>S9-S2</f>
        <v>4.5833333333333337E-2</v>
      </c>
      <c r="T14" s="136"/>
      <c r="U14" s="137"/>
      <c r="V14" s="137"/>
      <c r="W14" s="137"/>
      <c r="X14" s="137"/>
      <c r="Y14" s="137"/>
      <c r="Z14" s="137"/>
      <c r="AA14" s="138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7"/>
      <c r="BM14" s="137"/>
      <c r="BN14" s="137"/>
      <c r="BO14" s="137"/>
      <c r="BP14" s="137"/>
      <c r="BQ14" s="137"/>
      <c r="BR14" s="137"/>
      <c r="BS14" s="137"/>
      <c r="BT14" s="137"/>
      <c r="BU14" s="137"/>
      <c r="BV14" s="137"/>
      <c r="BW14" s="137"/>
      <c r="BX14" s="137"/>
      <c r="BY14" s="137"/>
      <c r="BZ14" s="137"/>
      <c r="CA14" s="137"/>
      <c r="CB14" s="137"/>
      <c r="CC14" s="137"/>
      <c r="CD14" s="137"/>
      <c r="CE14" s="138"/>
    </row>
    <row r="15" spans="1:162" x14ac:dyDescent="0.25">
      <c r="A15" s="1" t="s">
        <v>843</v>
      </c>
      <c r="B15" s="1"/>
      <c r="C15" s="1">
        <v>20</v>
      </c>
      <c r="D15" s="1">
        <v>20</v>
      </c>
      <c r="E15" s="1">
        <v>20</v>
      </c>
      <c r="F15" s="1">
        <v>20</v>
      </c>
      <c r="G15" s="1">
        <v>20</v>
      </c>
      <c r="H15" s="1">
        <v>20</v>
      </c>
      <c r="I15" s="1">
        <v>20</v>
      </c>
      <c r="J15" s="1">
        <v>20</v>
      </c>
      <c r="K15" s="1">
        <v>20</v>
      </c>
      <c r="L15" s="1">
        <v>20</v>
      </c>
      <c r="M15" s="1">
        <v>20</v>
      </c>
      <c r="N15" s="1">
        <v>20</v>
      </c>
      <c r="O15" s="1">
        <v>20</v>
      </c>
    </row>
    <row r="16" spans="1:162" x14ac:dyDescent="0.25">
      <c r="A16" s="91" t="s">
        <v>844</v>
      </c>
      <c r="B16" s="1"/>
      <c r="C16" s="1">
        <v>60</v>
      </c>
      <c r="D16" s="1">
        <v>60</v>
      </c>
      <c r="E16" s="1">
        <v>60</v>
      </c>
      <c r="F16" s="1">
        <v>60</v>
      </c>
      <c r="G16" s="1">
        <v>60</v>
      </c>
      <c r="H16" s="1">
        <v>60</v>
      </c>
      <c r="I16" s="1">
        <v>60</v>
      </c>
      <c r="J16" s="1">
        <v>60</v>
      </c>
      <c r="K16" s="1">
        <v>60</v>
      </c>
      <c r="L16" s="1">
        <v>60</v>
      </c>
      <c r="M16" s="1">
        <v>60</v>
      </c>
      <c r="N16" s="1">
        <v>60</v>
      </c>
      <c r="O16" s="1">
        <v>60</v>
      </c>
    </row>
    <row r="17" spans="1:33" x14ac:dyDescent="0.25"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74"/>
      <c r="Q17" s="74"/>
      <c r="R17" s="74"/>
      <c r="S17" s="74"/>
      <c r="T17" s="74"/>
      <c r="U17" s="74"/>
      <c r="V17" s="74"/>
      <c r="W17" s="74"/>
    </row>
    <row r="18" spans="1:33" x14ac:dyDescent="0.25">
      <c r="B18" s="108"/>
      <c r="C18" s="108"/>
      <c r="D18" s="1"/>
      <c r="E18" s="108"/>
      <c r="F18" s="108"/>
      <c r="G18" s="108"/>
      <c r="H18" s="108"/>
      <c r="I18" s="108"/>
      <c r="J18" s="108"/>
      <c r="K18" s="1"/>
      <c r="L18" s="108"/>
      <c r="M18" s="108"/>
      <c r="P18" s="74"/>
      <c r="Q18" s="74"/>
      <c r="R18" s="74"/>
      <c r="S18" s="74"/>
      <c r="T18" s="74"/>
      <c r="U18" s="74"/>
      <c r="V18" s="74"/>
      <c r="W18" s="74"/>
    </row>
    <row r="19" spans="1:33" x14ac:dyDescent="0.25">
      <c r="B19" s="108"/>
      <c r="C19" s="108"/>
      <c r="D19" s="1"/>
      <c r="E19" s="108"/>
      <c r="F19" s="108"/>
      <c r="G19" s="108"/>
      <c r="H19" s="108"/>
      <c r="I19" s="108"/>
      <c r="J19" s="108"/>
      <c r="K19" s="1"/>
      <c r="L19" s="108"/>
      <c r="M19" s="108"/>
      <c r="P19" s="74"/>
      <c r="Q19" s="74"/>
      <c r="R19" s="74"/>
      <c r="S19" s="74"/>
      <c r="T19" s="74"/>
      <c r="U19" s="74"/>
      <c r="V19" s="74"/>
      <c r="W19" s="74"/>
    </row>
    <row r="20" spans="1:33" x14ac:dyDescent="0.25">
      <c r="B20" s="108"/>
      <c r="C20" s="108" t="s">
        <v>845</v>
      </c>
      <c r="D20" s="1" t="s">
        <v>846</v>
      </c>
      <c r="E20" s="108"/>
      <c r="F20" s="108"/>
      <c r="G20" s="108"/>
      <c r="H20" s="108"/>
      <c r="I20" s="108"/>
      <c r="J20" s="108"/>
      <c r="K20" s="1"/>
      <c r="L20" s="108"/>
      <c r="M20" s="108"/>
      <c r="P20" s="74"/>
      <c r="Q20" s="74"/>
      <c r="R20" s="74"/>
      <c r="S20" s="74"/>
      <c r="T20" s="74"/>
      <c r="U20" s="74"/>
      <c r="V20" s="74"/>
      <c r="W20" s="74"/>
    </row>
    <row r="21" spans="1:33" x14ac:dyDescent="0.25">
      <c r="A21" s="70"/>
      <c r="B21" s="111">
        <v>45689</v>
      </c>
      <c r="C21" s="108"/>
      <c r="D21" s="1" t="s">
        <v>833</v>
      </c>
      <c r="E21" s="108"/>
      <c r="F21" s="108"/>
      <c r="G21" s="108"/>
      <c r="H21" s="108"/>
      <c r="I21" s="108"/>
      <c r="J21" s="108"/>
      <c r="K21" s="1"/>
      <c r="L21" s="108"/>
      <c r="M21" s="108"/>
      <c r="P21" s="74"/>
      <c r="Q21" s="74"/>
      <c r="R21" s="74"/>
      <c r="S21" s="74"/>
      <c r="T21" s="74"/>
      <c r="U21" s="74"/>
      <c r="V21" s="74"/>
      <c r="W21" s="74"/>
    </row>
    <row r="22" spans="1:33" x14ac:dyDescent="0.25">
      <c r="B22" s="111">
        <v>45690</v>
      </c>
      <c r="C22" s="108"/>
      <c r="D22" s="1"/>
      <c r="E22" s="108"/>
      <c r="F22" s="1"/>
      <c r="G22" s="108"/>
      <c r="H22" s="108"/>
      <c r="I22" s="108"/>
      <c r="J22" s="108"/>
      <c r="K22" s="1"/>
      <c r="L22" s="108"/>
      <c r="M22" s="108"/>
      <c r="P22" s="74"/>
      <c r="Q22" s="74"/>
      <c r="R22" s="74"/>
      <c r="S22" s="74"/>
      <c r="T22" s="74"/>
      <c r="U22" s="74"/>
      <c r="V22" s="74"/>
      <c r="W22" s="74"/>
    </row>
    <row r="23" spans="1:33" x14ac:dyDescent="0.25">
      <c r="B23" s="111">
        <v>45691</v>
      </c>
      <c r="C23" s="108"/>
      <c r="D23" s="92" t="s">
        <v>120</v>
      </c>
      <c r="E23" s="93"/>
      <c r="F23" s="93"/>
      <c r="G23" s="152" t="s">
        <v>120</v>
      </c>
      <c r="H23" s="153">
        <v>45689</v>
      </c>
      <c r="I23" s="153">
        <v>45691</v>
      </c>
      <c r="J23" s="153">
        <v>45692</v>
      </c>
      <c r="K23" s="153">
        <v>45693</v>
      </c>
      <c r="L23" s="153">
        <v>45694</v>
      </c>
      <c r="M23" s="153">
        <v>45695</v>
      </c>
      <c r="N23" s="153">
        <v>45696</v>
      </c>
      <c r="O23" s="153">
        <v>45698</v>
      </c>
      <c r="P23" s="153">
        <v>45699</v>
      </c>
      <c r="Q23" s="153">
        <v>45700</v>
      </c>
      <c r="R23" s="154">
        <v>45701</v>
      </c>
      <c r="S23" s="46">
        <v>45702</v>
      </c>
      <c r="T23" s="45">
        <v>45703</v>
      </c>
      <c r="U23" s="45">
        <v>45705</v>
      </c>
      <c r="V23" s="45">
        <v>45706</v>
      </c>
      <c r="W23" s="45">
        <v>45707</v>
      </c>
      <c r="X23" s="45">
        <v>45708</v>
      </c>
      <c r="Y23" s="45">
        <v>45709</v>
      </c>
      <c r="Z23" s="45">
        <v>45710</v>
      </c>
      <c r="AA23" s="45">
        <v>45712</v>
      </c>
      <c r="AB23" s="45">
        <v>45713</v>
      </c>
      <c r="AC23" s="45">
        <v>45714</v>
      </c>
      <c r="AD23" s="45">
        <v>45715</v>
      </c>
      <c r="AE23" s="45">
        <v>45716</v>
      </c>
      <c r="AF23" s="45"/>
      <c r="AG23" s="45"/>
    </row>
    <row r="24" spans="1:33" x14ac:dyDescent="0.25">
      <c r="B24" s="111">
        <v>45692</v>
      </c>
      <c r="C24" s="1"/>
      <c r="D24" s="98">
        <v>1</v>
      </c>
      <c r="E24" s="99"/>
      <c r="F24" s="99"/>
      <c r="G24" s="150">
        <v>1</v>
      </c>
      <c r="H24" s="151">
        <v>0.24791666666666667</v>
      </c>
      <c r="I24" s="151">
        <v>0.19930555555555557</v>
      </c>
      <c r="J24" s="151">
        <v>0.22708333333333333</v>
      </c>
      <c r="K24" s="151">
        <v>0.24930555555555556</v>
      </c>
      <c r="L24" s="151">
        <v>0.33194444444444443</v>
      </c>
      <c r="M24" s="151">
        <v>0.21388888888888888</v>
      </c>
      <c r="N24" s="151">
        <v>0.26250000000000001</v>
      </c>
      <c r="O24" s="151">
        <v>0.1736111111111111</v>
      </c>
      <c r="P24" s="151">
        <v>0.25277777777777777</v>
      </c>
      <c r="Q24" s="151">
        <v>0.25555555555555554</v>
      </c>
      <c r="R24" s="151">
        <v>0.30416666666666664</v>
      </c>
      <c r="S24" s="112">
        <v>0.22708333333333333</v>
      </c>
      <c r="T24" s="113">
        <v>0.28472222222222221</v>
      </c>
      <c r="U24" s="113">
        <v>0.18055555555555555</v>
      </c>
      <c r="V24" s="113">
        <v>0.42916666666666664</v>
      </c>
      <c r="W24" s="113">
        <v>0.22638888888888889</v>
      </c>
      <c r="X24" s="113">
        <v>0.28958333333333336</v>
      </c>
      <c r="Y24" s="113">
        <v>0.24374999999999999</v>
      </c>
      <c r="Z24" s="113">
        <v>0.36527777777777776</v>
      </c>
      <c r="AA24" s="113">
        <v>0.29930555555555555</v>
      </c>
      <c r="AB24" s="113">
        <v>0.22500000000000001</v>
      </c>
      <c r="AC24" s="113">
        <v>0.2388888888888889</v>
      </c>
      <c r="AD24" s="113">
        <v>0.38472222222222224</v>
      </c>
      <c r="AE24" s="113">
        <v>0.2361111111111111</v>
      </c>
      <c r="AF24" s="113"/>
      <c r="AG24" s="113"/>
    </row>
    <row r="25" spans="1:33" x14ac:dyDescent="0.25">
      <c r="B25" s="111">
        <v>45693</v>
      </c>
      <c r="C25" s="1"/>
      <c r="D25" s="102">
        <v>2</v>
      </c>
      <c r="E25" s="97"/>
      <c r="F25" s="97"/>
      <c r="G25" s="150">
        <v>2</v>
      </c>
      <c r="H25" s="151">
        <v>0.25138888888888888</v>
      </c>
      <c r="I25" s="151">
        <v>0.20208333333333334</v>
      </c>
      <c r="J25" s="151">
        <v>0.22916666666666666</v>
      </c>
      <c r="K25" s="151">
        <v>0.25624999999999998</v>
      </c>
      <c r="L25" s="151">
        <v>0.33402777777777776</v>
      </c>
      <c r="M25" s="151">
        <v>0.22500000000000001</v>
      </c>
      <c r="N25" s="151">
        <v>0.26597222222222222</v>
      </c>
      <c r="O25" s="151">
        <v>0.17847222222222223</v>
      </c>
      <c r="P25" s="151">
        <v>0.25833333333333336</v>
      </c>
      <c r="Q25" s="151">
        <v>0.25833333333333336</v>
      </c>
      <c r="R25" s="151">
        <v>0.30902777777777779</v>
      </c>
      <c r="S25" s="112">
        <v>0.23055555555555557</v>
      </c>
      <c r="T25" s="113">
        <v>0.29097222222222224</v>
      </c>
      <c r="U25" s="113">
        <v>0.18402777777777779</v>
      </c>
      <c r="V25" s="113">
        <v>0.43194444444444446</v>
      </c>
      <c r="W25" s="113">
        <v>0.2298611111111111</v>
      </c>
      <c r="X25" s="113">
        <v>0.29305555555555557</v>
      </c>
      <c r="Y25" s="113">
        <v>0.24583333333333332</v>
      </c>
      <c r="Z25" s="113">
        <v>0.37222222222222223</v>
      </c>
      <c r="AA25" s="113">
        <v>0.30277777777777776</v>
      </c>
      <c r="AB25" s="113">
        <v>0.23125000000000001</v>
      </c>
      <c r="AC25" s="113">
        <v>0.24305555555555555</v>
      </c>
      <c r="AD25" s="113">
        <v>0.38819444444444445</v>
      </c>
      <c r="AE25" s="113">
        <v>0.2388888888888889</v>
      </c>
      <c r="AF25" s="113"/>
      <c r="AG25" s="113"/>
    </row>
    <row r="26" spans="1:33" x14ac:dyDescent="0.25">
      <c r="B26" s="111">
        <v>45694</v>
      </c>
      <c r="C26" s="1"/>
      <c r="D26" s="102">
        <v>3</v>
      </c>
      <c r="E26" s="97"/>
      <c r="F26" s="97"/>
      <c r="G26" s="150">
        <v>3</v>
      </c>
      <c r="H26" s="151">
        <v>0.25555555555555554</v>
      </c>
      <c r="I26" s="151">
        <v>0.2048611111111111</v>
      </c>
      <c r="J26" s="151">
        <v>0.24166666666666667</v>
      </c>
      <c r="K26" s="151">
        <v>0.26458333333333334</v>
      </c>
      <c r="L26" s="151">
        <v>0.34513888888888888</v>
      </c>
      <c r="M26" s="151">
        <v>0.2298611111111111</v>
      </c>
      <c r="N26" s="151">
        <v>0.27083333333333331</v>
      </c>
      <c r="O26" s="151">
        <v>0.18541666666666667</v>
      </c>
      <c r="P26" s="151">
        <v>0.2638888888888889</v>
      </c>
      <c r="Q26" s="151">
        <v>0.26180555555555557</v>
      </c>
      <c r="R26" s="151">
        <v>0.32847222222222222</v>
      </c>
      <c r="S26" s="112">
        <v>0.24236111111111111</v>
      </c>
      <c r="T26" s="113">
        <v>0.29444444444444445</v>
      </c>
      <c r="U26" s="113">
        <v>0.18888888888888888</v>
      </c>
      <c r="V26" s="113">
        <v>0.43472222222222223</v>
      </c>
      <c r="W26" s="113">
        <v>0.24722222222222223</v>
      </c>
      <c r="X26" s="113">
        <v>0.29583333333333334</v>
      </c>
      <c r="Y26" s="113">
        <v>0.24930555555555556</v>
      </c>
      <c r="Z26" s="113">
        <v>0.375</v>
      </c>
      <c r="AA26" s="113">
        <v>0.30625000000000002</v>
      </c>
      <c r="AB26" s="113">
        <v>0.23472222222222222</v>
      </c>
      <c r="AC26" s="113">
        <v>0.24652777777777779</v>
      </c>
      <c r="AD26" s="113">
        <v>0.3923611111111111</v>
      </c>
      <c r="AE26" s="113">
        <v>0.24236111111111111</v>
      </c>
      <c r="AF26" s="113"/>
      <c r="AG26" s="113"/>
    </row>
    <row r="27" spans="1:33" x14ac:dyDescent="0.25">
      <c r="B27" s="111">
        <v>45695</v>
      </c>
      <c r="D27" s="102">
        <v>4</v>
      </c>
      <c r="E27" s="97"/>
      <c r="F27" s="97"/>
      <c r="G27" s="150">
        <v>4</v>
      </c>
      <c r="H27" s="151">
        <v>0.25972222222222224</v>
      </c>
      <c r="I27" s="151">
        <v>0.20902777777777778</v>
      </c>
      <c r="J27" s="151">
        <v>0.26527777777777778</v>
      </c>
      <c r="K27" s="151">
        <v>0.26805555555555555</v>
      </c>
      <c r="L27" s="151">
        <v>0.34722222222222221</v>
      </c>
      <c r="M27" s="151">
        <v>0.2326388888888889</v>
      </c>
      <c r="N27" s="151">
        <v>0.27430555555555558</v>
      </c>
      <c r="O27" s="151">
        <v>0.1986111111111111</v>
      </c>
      <c r="P27" s="151">
        <v>0.26666666666666666</v>
      </c>
      <c r="Q27" s="151">
        <v>0.26458333333333334</v>
      </c>
      <c r="R27" s="151">
        <v>0.33055555555555555</v>
      </c>
      <c r="S27" s="112">
        <v>0.24444444444444444</v>
      </c>
      <c r="T27" s="113">
        <v>0.29791666666666666</v>
      </c>
      <c r="U27" s="113">
        <v>0.1986111111111111</v>
      </c>
      <c r="V27" s="113">
        <v>0.43680555555555556</v>
      </c>
      <c r="W27" s="113">
        <v>0.24930555555555556</v>
      </c>
      <c r="X27" s="113">
        <v>0.30138888888888887</v>
      </c>
      <c r="Y27" s="113">
        <v>0.25277777777777777</v>
      </c>
      <c r="Z27" s="113">
        <v>0.37777777777777777</v>
      </c>
      <c r="AA27" s="113">
        <v>0.30833333333333335</v>
      </c>
      <c r="AB27" s="113">
        <v>0.24374999999999999</v>
      </c>
      <c r="AC27" s="113">
        <v>0.26180555555555557</v>
      </c>
      <c r="AD27" s="113">
        <v>0.39791666666666664</v>
      </c>
      <c r="AE27" s="113">
        <v>0.24652777777777779</v>
      </c>
      <c r="AF27" s="113"/>
      <c r="AG27" s="113"/>
    </row>
    <row r="28" spans="1:33" x14ac:dyDescent="0.25">
      <c r="B28" s="111">
        <v>45696</v>
      </c>
      <c r="D28" s="102">
        <v>5</v>
      </c>
      <c r="E28" s="97"/>
      <c r="F28" s="97"/>
      <c r="G28" s="150">
        <v>5</v>
      </c>
      <c r="H28" s="151">
        <v>0.2638888888888889</v>
      </c>
      <c r="I28" s="151">
        <v>0.21041666666666667</v>
      </c>
      <c r="J28" s="151">
        <v>0.26874999999999999</v>
      </c>
      <c r="K28" s="151">
        <v>0.27083333333333331</v>
      </c>
      <c r="L28" s="151">
        <v>0.34930555555555554</v>
      </c>
      <c r="M28" s="151">
        <v>0.23541666666666666</v>
      </c>
      <c r="N28" s="151">
        <v>0.27916666666666667</v>
      </c>
      <c r="O28" s="151">
        <v>0.20208333333333334</v>
      </c>
      <c r="P28" s="151">
        <v>0.27013888888888887</v>
      </c>
      <c r="Q28" s="151">
        <v>0.27152777777777776</v>
      </c>
      <c r="R28" s="151">
        <v>0.33611111111111114</v>
      </c>
      <c r="S28" s="112">
        <v>0.25486111111111109</v>
      </c>
      <c r="T28" s="113">
        <v>0.30138888888888887</v>
      </c>
      <c r="U28" s="113">
        <v>0.2048611111111111</v>
      </c>
      <c r="V28" s="113">
        <v>0.45624999999999999</v>
      </c>
      <c r="W28" s="113">
        <v>0.25208333333333333</v>
      </c>
      <c r="X28" s="113">
        <v>0.30625000000000002</v>
      </c>
      <c r="Y28" s="113">
        <v>0.2590277777777778</v>
      </c>
      <c r="Z28" s="113">
        <v>0.37986111111111109</v>
      </c>
      <c r="AA28" s="113">
        <v>0.31111111111111112</v>
      </c>
      <c r="AB28" s="113">
        <v>0.25138888888888888</v>
      </c>
      <c r="AC28" s="113">
        <v>0.26597222222222222</v>
      </c>
      <c r="AD28" s="113">
        <v>0.40277777777777779</v>
      </c>
      <c r="AE28" s="113">
        <v>0.25</v>
      </c>
      <c r="AF28" s="113"/>
      <c r="AG28" s="113"/>
    </row>
    <row r="29" spans="1:33" x14ac:dyDescent="0.25">
      <c r="B29" s="111">
        <v>45697</v>
      </c>
      <c r="D29" s="102">
        <v>6</v>
      </c>
      <c r="E29" s="97"/>
      <c r="F29" s="97"/>
      <c r="G29" s="150">
        <v>6</v>
      </c>
      <c r="H29" s="151">
        <v>0.27083333333333331</v>
      </c>
      <c r="I29" s="151">
        <v>0.22361111111111112</v>
      </c>
      <c r="J29" s="150"/>
      <c r="K29" s="151">
        <v>0.27500000000000002</v>
      </c>
      <c r="L29" s="151">
        <v>0.35208333333333336</v>
      </c>
      <c r="M29" s="151">
        <v>0.2388888888888889</v>
      </c>
      <c r="N29" s="151">
        <v>0.28333333333333333</v>
      </c>
      <c r="O29" s="151">
        <v>0.21041666666666667</v>
      </c>
      <c r="P29" s="151">
        <v>0.27291666666666664</v>
      </c>
      <c r="Q29" s="151">
        <v>0.2722222222222222</v>
      </c>
      <c r="R29" s="151">
        <v>0.33958333333333335</v>
      </c>
      <c r="S29" s="112">
        <v>0.2590277777777778</v>
      </c>
      <c r="T29" s="113">
        <v>0.29305555555555557</v>
      </c>
      <c r="U29" s="113">
        <v>0.21875</v>
      </c>
      <c r="V29" s="113">
        <v>0.45902777777777776</v>
      </c>
      <c r="W29" s="113">
        <v>0.25486111111111109</v>
      </c>
      <c r="X29" s="113">
        <v>0.30833333333333335</v>
      </c>
      <c r="Y29" s="113">
        <v>0.26180555555555557</v>
      </c>
      <c r="Z29" s="113">
        <v>0.3840277777777778</v>
      </c>
      <c r="AA29" s="113">
        <v>0.31458333333333333</v>
      </c>
      <c r="AB29" s="113">
        <v>0.26041666666666669</v>
      </c>
      <c r="AC29" s="113">
        <v>0.27152777777777776</v>
      </c>
      <c r="AD29" s="113">
        <v>0.40625</v>
      </c>
      <c r="AE29" s="113">
        <v>0.25486111111111109</v>
      </c>
      <c r="AF29" s="113"/>
      <c r="AG29" s="113"/>
    </row>
    <row r="30" spans="1:33" x14ac:dyDescent="0.25">
      <c r="B30" s="111">
        <v>45698</v>
      </c>
      <c r="D30" s="102">
        <v>7</v>
      </c>
      <c r="E30" s="97"/>
      <c r="F30" s="97"/>
      <c r="G30" s="150">
        <v>7</v>
      </c>
      <c r="H30" s="151">
        <v>0.27638888888888891</v>
      </c>
      <c r="I30" s="150"/>
      <c r="J30" s="150"/>
      <c r="K30" s="150"/>
      <c r="L30" s="151">
        <v>0.35902777777777778</v>
      </c>
      <c r="M30" s="151">
        <v>0.24166666666666667</v>
      </c>
      <c r="N30" s="151">
        <v>0.28819444444444442</v>
      </c>
      <c r="O30" s="151">
        <v>0.21736111111111112</v>
      </c>
      <c r="P30" s="151">
        <v>0.27569444444444446</v>
      </c>
      <c r="Q30" s="151">
        <v>0.27569444444444446</v>
      </c>
      <c r="R30" s="151">
        <v>0.34166666666666667</v>
      </c>
      <c r="S30" s="112">
        <v>0.26458333333333334</v>
      </c>
      <c r="T30" s="113">
        <v>0.31041666666666667</v>
      </c>
      <c r="U30" s="113">
        <v>0.22083333333333333</v>
      </c>
      <c r="V30" s="113">
        <v>0.46250000000000002</v>
      </c>
      <c r="W30" s="113">
        <v>0.25972222222222224</v>
      </c>
      <c r="X30" s="113">
        <v>0.31180555555555556</v>
      </c>
      <c r="Y30" s="113">
        <v>0.26458333333333334</v>
      </c>
      <c r="Z30" s="113">
        <v>0.38819444444444445</v>
      </c>
      <c r="AA30" s="113">
        <v>0.31874999999999998</v>
      </c>
      <c r="AB30" s="113">
        <v>0.26597222222222222</v>
      </c>
      <c r="AC30" s="48"/>
      <c r="AD30" s="113">
        <v>0.41111111111111109</v>
      </c>
      <c r="AE30" s="113">
        <v>0.25763888888888886</v>
      </c>
      <c r="AF30" s="113"/>
      <c r="AG30" s="113"/>
    </row>
    <row r="31" spans="1:33" x14ac:dyDescent="0.25">
      <c r="B31" s="111">
        <v>45699</v>
      </c>
      <c r="D31" s="102">
        <v>8</v>
      </c>
      <c r="E31" s="96"/>
      <c r="F31" s="96"/>
      <c r="G31" s="150">
        <v>8</v>
      </c>
      <c r="H31" s="150"/>
      <c r="I31" s="150"/>
      <c r="J31" s="150"/>
      <c r="K31" s="150"/>
      <c r="L31" s="151">
        <v>0.36458333333333331</v>
      </c>
      <c r="M31" s="151">
        <v>0.24444444444444444</v>
      </c>
      <c r="N31" s="151">
        <v>0.2951388888888889</v>
      </c>
      <c r="O31" s="151">
        <v>0.22083333333333333</v>
      </c>
      <c r="P31" s="151">
        <v>0.27847222222222223</v>
      </c>
      <c r="Q31" s="150"/>
      <c r="R31" s="150"/>
      <c r="S31" s="112">
        <v>0.27083333333333331</v>
      </c>
      <c r="T31" s="113">
        <v>0.31388888888888888</v>
      </c>
      <c r="U31" s="113">
        <v>0.22638888888888889</v>
      </c>
      <c r="V31" s="113">
        <v>0.46458333333333335</v>
      </c>
      <c r="W31" s="113">
        <v>0.2638888888888889</v>
      </c>
      <c r="X31" s="113">
        <v>0.31458333333333333</v>
      </c>
      <c r="Y31" s="113">
        <v>0.26805555555555555</v>
      </c>
      <c r="Z31" s="48"/>
      <c r="AA31" s="113">
        <v>0.3215277777777778</v>
      </c>
      <c r="AB31" s="113">
        <v>0.27083333333333331</v>
      </c>
      <c r="AC31" s="48"/>
      <c r="AD31" s="48"/>
      <c r="AE31" s="113">
        <v>0.26319444444444445</v>
      </c>
      <c r="AF31" s="113"/>
      <c r="AG31" s="113"/>
    </row>
    <row r="32" spans="1:33" x14ac:dyDescent="0.25">
      <c r="B32" s="111">
        <v>45700</v>
      </c>
      <c r="D32" s="102">
        <v>9</v>
      </c>
      <c r="E32" s="96"/>
      <c r="F32" s="96"/>
      <c r="G32" s="150">
        <v>9</v>
      </c>
      <c r="H32" s="150"/>
      <c r="I32" s="150"/>
      <c r="J32" s="150"/>
      <c r="K32" s="150"/>
      <c r="L32" s="151">
        <v>0.38194444444444442</v>
      </c>
      <c r="M32" s="151">
        <v>0.25208333333333333</v>
      </c>
      <c r="N32" s="151">
        <v>0.30625000000000002</v>
      </c>
      <c r="O32" s="150"/>
      <c r="P32" s="151">
        <v>0.28263888888888888</v>
      </c>
      <c r="Q32" s="150"/>
      <c r="R32" s="150"/>
      <c r="S32" s="49"/>
      <c r="T32" s="113">
        <v>0.31597222222222221</v>
      </c>
      <c r="U32" s="48"/>
      <c r="V32" s="113">
        <v>0.46666666666666667</v>
      </c>
      <c r="W32" s="113">
        <v>0.27083333333333331</v>
      </c>
      <c r="X32" s="48"/>
      <c r="Y32" s="113">
        <v>0.27013888888888887</v>
      </c>
      <c r="Z32" s="48"/>
      <c r="AA32" s="113">
        <v>0.32500000000000001</v>
      </c>
      <c r="AB32" s="48"/>
      <c r="AC32" s="48"/>
      <c r="AD32" s="48"/>
      <c r="AE32" s="48">
        <v>624</v>
      </c>
      <c r="AF32" s="48"/>
      <c r="AG32" s="48"/>
    </row>
    <row r="33" spans="2:37" x14ac:dyDescent="0.25">
      <c r="B33" s="111">
        <v>45701</v>
      </c>
      <c r="D33" s="102">
        <v>10</v>
      </c>
      <c r="E33" s="96"/>
      <c r="F33" s="96"/>
      <c r="G33" s="150">
        <v>10</v>
      </c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49"/>
      <c r="T33" s="108">
        <v>0.31874999999999998</v>
      </c>
      <c r="U33" s="48"/>
      <c r="V33" s="124">
        <v>0.47013888888888888</v>
      </c>
      <c r="W33" s="68"/>
      <c r="X33" s="68"/>
      <c r="Y33" s="124">
        <v>0.27361111111111114</v>
      </c>
      <c r="Z33" s="68"/>
      <c r="AA33" s="68" t="s">
        <v>58</v>
      </c>
      <c r="AB33" s="68"/>
      <c r="AC33" s="68"/>
      <c r="AD33" s="68"/>
      <c r="AE33" s="124">
        <v>0.27013888888888887</v>
      </c>
      <c r="AF33" s="124"/>
      <c r="AG33" s="124"/>
    </row>
    <row r="34" spans="2:37" x14ac:dyDescent="0.25">
      <c r="B34" s="111">
        <v>45702</v>
      </c>
      <c r="D34" s="102">
        <v>11</v>
      </c>
      <c r="E34" s="96"/>
      <c r="F34" s="96"/>
      <c r="G34" s="150">
        <v>11</v>
      </c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49"/>
      <c r="T34" s="108">
        <v>0.32222222222222224</v>
      </c>
      <c r="U34" s="48"/>
      <c r="V34" s="28"/>
      <c r="W34" s="28"/>
      <c r="X34" s="28"/>
      <c r="Y34" s="28"/>
      <c r="Z34" s="28"/>
      <c r="AA34" s="113">
        <v>0.33402777777777776</v>
      </c>
      <c r="AB34" s="28"/>
      <c r="AC34" s="28"/>
      <c r="AD34" s="28"/>
      <c r="AE34" s="28"/>
      <c r="AF34" s="28"/>
      <c r="AG34" s="28"/>
    </row>
    <row r="35" spans="2:37" x14ac:dyDescent="0.25">
      <c r="D35" s="106">
        <v>12</v>
      </c>
      <c r="E35" s="107"/>
      <c r="F35" s="96"/>
      <c r="G35" s="150">
        <v>12</v>
      </c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49"/>
      <c r="T35" s="121"/>
      <c r="U35" s="48"/>
      <c r="V35" s="121"/>
      <c r="W35" s="121"/>
      <c r="X35" s="121"/>
      <c r="Y35" s="121"/>
      <c r="Z35" s="121"/>
      <c r="AA35" s="121"/>
      <c r="AB35" s="121"/>
      <c r="AC35" s="28"/>
      <c r="AD35" s="28"/>
      <c r="AE35" s="28"/>
      <c r="AF35" s="28"/>
      <c r="AG35" s="28"/>
    </row>
    <row r="36" spans="2:37" x14ac:dyDescent="0.25">
      <c r="D36" s="92" t="s">
        <v>203</v>
      </c>
      <c r="E36" s="95"/>
      <c r="F36" s="95"/>
      <c r="G36" s="155" t="s">
        <v>203</v>
      </c>
      <c r="H36" s="156">
        <f>H30-H24</f>
        <v>2.8472222222222232E-2</v>
      </c>
      <c r="I36" s="156">
        <f>I29-I24</f>
        <v>2.4305555555555552E-2</v>
      </c>
      <c r="J36" s="156">
        <f>J27-J24</f>
        <v>3.8194444444444448E-2</v>
      </c>
      <c r="K36" s="156">
        <f>K29-K24</f>
        <v>2.5694444444444464E-2</v>
      </c>
      <c r="L36" s="156">
        <f>L32-L24</f>
        <v>4.9999999999999989E-2</v>
      </c>
      <c r="M36" s="156">
        <f t="shared" ref="M36:N36" si="2">M32-M24</f>
        <v>3.8194444444444448E-2</v>
      </c>
      <c r="N36" s="156">
        <f t="shared" si="2"/>
        <v>4.3750000000000011E-2</v>
      </c>
      <c r="O36" s="156">
        <f>O31-O24</f>
        <v>4.7222222222222221E-2</v>
      </c>
      <c r="P36" s="156">
        <f>P32-P24</f>
        <v>2.9861111111111116E-2</v>
      </c>
      <c r="Q36" s="156">
        <f>Q30-Q24</f>
        <v>2.0138888888888928E-2</v>
      </c>
      <c r="R36" s="156">
        <f>R30-R24</f>
        <v>3.7500000000000033E-2</v>
      </c>
      <c r="S36" s="95">
        <f>S31-S24</f>
        <v>4.3749999999999983E-2</v>
      </c>
      <c r="T36" s="132">
        <f>T34-T24</f>
        <v>3.7500000000000033E-2</v>
      </c>
      <c r="U36" s="132">
        <f>U31-U24</f>
        <v>4.5833333333333337E-2</v>
      </c>
      <c r="V36" s="132">
        <f>V33-V24</f>
        <v>4.0972222222222243E-2</v>
      </c>
      <c r="W36" s="132">
        <f>W32-W24</f>
        <v>4.4444444444444425E-2</v>
      </c>
      <c r="X36" s="132">
        <f>X31-X24</f>
        <v>2.4999999999999967E-2</v>
      </c>
      <c r="Y36" s="132">
        <f>Y33-Y24</f>
        <v>2.9861111111111144E-2</v>
      </c>
      <c r="Z36" s="132">
        <f>Z30-Z24</f>
        <v>2.2916666666666696E-2</v>
      </c>
      <c r="AA36" s="132">
        <f>AA34-AA24</f>
        <v>3.472222222222221E-2</v>
      </c>
      <c r="AB36" s="132">
        <f>AB31-AB24</f>
        <v>4.5833333333333309E-2</v>
      </c>
      <c r="AC36" s="132">
        <f>AC29-AC24</f>
        <v>3.2638888888888856E-2</v>
      </c>
      <c r="AD36" s="132">
        <f>AD30-AD24</f>
        <v>2.6388888888888851E-2</v>
      </c>
      <c r="AE36" s="132">
        <f>AE33-AE24</f>
        <v>3.4027777777777768E-2</v>
      </c>
      <c r="AF36" s="132"/>
      <c r="AG36" s="132"/>
    </row>
    <row r="37" spans="2:37" x14ac:dyDescent="0.25">
      <c r="D37" s="149" t="s">
        <v>842</v>
      </c>
      <c r="F37" s="93"/>
      <c r="G37" s="148" t="s">
        <v>842</v>
      </c>
      <c r="H37" s="93">
        <v>45689</v>
      </c>
      <c r="I37" s="93">
        <v>45691</v>
      </c>
      <c r="J37" s="93">
        <v>45692</v>
      </c>
      <c r="K37" s="93">
        <v>45693</v>
      </c>
      <c r="L37" s="93">
        <v>45694</v>
      </c>
      <c r="M37" s="93">
        <v>45695</v>
      </c>
      <c r="N37" s="93">
        <v>45696</v>
      </c>
      <c r="O37" s="93">
        <v>45698</v>
      </c>
      <c r="P37" s="93">
        <v>45699</v>
      </c>
      <c r="Q37" s="93">
        <v>45700</v>
      </c>
      <c r="R37" s="94">
        <v>45701</v>
      </c>
      <c r="S37" s="46">
        <v>45702</v>
      </c>
      <c r="T37" s="45">
        <v>45703</v>
      </c>
      <c r="U37" s="45">
        <v>45705</v>
      </c>
      <c r="V37" s="45">
        <v>45706</v>
      </c>
      <c r="W37" s="45">
        <v>45707</v>
      </c>
      <c r="X37" s="45">
        <v>45708</v>
      </c>
      <c r="Y37" s="45">
        <v>45709</v>
      </c>
      <c r="Z37" s="45">
        <v>45710</v>
      </c>
      <c r="AA37" s="45">
        <v>45712</v>
      </c>
      <c r="AB37" s="45">
        <v>45713</v>
      </c>
      <c r="AC37" s="45">
        <v>45714</v>
      </c>
      <c r="AD37" s="45">
        <v>45715</v>
      </c>
      <c r="AE37" s="45">
        <v>45716</v>
      </c>
      <c r="AF37" s="45"/>
      <c r="AG37" s="45"/>
    </row>
    <row r="39" spans="2:37" x14ac:dyDescent="0.25">
      <c r="D39" s="92" t="s">
        <v>120</v>
      </c>
      <c r="E39" s="93"/>
      <c r="F39" s="93"/>
      <c r="G39" s="152" t="s">
        <v>120</v>
      </c>
      <c r="H39" s="153">
        <v>45717</v>
      </c>
      <c r="I39" s="153">
        <v>45719</v>
      </c>
      <c r="J39" s="153">
        <v>45720</v>
      </c>
      <c r="K39" s="153">
        <v>45721</v>
      </c>
      <c r="L39" s="153">
        <v>45722</v>
      </c>
      <c r="M39" s="153">
        <v>45723</v>
      </c>
      <c r="N39" s="153">
        <v>45724</v>
      </c>
      <c r="O39" s="153">
        <v>45726</v>
      </c>
      <c r="P39" s="153">
        <v>45727</v>
      </c>
      <c r="Q39" s="153">
        <v>45728</v>
      </c>
      <c r="R39" s="153">
        <v>45729</v>
      </c>
      <c r="S39" s="153">
        <v>45730</v>
      </c>
      <c r="T39" s="153">
        <v>45731</v>
      </c>
      <c r="U39" s="45">
        <v>45733</v>
      </c>
      <c r="V39" s="45">
        <v>45734</v>
      </c>
      <c r="W39" s="45">
        <v>45735</v>
      </c>
      <c r="X39" s="45">
        <v>45736</v>
      </c>
      <c r="Y39" s="45">
        <v>45737</v>
      </c>
      <c r="Z39" s="45">
        <v>45738</v>
      </c>
      <c r="AA39" s="45">
        <v>45740</v>
      </c>
      <c r="AB39" s="45">
        <v>45741</v>
      </c>
      <c r="AC39" s="45">
        <v>45742</v>
      </c>
      <c r="AD39" s="45">
        <v>45743</v>
      </c>
      <c r="AE39" s="45">
        <v>45744</v>
      </c>
      <c r="AF39" s="45">
        <v>45745</v>
      </c>
      <c r="AG39" s="45">
        <v>45747</v>
      </c>
    </row>
    <row r="40" spans="2:37" x14ac:dyDescent="0.25">
      <c r="D40" s="98">
        <v>1</v>
      </c>
      <c r="G40" s="113"/>
      <c r="H40" s="113">
        <v>0.27986111111111112</v>
      </c>
      <c r="I40" s="113">
        <v>0.19097222222222221</v>
      </c>
      <c r="J40" s="113">
        <v>0.23125000000000001</v>
      </c>
      <c r="K40" s="113">
        <v>0.28749999999999998</v>
      </c>
      <c r="L40" s="113">
        <v>0.27500000000000002</v>
      </c>
      <c r="M40" s="113">
        <v>0.25694444444444442</v>
      </c>
      <c r="N40" s="113">
        <v>0.19722222222222222</v>
      </c>
      <c r="O40" s="113">
        <v>0.19791666666666666</v>
      </c>
      <c r="P40" s="113">
        <v>0.22916666666666666</v>
      </c>
      <c r="Q40" s="113">
        <v>0.22361111111111112</v>
      </c>
      <c r="R40" s="113">
        <v>0.24791666666666667</v>
      </c>
      <c r="S40" s="113">
        <v>0.22083333333333333</v>
      </c>
      <c r="T40" s="113">
        <v>0.26527777777777778</v>
      </c>
      <c r="U40" s="113">
        <v>0.19583333333333333</v>
      </c>
      <c r="V40" s="113">
        <v>0.25347222222222221</v>
      </c>
      <c r="W40" s="113">
        <v>0.24236111111111111</v>
      </c>
      <c r="X40" s="113">
        <v>0.24583333333333332</v>
      </c>
      <c r="Y40" s="113">
        <v>0.2590277777777778</v>
      </c>
      <c r="Z40" s="113">
        <v>0.26111111111111113</v>
      </c>
      <c r="AA40" s="113">
        <v>0.20902777777777778</v>
      </c>
      <c r="AB40" s="113">
        <v>0.23125000000000001</v>
      </c>
      <c r="AC40" s="113">
        <v>0.26666666666666666</v>
      </c>
      <c r="AD40" s="113">
        <v>0.41249999999999998</v>
      </c>
      <c r="AE40" s="113">
        <v>0.2388888888888889</v>
      </c>
      <c r="AF40" s="113">
        <v>0.28749999999999998</v>
      </c>
      <c r="AG40" s="113">
        <v>0.23749999999999999</v>
      </c>
      <c r="AH40" s="113"/>
      <c r="AI40" s="113"/>
      <c r="AJ40" s="48"/>
      <c r="AK40" s="113"/>
    </row>
    <row r="41" spans="2:37" x14ac:dyDescent="0.25">
      <c r="D41" s="102">
        <v>2</v>
      </c>
      <c r="G41" s="113"/>
      <c r="H41" s="113">
        <v>0.28194444444444444</v>
      </c>
      <c r="I41" s="113">
        <v>0.19583333333333333</v>
      </c>
      <c r="J41" s="113">
        <v>0.24444444444444444</v>
      </c>
      <c r="K41" s="113">
        <v>0.29097222222222224</v>
      </c>
      <c r="L41" s="113">
        <v>0.27708333333333335</v>
      </c>
      <c r="M41" s="113">
        <v>0.26111111111111113</v>
      </c>
      <c r="N41" s="113">
        <v>0.21527777777777779</v>
      </c>
      <c r="O41" s="113">
        <v>0.20069444444444445</v>
      </c>
      <c r="P41" s="113">
        <v>0.23194444444444445</v>
      </c>
      <c r="Q41" s="113">
        <v>0.22708333333333333</v>
      </c>
      <c r="R41" s="113">
        <v>0.25486111111111109</v>
      </c>
      <c r="S41" s="113">
        <v>0.22569444444444445</v>
      </c>
      <c r="T41" s="113">
        <v>0.27638888888888891</v>
      </c>
      <c r="U41" s="113">
        <v>0.19930555555555557</v>
      </c>
      <c r="V41" s="113">
        <v>0.25624999999999998</v>
      </c>
      <c r="W41" s="113">
        <v>0.24930555555555556</v>
      </c>
      <c r="X41" s="113">
        <v>0.25</v>
      </c>
      <c r="Y41" s="113">
        <v>0.26180555555555557</v>
      </c>
      <c r="Z41" s="113">
        <v>0.26874999999999999</v>
      </c>
      <c r="AA41" s="113">
        <v>0.21319444444444444</v>
      </c>
      <c r="AB41" s="113">
        <v>0.23680555555555555</v>
      </c>
      <c r="AC41" s="113">
        <v>0.27152777777777776</v>
      </c>
      <c r="AD41" s="113">
        <v>0.41597222222222224</v>
      </c>
      <c r="AE41" s="113">
        <v>0.24305555555555555</v>
      </c>
      <c r="AF41" s="113">
        <v>0.29097222222222224</v>
      </c>
      <c r="AG41" s="113">
        <v>0.24513888888888888</v>
      </c>
      <c r="AH41" s="113"/>
      <c r="AI41" s="113"/>
      <c r="AJ41" s="48"/>
      <c r="AK41" s="113"/>
    </row>
    <row r="42" spans="2:37" x14ac:dyDescent="0.25">
      <c r="D42" s="102">
        <v>3</v>
      </c>
      <c r="G42" s="113"/>
      <c r="H42" s="113">
        <v>0.28472222222222221</v>
      </c>
      <c r="I42" s="113">
        <v>0.20277777777777778</v>
      </c>
      <c r="J42" s="113">
        <v>0.25</v>
      </c>
      <c r="K42" s="113">
        <v>0.31458333333333333</v>
      </c>
      <c r="L42" s="113">
        <v>0.27986111111111112</v>
      </c>
      <c r="M42" s="113">
        <v>0.26458333333333334</v>
      </c>
      <c r="N42" s="113">
        <v>0.21805555555555556</v>
      </c>
      <c r="O42" s="113">
        <v>0.20347222222222222</v>
      </c>
      <c r="P42" s="113">
        <v>0.23402777777777778</v>
      </c>
      <c r="Q42" s="113">
        <v>0.23680555555555555</v>
      </c>
      <c r="R42" s="113">
        <v>0.2590277777777778</v>
      </c>
      <c r="S42" s="113">
        <v>0.23402777777777778</v>
      </c>
      <c r="T42" s="113">
        <v>0.28749999999999998</v>
      </c>
      <c r="U42" s="113">
        <v>0.2048611111111111</v>
      </c>
      <c r="V42" s="113">
        <v>0.26041666666666669</v>
      </c>
      <c r="W42" s="113">
        <v>0.25416666666666665</v>
      </c>
      <c r="X42" s="113">
        <v>0.25208333333333333</v>
      </c>
      <c r="Y42" s="113">
        <v>0.26666666666666666</v>
      </c>
      <c r="Z42" s="113">
        <v>0.27569444444444446</v>
      </c>
      <c r="AA42" s="113">
        <v>0.21527777777777779</v>
      </c>
      <c r="AB42" s="113">
        <v>0.24027777777777778</v>
      </c>
      <c r="AC42" s="113">
        <v>0.27708333333333335</v>
      </c>
      <c r="AD42" s="113">
        <v>0.42152777777777778</v>
      </c>
      <c r="AE42" s="113">
        <v>0.24791666666666667</v>
      </c>
      <c r="AF42" s="113">
        <v>0.25347222222222221</v>
      </c>
      <c r="AG42" s="113">
        <v>0.25138888888888888</v>
      </c>
      <c r="AH42" s="113"/>
      <c r="AI42" s="113"/>
      <c r="AJ42" s="48"/>
      <c r="AK42" s="113"/>
    </row>
    <row r="43" spans="2:37" x14ac:dyDescent="0.25">
      <c r="D43" s="102">
        <v>4</v>
      </c>
      <c r="G43" s="113"/>
      <c r="H43" s="113">
        <v>0.28888888888888886</v>
      </c>
      <c r="I43" s="113">
        <v>0.20555555555555555</v>
      </c>
      <c r="J43" s="113">
        <v>0.25347222222222221</v>
      </c>
      <c r="K43" s="113">
        <v>0.31805555555555554</v>
      </c>
      <c r="L43" s="113">
        <v>0.16111111111111112</v>
      </c>
      <c r="M43" s="113">
        <v>0.27152777777777776</v>
      </c>
      <c r="N43" s="113">
        <v>0.22013888888888888</v>
      </c>
      <c r="O43" s="113">
        <v>0.20972222222222223</v>
      </c>
      <c r="P43" s="113">
        <v>0.2361111111111111</v>
      </c>
      <c r="Q43" s="48"/>
      <c r="R43" s="113">
        <v>0.26250000000000001</v>
      </c>
      <c r="S43" s="113">
        <v>0.24236111111111111</v>
      </c>
      <c r="T43" s="113">
        <v>0.3</v>
      </c>
      <c r="U43" s="113">
        <v>0.2076388888888889</v>
      </c>
      <c r="V43" s="113">
        <v>0.27430555555555558</v>
      </c>
      <c r="W43" s="113">
        <v>0.25833333333333336</v>
      </c>
      <c r="X43" s="113">
        <v>0.26180555555555557</v>
      </c>
      <c r="Y43" s="113">
        <v>0.27013888888888887</v>
      </c>
      <c r="Z43" s="113">
        <v>0.27916666666666667</v>
      </c>
      <c r="AA43" s="113">
        <v>0.21875</v>
      </c>
      <c r="AB43" s="113">
        <v>0.24305555555555555</v>
      </c>
      <c r="AC43" s="113">
        <v>0.28055555555555556</v>
      </c>
      <c r="AD43" s="113">
        <v>0.42708333333333331</v>
      </c>
      <c r="AE43" s="113">
        <v>0.25208333333333333</v>
      </c>
      <c r="AF43" s="113">
        <v>0.25694444444444442</v>
      </c>
      <c r="AG43" s="113">
        <v>0.25416666666666665</v>
      </c>
      <c r="AH43" s="113"/>
      <c r="AI43" s="113"/>
      <c r="AJ43" s="48"/>
      <c r="AK43" s="113"/>
    </row>
    <row r="44" spans="2:37" x14ac:dyDescent="0.25">
      <c r="D44" s="102">
        <v>5</v>
      </c>
      <c r="G44" s="113"/>
      <c r="H44" s="113">
        <v>0.29097222222222224</v>
      </c>
      <c r="I44" s="113">
        <v>0.20902777777777778</v>
      </c>
      <c r="J44" s="113">
        <v>0.25694444444444442</v>
      </c>
      <c r="K44" s="113">
        <v>0.32083333333333336</v>
      </c>
      <c r="L44" s="113">
        <v>0.2902777777777778</v>
      </c>
      <c r="M44" s="113">
        <v>0.27708333333333335</v>
      </c>
      <c r="N44" s="113">
        <v>0.22500000000000001</v>
      </c>
      <c r="O44" s="113">
        <v>0.21388888888888888</v>
      </c>
      <c r="P44" s="113">
        <v>0.23819444444444443</v>
      </c>
      <c r="Q44" s="113"/>
      <c r="R44" s="113">
        <v>0.26805555555555555</v>
      </c>
      <c r="S44" s="113">
        <v>0.24722222222222223</v>
      </c>
      <c r="T44" s="113">
        <v>0.30694444444444446</v>
      </c>
      <c r="U44" s="113">
        <v>0.21180555555555555</v>
      </c>
      <c r="V44" s="113">
        <v>0.27777777777777779</v>
      </c>
      <c r="W44" s="113">
        <v>0.26180555555555557</v>
      </c>
      <c r="X44" s="113">
        <v>0.2638888888888889</v>
      </c>
      <c r="Y44" s="113">
        <v>0.27569444444444446</v>
      </c>
      <c r="Z44" s="113">
        <v>0.28402777777777777</v>
      </c>
      <c r="AA44" s="113">
        <v>0.22222222222222221</v>
      </c>
      <c r="AB44" s="113">
        <v>0.25347222222222221</v>
      </c>
      <c r="AC44" s="113">
        <v>0.28541666666666665</v>
      </c>
      <c r="AD44" s="113">
        <v>0.44027777777777777</v>
      </c>
      <c r="AE44" s="113">
        <v>0.25694444444444442</v>
      </c>
      <c r="AF44" s="113">
        <v>0.25972222222222224</v>
      </c>
      <c r="AG44" s="113">
        <v>0.25833333333333336</v>
      </c>
      <c r="AH44" s="113"/>
      <c r="AI44" s="113"/>
      <c r="AJ44" s="48"/>
      <c r="AK44" s="113"/>
    </row>
    <row r="45" spans="2:37" x14ac:dyDescent="0.25">
      <c r="D45" s="102">
        <v>6</v>
      </c>
      <c r="G45" s="113"/>
      <c r="H45" s="113">
        <v>0.29375000000000001</v>
      </c>
      <c r="I45" s="113">
        <v>0.21249999999999999</v>
      </c>
      <c r="J45" s="113">
        <v>0.25972222222222224</v>
      </c>
      <c r="K45" s="48"/>
      <c r="L45" s="113">
        <v>0.29444444444444445</v>
      </c>
      <c r="M45" s="113">
        <v>0.28194444444444444</v>
      </c>
      <c r="N45" s="113">
        <v>0.22847222222222222</v>
      </c>
      <c r="O45" s="113">
        <v>0.21805555555555556</v>
      </c>
      <c r="P45" s="113">
        <v>0.24097222222222223</v>
      </c>
      <c r="Q45" s="113"/>
      <c r="R45" s="48"/>
      <c r="S45" s="113">
        <v>0.25</v>
      </c>
      <c r="T45" s="48"/>
      <c r="U45" s="113">
        <v>0.21597222222222223</v>
      </c>
      <c r="V45" s="113">
        <v>0.28055555555555556</v>
      </c>
      <c r="W45" s="113">
        <v>0.26597222222222222</v>
      </c>
      <c r="X45" s="113">
        <v>0.28541666666666665</v>
      </c>
      <c r="Y45" s="113">
        <v>0.28402777777777777</v>
      </c>
      <c r="Z45" s="113">
        <v>0.28680555555555554</v>
      </c>
      <c r="AA45" s="113">
        <v>0.22500000000000001</v>
      </c>
      <c r="AB45" s="113">
        <v>0.25694444444444442</v>
      </c>
      <c r="AC45" s="113">
        <v>0.28819444444444442</v>
      </c>
      <c r="AD45" s="113">
        <v>0.44374999999999998</v>
      </c>
      <c r="AE45" s="113">
        <v>0.25972222222222224</v>
      </c>
      <c r="AF45" s="113">
        <v>0.26319444444444445</v>
      </c>
      <c r="AG45" s="113">
        <v>0.26458333333333334</v>
      </c>
      <c r="AH45" s="113"/>
      <c r="AI45" s="113"/>
      <c r="AJ45" s="48"/>
      <c r="AK45" s="113"/>
    </row>
    <row r="46" spans="2:37" x14ac:dyDescent="0.25">
      <c r="D46" s="102">
        <v>7</v>
      </c>
      <c r="G46" s="113"/>
      <c r="H46" s="113">
        <v>0.29722222222222222</v>
      </c>
      <c r="I46" s="113">
        <v>0.21666666666666667</v>
      </c>
      <c r="J46" s="48"/>
      <c r="K46" s="48"/>
      <c r="L46" s="113">
        <v>0.29722222222222222</v>
      </c>
      <c r="M46" s="113">
        <v>0.28472222222222221</v>
      </c>
      <c r="N46" s="113">
        <v>0.23125000000000001</v>
      </c>
      <c r="O46" s="113">
        <v>0.22291666666666668</v>
      </c>
      <c r="P46" s="113">
        <v>0.24444444444444444</v>
      </c>
      <c r="Q46" s="113"/>
      <c r="R46" s="48"/>
      <c r="S46" s="113">
        <v>0.25347222222222221</v>
      </c>
      <c r="T46" s="48"/>
      <c r="U46" s="113">
        <v>0.21944444444444444</v>
      </c>
      <c r="V46" s="48"/>
      <c r="W46" s="113">
        <v>0.27638888888888891</v>
      </c>
      <c r="X46" s="48"/>
      <c r="Y46" s="113">
        <v>0.28749999999999998</v>
      </c>
      <c r="Z46" s="113">
        <v>0.28888888888888886</v>
      </c>
      <c r="AA46" s="113">
        <v>0.22916666666666666</v>
      </c>
      <c r="AB46" s="113">
        <v>0.26180555555555557</v>
      </c>
      <c r="AC46" s="113">
        <v>0.32847222222222222</v>
      </c>
      <c r="AD46" s="113">
        <v>0.44861111111111113</v>
      </c>
      <c r="AE46" s="113">
        <v>0.28263888888888888</v>
      </c>
      <c r="AF46" s="113">
        <v>0.26666666666666666</v>
      </c>
      <c r="AG46" s="113">
        <v>0.26805555555555555</v>
      </c>
      <c r="AH46" s="113"/>
      <c r="AI46" s="113"/>
      <c r="AJ46" s="48"/>
      <c r="AK46" s="113"/>
    </row>
    <row r="47" spans="2:37" x14ac:dyDescent="0.25">
      <c r="D47" s="102">
        <v>8</v>
      </c>
      <c r="G47" s="113"/>
      <c r="H47" s="113">
        <v>0.30069444444444443</v>
      </c>
      <c r="I47" s="113">
        <v>0.22083333333333333</v>
      </c>
      <c r="J47" s="48"/>
      <c r="K47" s="48"/>
      <c r="L47" s="113">
        <v>0.30069444444444443</v>
      </c>
      <c r="M47" s="113">
        <v>0.28958333333333336</v>
      </c>
      <c r="N47" s="113">
        <v>0.23472222222222222</v>
      </c>
      <c r="O47" s="113">
        <v>0.22569444444444445</v>
      </c>
      <c r="P47" s="113">
        <v>0.24652777777777779</v>
      </c>
      <c r="Q47" s="113"/>
      <c r="R47" s="48"/>
      <c r="S47" s="113">
        <v>0.25694444444444442</v>
      </c>
      <c r="T47" s="48"/>
      <c r="U47" s="113">
        <v>0.22708333333333333</v>
      </c>
      <c r="V47" s="48"/>
      <c r="W47" s="113">
        <v>0.28125</v>
      </c>
      <c r="X47" s="48"/>
      <c r="Y47" s="113">
        <v>0.29305555555555557</v>
      </c>
      <c r="Z47" s="48"/>
      <c r="AA47" s="113">
        <v>0.23333333333333334</v>
      </c>
      <c r="AB47" s="48"/>
      <c r="AC47" s="113">
        <v>0.33333333333333331</v>
      </c>
      <c r="AD47" s="113">
        <v>0.45208333333333334</v>
      </c>
      <c r="AE47" s="113">
        <v>0.28541666666666665</v>
      </c>
      <c r="AF47" s="48"/>
      <c r="AG47" s="113">
        <v>0.27152777777777776</v>
      </c>
      <c r="AH47" s="113"/>
      <c r="AI47" s="48"/>
      <c r="AJ47" s="48"/>
      <c r="AK47" s="113"/>
    </row>
    <row r="48" spans="2:37" x14ac:dyDescent="0.25">
      <c r="D48" s="102">
        <v>9</v>
      </c>
      <c r="G48" s="48"/>
      <c r="H48" s="48"/>
      <c r="I48" s="48"/>
      <c r="J48" s="48"/>
      <c r="K48" s="48"/>
      <c r="L48" s="113">
        <v>0.30416666666666664</v>
      </c>
      <c r="M48" s="113">
        <v>0.29375000000000001</v>
      </c>
      <c r="N48" s="113">
        <v>0.2388888888888889</v>
      </c>
      <c r="O48" s="113">
        <v>0.23541666666666666</v>
      </c>
      <c r="P48" s="113">
        <v>0.24930555555555556</v>
      </c>
      <c r="Q48" s="113"/>
      <c r="R48" s="48"/>
      <c r="S48" s="113">
        <v>0.26041666666666669</v>
      </c>
      <c r="T48" s="48"/>
      <c r="U48" s="113">
        <v>0.23402777777777778</v>
      </c>
      <c r="V48" s="48"/>
      <c r="W48" s="113">
        <v>0.28402777777777777</v>
      </c>
      <c r="X48" s="48"/>
      <c r="Y48" s="113">
        <v>0.29583333333333334</v>
      </c>
      <c r="Z48" s="48"/>
      <c r="AA48" s="113">
        <v>0.23819444444444443</v>
      </c>
      <c r="AB48" s="48"/>
      <c r="AC48" s="48"/>
      <c r="AD48" s="113">
        <v>0.4548611111111111</v>
      </c>
      <c r="AE48" s="113">
        <v>0.29097222222222224</v>
      </c>
      <c r="AF48" s="48"/>
      <c r="AG48" s="113">
        <v>0.27430555555555558</v>
      </c>
      <c r="AH48" s="113"/>
      <c r="AI48" s="48"/>
      <c r="AJ48" s="48"/>
      <c r="AK48" s="113"/>
    </row>
    <row r="49" spans="4:37" x14ac:dyDescent="0.25">
      <c r="D49" s="102">
        <v>10</v>
      </c>
      <c r="G49" s="68"/>
      <c r="H49" s="68"/>
      <c r="I49" s="68"/>
      <c r="J49" s="68"/>
      <c r="K49" s="68"/>
      <c r="L49" s="124">
        <v>0.30902777777777779</v>
      </c>
      <c r="M49" s="124">
        <v>0.2986111111111111</v>
      </c>
      <c r="N49" s="124">
        <v>0.24166666666666667</v>
      </c>
      <c r="O49" s="124">
        <v>0.25208333333333333</v>
      </c>
      <c r="P49" s="124">
        <v>0.25208333333333333</v>
      </c>
      <c r="Q49" s="124"/>
      <c r="R49" s="68"/>
      <c r="S49" s="124">
        <v>0.26250000000000001</v>
      </c>
      <c r="T49" s="68"/>
      <c r="U49" s="124">
        <v>0.23749999999999999</v>
      </c>
      <c r="V49" s="68"/>
      <c r="W49" s="68"/>
      <c r="X49" s="68"/>
      <c r="Y49" s="68"/>
      <c r="Z49" s="68"/>
      <c r="AA49" s="124">
        <v>0.24374999999999999</v>
      </c>
      <c r="AB49" s="68"/>
      <c r="AC49" s="68"/>
      <c r="AD49" s="124">
        <v>0.45833333333333331</v>
      </c>
      <c r="AE49" s="124">
        <v>0.29305555555555557</v>
      </c>
      <c r="AF49" s="68"/>
      <c r="AG49" s="124">
        <v>0.27916666666666667</v>
      </c>
      <c r="AH49" s="124"/>
      <c r="AI49" s="68"/>
      <c r="AJ49" s="68"/>
      <c r="AK49" s="124"/>
    </row>
    <row r="50" spans="4:37" x14ac:dyDescent="0.25">
      <c r="D50" s="102">
        <v>11</v>
      </c>
      <c r="G50" s="28"/>
      <c r="H50" s="28"/>
      <c r="I50" s="28"/>
      <c r="J50" s="28"/>
      <c r="K50" s="28"/>
      <c r="L50" s="28"/>
      <c r="M50" s="28"/>
      <c r="N50" s="113">
        <v>0.24583333333333332</v>
      </c>
      <c r="O50" s="28"/>
      <c r="P50" s="135">
        <v>0.27083333333333331</v>
      </c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113">
        <v>0.24652777777777779</v>
      </c>
      <c r="AB50" s="28"/>
      <c r="AC50" s="28"/>
      <c r="AD50" s="28"/>
      <c r="AE50" s="135">
        <v>0.29652777777777778</v>
      </c>
      <c r="AF50" s="28"/>
      <c r="AG50" s="28"/>
      <c r="AH50" s="135"/>
      <c r="AI50" s="28"/>
      <c r="AJ50" s="28"/>
      <c r="AK50" s="28"/>
    </row>
    <row r="51" spans="4:37" x14ac:dyDescent="0.25">
      <c r="D51" s="106">
        <v>12</v>
      </c>
      <c r="G51" s="28"/>
      <c r="H51" s="28"/>
      <c r="I51" s="28"/>
      <c r="J51" s="28"/>
      <c r="K51" s="28"/>
      <c r="L51" s="28"/>
      <c r="M51" s="28"/>
      <c r="N51" s="113">
        <v>0.25069444444444444</v>
      </c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</row>
    <row r="52" spans="4:37" x14ac:dyDescent="0.25">
      <c r="D52" s="92" t="s">
        <v>203</v>
      </c>
      <c r="E52" s="95"/>
      <c r="F52" s="95"/>
      <c r="G52" s="155" t="s">
        <v>203</v>
      </c>
      <c r="H52" s="132">
        <f>H47-H40</f>
        <v>2.0833333333333315E-2</v>
      </c>
      <c r="I52" s="132">
        <f t="shared" ref="I52" si="3">I47-I40</f>
        <v>2.9861111111111116E-2</v>
      </c>
      <c r="J52" s="132">
        <f>J45-J40</f>
        <v>2.8472222222222232E-2</v>
      </c>
      <c r="K52" s="132">
        <f>K44-K40</f>
        <v>3.3333333333333381E-2</v>
      </c>
      <c r="L52" s="132">
        <f>L49-L40</f>
        <v>3.4027777777777768E-2</v>
      </c>
      <c r="M52" s="132">
        <f t="shared" ref="M52:AG52" si="4">M49-M40</f>
        <v>4.1666666666666685E-2</v>
      </c>
      <c r="N52" s="132">
        <f t="shared" si="4"/>
        <v>4.4444444444444453E-2</v>
      </c>
      <c r="O52" s="132">
        <f t="shared" si="4"/>
        <v>5.4166666666666669E-2</v>
      </c>
      <c r="P52" s="132">
        <f t="shared" si="4"/>
        <v>2.2916666666666669E-2</v>
      </c>
      <c r="Q52" s="132">
        <f>Q42-Q40</f>
        <v>1.3194444444444425E-2</v>
      </c>
      <c r="R52" s="132">
        <f>R44-R40</f>
        <v>2.0138888888888873E-2</v>
      </c>
      <c r="S52" s="132">
        <f t="shared" si="4"/>
        <v>4.1666666666666685E-2</v>
      </c>
      <c r="T52" s="132">
        <f>T44-T40</f>
        <v>4.1666666666666685E-2</v>
      </c>
      <c r="U52" s="132">
        <f t="shared" si="4"/>
        <v>4.1666666666666657E-2</v>
      </c>
      <c r="V52" s="132">
        <f>V45-V40</f>
        <v>2.7083333333333348E-2</v>
      </c>
      <c r="W52" s="132">
        <f>W48-W40</f>
        <v>4.1666666666666657E-2</v>
      </c>
      <c r="X52" s="132">
        <f>X45-X40</f>
        <v>3.9583333333333331E-2</v>
      </c>
      <c r="Y52" s="132">
        <f>Y48-Y40</f>
        <v>3.6805555555555536E-2</v>
      </c>
      <c r="Z52" s="132">
        <f>Z46-Z40</f>
        <v>2.7777777777777735E-2</v>
      </c>
      <c r="AA52" s="132">
        <f t="shared" si="4"/>
        <v>3.472222222222221E-2</v>
      </c>
      <c r="AB52" s="132">
        <f>AB46-AB40</f>
        <v>3.0555555555555558E-2</v>
      </c>
      <c r="AC52" s="132">
        <f>AC47-AC40</f>
        <v>6.6666666666666652E-2</v>
      </c>
      <c r="AD52" s="132">
        <f t="shared" si="4"/>
        <v>4.5833333333333337E-2</v>
      </c>
      <c r="AE52" s="132">
        <f>AE50-AE40</f>
        <v>5.7638888888888878E-2</v>
      </c>
      <c r="AF52" s="132">
        <f>AF40-AF46</f>
        <v>2.0833333333333315E-2</v>
      </c>
      <c r="AG52" s="132">
        <f t="shared" si="4"/>
        <v>4.1666666666666685E-2</v>
      </c>
    </row>
    <row r="53" spans="4:37" x14ac:dyDescent="0.25">
      <c r="D53" s="149" t="s">
        <v>842</v>
      </c>
      <c r="F53" s="93"/>
      <c r="G53" s="148" t="s">
        <v>842</v>
      </c>
      <c r="H53" s="153">
        <v>45717</v>
      </c>
      <c r="I53" s="153">
        <v>45719</v>
      </c>
      <c r="J53" s="153">
        <v>45720</v>
      </c>
      <c r="K53" s="153">
        <v>45721</v>
      </c>
      <c r="L53" s="153">
        <v>45722</v>
      </c>
      <c r="M53" s="153">
        <v>45723</v>
      </c>
      <c r="N53" s="153">
        <v>45724</v>
      </c>
      <c r="O53" s="153">
        <v>45726</v>
      </c>
      <c r="P53" s="153">
        <v>45727</v>
      </c>
      <c r="Q53" s="153">
        <v>45728</v>
      </c>
      <c r="R53" s="153">
        <v>45729</v>
      </c>
      <c r="S53" s="153">
        <v>45730</v>
      </c>
      <c r="T53" s="153">
        <v>45731</v>
      </c>
      <c r="U53" s="45">
        <v>45733</v>
      </c>
      <c r="V53" s="45">
        <v>45734</v>
      </c>
      <c r="W53" s="45">
        <v>45735</v>
      </c>
      <c r="X53" s="45">
        <v>45736</v>
      </c>
      <c r="Y53" s="45">
        <v>45737</v>
      </c>
      <c r="Z53" s="45">
        <v>45738</v>
      </c>
      <c r="AA53" s="45">
        <v>45740</v>
      </c>
      <c r="AB53" s="45">
        <v>45741</v>
      </c>
      <c r="AC53" s="45">
        <v>45742</v>
      </c>
      <c r="AD53" s="45">
        <v>45743</v>
      </c>
      <c r="AE53" s="45">
        <v>45744</v>
      </c>
      <c r="AF53" s="45">
        <v>45745</v>
      </c>
      <c r="AG53" s="45">
        <v>45747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DHL 2026</vt:lpstr>
      <vt:lpstr>Courier DHL Time 2026</vt:lpstr>
      <vt:lpstr>MAS AIR </vt:lpstr>
      <vt:lpstr>Courier DHL Time 2025</vt:lpstr>
      <vt:lpstr>DHL 2024</vt:lpstr>
      <vt:lpstr>DHL 2025 </vt:lpstr>
      <vt:lpstr>DLY DETAILS</vt:lpstr>
      <vt:lpstr>PPT NO MODIFICAR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Yverson Delus</dc:creator>
  <cp:keywords/>
  <dc:description/>
  <cp:lastModifiedBy>Yverson Delus</cp:lastModifiedBy>
  <cp:revision/>
  <dcterms:created xsi:type="dcterms:W3CDTF">2025-01-29T12:26:44Z</dcterms:created>
  <dcterms:modified xsi:type="dcterms:W3CDTF">2026-03-18T02:23:52Z</dcterms:modified>
  <cp:category/>
  <cp:contentStatus/>
</cp:coreProperties>
</file>